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6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7.xml" ContentType="application/vnd.openxmlformats-officedocument.drawing+xml"/>
  <Override PartName="/xl/ctrlProps/ctrlProp121.xml" ContentType="application/vnd.ms-excel.controlproperties+xml"/>
  <Override PartName="/xl/drawings/drawing8.xml" ContentType="application/vnd.openxmlformats-officedocument.drawing+xml"/>
  <Override PartName="/xl/ctrlProps/ctrlProp122.xml" ContentType="application/vnd.ms-excel.controlproperties+xml"/>
  <Override PartName="/xl/drawings/drawing9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32.xml" ContentType="application/vnd.ms-excel.controlpropertie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1.xml" ContentType="application/vnd.openxmlformats-officedocument.spreadsheetml.comments+xml"/>
  <Override PartName="/xl/drawings/drawing28.xml" ContentType="application/vnd.openxmlformats-officedocument.drawing+xml"/>
  <Override PartName="/xl/comments2.xml" ContentType="application/vnd.openxmlformats-officedocument.spreadsheetml.comments+xml"/>
  <Override PartName="/xl/drawings/drawing29.xml" ContentType="application/vnd.openxmlformats-officedocument.drawing+xml"/>
  <Override PartName="/xl/comments3.xml" ContentType="application/vnd.openxmlformats-officedocument.spreadsheetml.comments+xml"/>
  <Override PartName="/xl/drawings/drawing30.xml" ContentType="application/vnd.openxmlformats-officedocument.drawing+xml"/>
  <Override PartName="/xl/comments4.xml" ContentType="application/vnd.openxmlformats-officedocument.spreadsheetml.comments+xml"/>
  <Override PartName="/xl/drawings/drawing31.xml" ContentType="application/vnd.openxmlformats-officedocument.drawing+xml"/>
  <Override PartName="/xl/comments5.xml" ContentType="application/vnd.openxmlformats-officedocument.spreadsheetml.comments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diagrams/data3.xml" ContentType="application/vnd.openxmlformats-officedocument.drawingml.diagramData+xml"/>
  <Override PartName="/xl/diagrams/data4.xml" ContentType="application/vnd.openxmlformats-officedocument.drawingml.diagramData+xml"/>
  <Override PartName="/xl/diagrams/data5.xml" ContentType="application/vnd.openxmlformats-officedocument.drawingml.diagramData+xml"/>
  <Override PartName="/xl/diagrams/data6.xml" ContentType="application/vnd.openxmlformats-officedocument.drawingml.diagramData+xml"/>
  <Override PartName="/xl/diagrams/data9.xml" ContentType="application/vnd.openxmlformats-officedocument.drawingml.diagramData+xml"/>
  <Override PartName="/xl/diagrams/data2.xml" ContentType="application/vnd.openxmlformats-officedocument.drawingml.diagramData+xml"/>
  <Override PartName="/xl/diagrams/data1.xml" ContentType="application/vnd.openxmlformats-officedocument.drawingml.diagramData+xml"/>
  <Override PartName="/xl/diagrams/data7.xml" ContentType="application/vnd.openxmlformats-officedocument.drawingml.diagramData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layout7.xml" ContentType="application/vnd.openxmlformats-officedocument.drawingml.diagramLayout+xml"/>
  <Override PartName="/xl/diagrams/layout6.xml" ContentType="application/vnd.openxmlformats-officedocument.drawingml.diagramLayout+xml"/>
  <Override PartName="/xl/diagrams/layout5.xml" ContentType="application/vnd.openxmlformats-officedocument.drawingml.diagramLayout+xml"/>
  <Override PartName="/xl/diagrams/layout4.xml" ContentType="application/vnd.openxmlformats-officedocument.drawingml.diagramLayout+xml"/>
  <Override PartName="/xl/diagrams/layout9.xml" ContentType="application/vnd.openxmlformats-officedocument.drawingml.diagramLayout+xml"/>
  <Override PartName="/xl/diagrams/layout1.xml" ContentType="application/vnd.openxmlformats-officedocument.drawingml.diagramLayout+xml"/>
  <Override PartName="/xl/diagrams/layout2.xml" ContentType="application/vnd.openxmlformats-officedocument.drawingml.diagramLayout+xml"/>
  <Override PartName="/xl/diagrams/layout3.xml" ContentType="application/vnd.openxmlformats-officedocument.drawingml.diagramLayout+xml"/>
  <Override PartName="/xl/diagrams/quickStyle8.xml" ContentType="application/vnd.openxmlformats-officedocument.drawingml.diagramStyle+xml"/>
  <Override PartName="/xl/diagrams/quickStyle9.xml" ContentType="application/vnd.openxmlformats-officedocument.drawingml.diagramStyle+xml"/>
  <Override PartName="/xl/diagrams/quickStyle1.xml" ContentType="application/vnd.openxmlformats-officedocument.drawingml.diagramStyle+xml"/>
  <Override PartName="/xl/diagrams/quickStyle3.xml" ContentType="application/vnd.openxmlformats-officedocument.drawingml.diagramStyle+xml"/>
  <Override PartName="/xl/diagrams/quickStyle2.xml" ContentType="application/vnd.openxmlformats-officedocument.drawingml.diagramStyle+xml"/>
  <Override PartName="/xl/diagrams/quickStyle6.xml" ContentType="application/vnd.openxmlformats-officedocument.drawingml.diagramStyle+xml"/>
  <Override PartName="/xl/diagrams/quickStyle7.xml" ContentType="application/vnd.openxmlformats-officedocument.drawingml.diagramStyle+xml"/>
  <Override PartName="/xl/diagrams/quickStyle5.xml" ContentType="application/vnd.openxmlformats-officedocument.drawingml.diagramStyle+xml"/>
  <Override PartName="/xl/diagrams/quickStyle4.xml" ContentType="application/vnd.openxmlformats-officedocument.drawingml.diagramStyle+xml"/>
  <Override PartName="/xl/diagrams/colors3.xml" ContentType="application/vnd.openxmlformats-officedocument.drawingml.diagramColors+xml"/>
  <Override PartName="/xl/diagrams/colors1.xml" ContentType="application/vnd.openxmlformats-officedocument.drawingml.diagramColors+xml"/>
  <Override PartName="/xl/diagrams/colors2.xml" ContentType="application/vnd.openxmlformats-officedocument.drawingml.diagramColors+xml"/>
  <Override PartName="/xl/diagrams/colors7.xml" ContentType="application/vnd.openxmlformats-officedocument.drawingml.diagramColors+xml"/>
  <Override PartName="/xl/diagrams/colors6.xml" ContentType="application/vnd.openxmlformats-officedocument.drawingml.diagramColors+xml"/>
  <Override PartName="/xl/diagrams/colors9.xml" ContentType="application/vnd.openxmlformats-officedocument.drawingml.diagramColors+xml"/>
  <Override PartName="/xl/diagrams/colors8.xml" ContentType="application/vnd.openxmlformats-officedocument.drawingml.diagramColors+xml"/>
  <Override PartName="/xl/diagrams/colors5.xml" ContentType="application/vnd.openxmlformats-officedocument.drawingml.diagramColors+xml"/>
  <Override PartName="/xl/diagrams/colors4.xml" ContentType="application/vnd.openxmlformats-officedocument.drawingml.diagramColors+xml"/>
  <Override PartName="/xl/diagrams/drawing9.xml" ContentType="application/vnd.ms-office.drawingml.diagramDrawing+xml"/>
  <Override PartName="/xl/diagrams/drawing1.xml" ContentType="application/vnd.ms-office.drawingml.diagramDrawing+xml"/>
  <Override PartName="/xl/diagrams/drawing6.xml" ContentType="application/vnd.ms-office.drawingml.diagramDrawing+xml"/>
  <Override PartName="/xl/diagrams/drawing7.xml" ContentType="application/vnd.ms-office.drawingml.diagramDrawing+xml"/>
  <Override PartName="/xl/diagrams/drawing4.xml" ContentType="application/vnd.ms-office.drawingml.diagramDrawing+xml"/>
  <Override PartName="/xl/diagrams/drawing5.xml" ContentType="application/vnd.ms-office.drawingml.diagramDrawing+xml"/>
  <Override PartName="/xl/diagrams/drawing2.xml" ContentType="application/vnd.ms-office.drawingml.diagramDrawing+xml"/>
  <Override PartName="/xl/diagrams/drawing3.xml" ContentType="application/vnd.ms-office.drawingml.diagramDrawing+xml"/>
  <Override PartName="/xl/diagrams/drawing8.xml" ContentType="application/vnd.ms-office.drawingml.diagramDrawing+xml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telecosaus.sharepoint.com/sites/AllTelecos2/Shared Documents/CPS WORKING/New Batch 2025/H8097 Austins Ferry/2 Ph1/SP/"/>
    </mc:Choice>
  </mc:AlternateContent>
  <xr:revisionPtr revIDLastSave="2992" documentId="13_ncr:1_{C8393CF9-3A20-4B37-B53F-602502DD2D9B}" xr6:coauthVersionLast="47" xr6:coauthVersionMax="47" xr10:uidLastSave="{0BBB4157-FCD9-4378-A7B7-B4073F2B0A5A}"/>
  <bookViews>
    <workbookView xWindow="-108" yWindow="-108" windowWidth="23256" windowHeight="12456" tabRatio="930" firstSheet="11" activeTab="11" xr2:uid="{FEB52674-B624-40F2-A93B-71E9219E93FB}"/>
  </bookViews>
  <sheets>
    <sheet name="Site Details" sheetId="66" state="hidden" r:id="rId1"/>
    <sheet name="Power Details" sheetId="56" state="hidden" r:id="rId2"/>
    <sheet name="MSB Details" sheetId="57" state="hidden" r:id="rId3"/>
    <sheet name="SMSB Details" sheetId="58" state="hidden" r:id="rId4"/>
    <sheet name="Perm Generator Details" sheetId="59" state="hidden" r:id="rId5"/>
    <sheet name="DC System Details" sheetId="60" state="hidden" r:id="rId6"/>
    <sheet name="Cooling System Details" sheetId="72" state="hidden" r:id="rId7"/>
    <sheet name="DASH" sheetId="18" r:id="rId8"/>
    <sheet name="DES-GL" sheetId="35" r:id="rId9"/>
    <sheet name="EXT-MAINS-DT" sheetId="37" r:id="rId10"/>
    <sheet name="CALC" sheetId="36" r:id="rId11"/>
    <sheet name="PRP-SOL" sheetId="9" r:id="rId12"/>
    <sheet name="EXT-CALC" sheetId="69" r:id="rId13"/>
    <sheet name="ADM" sheetId="23" state="hidden" r:id="rId14"/>
    <sheet name="ADM-MAIN" sheetId="32" state="hidden" r:id="rId15"/>
    <sheet name="PLBC-CALC" sheetId="45" r:id="rId16"/>
    <sheet name="VDC" sheetId="62" r:id="rId17"/>
    <sheet name="DC" sheetId="12" r:id="rId18"/>
    <sheet name="DBTXEQ" sheetId="48" state="hidden" r:id="rId19"/>
    <sheet name="DBBATT" sheetId="49" state="hidden" r:id="rId20"/>
    <sheet name="DBPSU" sheetId="46" state="hidden" r:id="rId21"/>
    <sheet name="DBRANEQ" sheetId="42" state="hidden" r:id="rId22"/>
    <sheet name="DBCOOLING" sheetId="51" state="hidden" r:id="rId23"/>
    <sheet name="DBCPX" sheetId="61" state="hidden" r:id="rId24"/>
    <sheet name="DBT30" sheetId="64" state="hidden" r:id="rId25"/>
    <sheet name="DBT35" sheetId="63" state="hidden" r:id="rId26"/>
    <sheet name="CFGSMC" sheetId="21" state="hidden" r:id="rId27"/>
    <sheet name="CFGMAINS" sheetId="53" state="hidden" r:id="rId28"/>
    <sheet name="CFGVDC" sheetId="65" state="hidden" r:id="rId29"/>
    <sheet name="CFGPWR" sheetId="40" state="hidden" r:id="rId30"/>
    <sheet name="CFGDEFAULTS" sheetId="68" state="hidden" r:id="rId31"/>
    <sheet name="CFGRECT" sheetId="41" state="hidden" r:id="rId32"/>
    <sheet name="DBRECT" sheetId="47" state="hidden" r:id="rId33"/>
    <sheet name="WSPSUEXT" sheetId="70" state="hidden" r:id="rId34"/>
    <sheet name="WSPSU" sheetId="50" state="hidden" r:id="rId35"/>
    <sheet name="WSBBT" sheetId="54" state="hidden" r:id="rId36"/>
    <sheet name="WSVERIFY" sheetId="67" state="hidden" r:id="rId37"/>
    <sheet name="WSPLBC" sheetId="71" state="hidden" r:id="rId38"/>
    <sheet name="WSDLISTEQ" sheetId="44" state="hidden" r:id="rId39"/>
    <sheet name="WSDLISTFAN" sheetId="52" state="hidden" r:id="rId40"/>
  </sheets>
  <externalReferences>
    <externalReference r:id="rId41"/>
  </externalReferences>
  <definedNames>
    <definedName name="_xlnm._FilterDatabase" localSheetId="21" hidden="1">DBRANEQ!$F$8:$M$1000</definedName>
    <definedName name="_xlnm._FilterDatabase" localSheetId="18" hidden="1">DBTXEQ!$O$8:$P$25</definedName>
    <definedName name="_xleta.LEFT" hidden="1" xlm="1">#NAME?</definedName>
    <definedName name="_xleta.REPLACE" hidden="1" xlm="1">#NAME?</definedName>
    <definedName name="DB_RANEQ">DBRANEQ!$H$10:$M$500</definedName>
    <definedName name="DB_TXEQ">DBTXEQ!$H$10:$M$500</definedName>
    <definedName name="DCVer">DC!$D$7</definedName>
    <definedName name="DLINK_CABLESIZE">OFFSET(CFGVDC!$H$10,,,COUNTA(CFGVDC!$H:$H)-1)</definedName>
    <definedName name="DLIST_ACUNITS">OFFSET(WSDLISTFAN!$I$9,,,COUNTA(WSDLISTFAN!$I:$I)-1)</definedName>
    <definedName name="DLIST_BATTALIAS">OFFSET(DBBATT!$H$10,,,COUNTA(DBBATT!$H:$H)-1)</definedName>
    <definedName name="DLIST_BOARDLOC">OFFSET(CFGMAINS!$O$10,,,COUNTA(CFGMAINS!$O:$O)-1)</definedName>
    <definedName name="DLIST_CABINETSIZE">OFFSET(CFGPWR!$P$10,,,COUNTA(CFGPWR!$P:$P)-1)</definedName>
    <definedName name="DLIST_CBSIZE">OFFSET(CFGPWR!$H$10,,,COUNTA(CFGPWR!$H:$H)-1)</definedName>
    <definedName name="DLIST_COOLINGOPTIONS">OFFSET(CFGPWR!$Q$10,,,COUNTA(CFGPWR!$Q:$Q)-1)</definedName>
    <definedName name="DLIST_CPXALIAS">OFFSET(DBCPX!$H$10,,,COUNTA(DBCPX!$H:$H)-1)</definedName>
    <definedName name="DLIST_CURVETYPE">OFFSET(CFGMAINS!$I$10,,,COUNTA(CFGMAINS!$I:$I)-1)</definedName>
    <definedName name="DLIST_DEPSTATUS">OFFSET(CFGPWR!$F$10,,,COUNTA(CFGPWR!$F:$F)-1)</definedName>
    <definedName name="DLIST_ENCLOSURE">OFFSET(CFGPWR!$N$10,,,COUNTA(CFGPWR!$N:$N)-1)</definedName>
    <definedName name="DLIST_GDZ">OFFSET(CFGMAINS!$Q$10,,,COUNTA(CFGMAINS!$Q:$Q)-1)</definedName>
    <definedName name="DLIST_GENINLETTYPE">OFFSET(CFGMAINS!$J$10,,,COUNTA(CFGMAINS!$J:$J)-1)</definedName>
    <definedName name="DLIST_GENOWNER">OFFSET(CFGMAINS!$K$10,,,COUNTA(CFGMAINS!$K:$K)-1)</definedName>
    <definedName name="DLIST_GENSUPTYPE">OFFSET(CFGMAINS!$L$10,,,COUNTA(CFGMAINS!$L:$L)-1)</definedName>
    <definedName name="DLIST_INLETLOC">OFFSET(CFGMAINS!$M$10,,,COUNTA(CFGMAINS!$M:$M)-1)</definedName>
    <definedName name="DLIST_LOC">OFFSET(CFGPWR!$K$10,,,COUNTA(CFGPWR!$K:$K)-1)</definedName>
    <definedName name="DLIST_METERTYPE">OFFSET(CFGMAINS!$N$10,,,COUNTA(CFGMAINS!$N:$N)-1)</definedName>
    <definedName name="DLIST_MSB_TYPE">OFFSET(CFGMAINS!$P$10,,,COUNTA(CFGMAINS!$P:$P)-1)</definedName>
    <definedName name="DLIST_NUMBER">OFFSET(CFGPWR!$I$10,,,COUNTA(CFGPWR!$I:$I)-1)</definedName>
    <definedName name="DLIST_OPERATOR">OFFSET(CFGPWR!$G$10,,,COUNTA(CFGPWR!$G:$G)-1)</definedName>
    <definedName name="DLIST_PAN">OFFSET(CFGMAINS!$F$10,,,COUNTA(CFGMAINS!$F:$F)-1)</definedName>
    <definedName name="DLIST_PSUALIAS">OFFSET(DBPSU!$H$10,,,COUNTA(DBPSU!$H:$H)-1)</definedName>
    <definedName name="DLIST_PSUSTATUS">OFFSET(CFGPWR!$S$10,,,COUNTA(CFGPWR!$S:$S)-1)</definedName>
    <definedName name="DLIST_RECTALIAS" localSheetId="30">OFFSET(CFGDEFAULTS!$H$10,,,COUNTA(CFGDEFAULTS!$H:$H)-1)</definedName>
    <definedName name="DLIST_RECTALIAS">OFFSET(DBRECT!$H$10,,,COUNTA(DBRECT!$H:$H)-1)</definedName>
    <definedName name="DLIST_SFAN">OFFSET(WSDLISTFAN!$L$9,,,COUNTA(WSDLISTFAN!$L:$L)-1)</definedName>
    <definedName name="DLIST_SITECON">OFFSET(CFGPWR!$Y$10,,,COUNTA(CFGPWR!$Y:$Y)-1)</definedName>
    <definedName name="DLIST_SITEPRIORITY">OFFSET(CFGPWR!$X$10,,,COUNTA(CFGPWR!$X:$X)-1)</definedName>
    <definedName name="DLIST_SONTU">OFFSET(CFGPWR!$T$10,,,COUNTA(CFGPWR!$T:$T)-1)</definedName>
    <definedName name="DLIST_STATE">OFFSET(CFGPWR!$W$10,,,COUNTA(CFGPWR!$W:$W)-1)</definedName>
    <definedName name="DLIST_SUPPLYTYPE">OFFSET(CFGMAINS!$G$10,,,COUNTA(CFGMAINS!$G:$G)-1)</definedName>
    <definedName name="DLIST_SWITCHTYPE">OFFSET(CFGMAINS!$H$10,,,COUNTA(CFGMAINS!$H:$H)-1)</definedName>
    <definedName name="DLIST_TXEQALIAS">OFFSET(DBTXEQ!$H$10,,,COUNTA(DBTXEQ!$H:$H)-1)</definedName>
    <definedName name="DLIST_YN">OFFSET(CFGPWR!$J$10,,,COUNTA(CFGPWR!$J:$J)-1)</definedName>
    <definedName name="eNB_Dynamic_List">OFFSET([1]DBeNB!$S$7,,,COUNTIF([1]DBeNB!$S:$S,"*?")-1)</definedName>
    <definedName name="LIST_INRUSHCURRENT">OFFSET(WSPLBC!$F$10,,,COUNTA(WSPLBC!$F:XFD)-1)</definedName>
    <definedName name="_xlnm.Print_Area" localSheetId="7">DASH!$M$22</definedName>
    <definedName name="_xlnm.Print_Area" localSheetId="11">'PRP-SOL'!$E$2:$AF$281</definedName>
    <definedName name="PSU2_Enable_Status" localSheetId="12">'EXT-CALC'!$R$58</definedName>
    <definedName name="PSU2_Enable_Status">CALC!$R$58</definedName>
    <definedName name="PSU3_Enable_Status" localSheetId="12">'EXT-CALC'!$AA$58</definedName>
    <definedName name="PSU3_Enable_Status">CALC!$AA$58</definedName>
    <definedName name="SELECT_RANEQ">OFFSET(WSDLISTEQ!$F$11,,,COUNTIF(WSDLISTEQ!$F:$F,"*?")-1)</definedName>
    <definedName name="SELECT_TXEQ">OFFSET(WSDLISTEQ!$J$11,,,COUNTIF(WSDLISTEQ!$J:$J,"*?")-1)</definedName>
    <definedName name="Yes">CFGPWR!$J$10:$J$11</definedName>
  </definedNames>
  <calcPr calcId="191028"/>
  <pivotCaches>
    <pivotCache cacheId="1517" r:id="rId4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69" l="1"/>
  <c r="N11" i="69"/>
  <c r="M12" i="69"/>
  <c r="N12" i="69"/>
  <c r="M13" i="69"/>
  <c r="N13" i="69"/>
  <c r="M14" i="69"/>
  <c r="N14" i="69"/>
  <c r="M15" i="69"/>
  <c r="N15" i="69"/>
  <c r="M16" i="69"/>
  <c r="N16" i="69"/>
  <c r="M17" i="69"/>
  <c r="N17" i="69"/>
  <c r="M18" i="69"/>
  <c r="N18" i="69"/>
  <c r="M19" i="69"/>
  <c r="N19" i="69"/>
  <c r="F344" i="42"/>
  <c r="F341" i="42"/>
  <c r="AQ2" i="60"/>
  <c r="P2" i="72"/>
  <c r="M2" i="72"/>
  <c r="J2" i="72"/>
  <c r="G2" i="72"/>
  <c r="D2" i="72"/>
  <c r="C2" i="72"/>
  <c r="B2" i="72"/>
  <c r="A2" i="72"/>
  <c r="BA2" i="60"/>
  <c r="AZ2" i="60"/>
  <c r="Z2" i="60"/>
  <c r="AP2" i="60"/>
  <c r="AO2" i="60"/>
  <c r="AN2" i="60"/>
  <c r="AL2" i="60"/>
  <c r="AI2" i="60"/>
  <c r="AK2" i="60"/>
  <c r="AJ2" i="60"/>
  <c r="Y2" i="60"/>
  <c r="X2" i="60"/>
  <c r="W2" i="60"/>
  <c r="U2" i="60"/>
  <c r="T2" i="60"/>
  <c r="S2" i="60"/>
  <c r="R2" i="60"/>
  <c r="AO10" i="9"/>
  <c r="AO9" i="9"/>
  <c r="AO8" i="9"/>
  <c r="T2" i="56" s="1"/>
  <c r="AO7" i="9"/>
  <c r="I2" i="60" l="1"/>
  <c r="H2" i="60"/>
  <c r="G2" i="60"/>
  <c r="F2" i="60"/>
  <c r="D2" i="60"/>
  <c r="C2" i="60"/>
  <c r="B2" i="60"/>
  <c r="A2" i="60"/>
  <c r="X2" i="56"/>
  <c r="W2" i="56"/>
  <c r="U2" i="56"/>
  <c r="V2" i="56"/>
  <c r="H2" i="66" l="1"/>
  <c r="G2" i="66"/>
  <c r="J87" i="45" l="1"/>
  <c r="H344" i="42" l="1"/>
  <c r="L341" i="42"/>
  <c r="AB29" i="62" l="1"/>
  <c r="AA29" i="62"/>
  <c r="AL29" i="62"/>
  <c r="D7" i="71"/>
  <c r="P58" i="50" l="1"/>
  <c r="I58" i="50" s="1"/>
  <c r="P35" i="50"/>
  <c r="I35" i="50" s="1"/>
  <c r="J35" i="50" l="1"/>
  <c r="H35" i="50"/>
  <c r="H58" i="50"/>
  <c r="J58" i="50"/>
  <c r="H342" i="42"/>
  <c r="H343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H449" i="42"/>
  <c r="H450" i="42"/>
  <c r="H451" i="42"/>
  <c r="H452" i="42"/>
  <c r="H453" i="42"/>
  <c r="H454" i="42"/>
  <c r="H455" i="42"/>
  <c r="H456" i="42"/>
  <c r="H457" i="42"/>
  <c r="H458" i="42"/>
  <c r="H459" i="42"/>
  <c r="H460" i="42"/>
  <c r="H461" i="42"/>
  <c r="H462" i="42"/>
  <c r="H463" i="42"/>
  <c r="H464" i="42"/>
  <c r="H465" i="42"/>
  <c r="H466" i="42"/>
  <c r="H467" i="42"/>
  <c r="H468" i="42"/>
  <c r="H469" i="42"/>
  <c r="H470" i="42"/>
  <c r="H471" i="42"/>
  <c r="H472" i="42"/>
  <c r="H473" i="42"/>
  <c r="H474" i="42"/>
  <c r="H475" i="42"/>
  <c r="H476" i="42"/>
  <c r="H477" i="42"/>
  <c r="H478" i="42"/>
  <c r="H479" i="42"/>
  <c r="H480" i="42"/>
  <c r="H481" i="42"/>
  <c r="H482" i="42"/>
  <c r="H483" i="42"/>
  <c r="H484" i="42"/>
  <c r="H485" i="42"/>
  <c r="H486" i="42"/>
  <c r="H487" i="42"/>
  <c r="H488" i="42"/>
  <c r="H489" i="42"/>
  <c r="H490" i="42"/>
  <c r="H491" i="42"/>
  <c r="H492" i="42"/>
  <c r="H493" i="42"/>
  <c r="H494" i="42"/>
  <c r="H495" i="42"/>
  <c r="H496" i="42"/>
  <c r="H497" i="42"/>
  <c r="H498" i="42"/>
  <c r="H499" i="42"/>
  <c r="H500" i="42"/>
  <c r="H501" i="42"/>
  <c r="H502" i="42"/>
  <c r="H503" i="42"/>
  <c r="H504" i="42"/>
  <c r="H505" i="42"/>
  <c r="H506" i="42"/>
  <c r="H507" i="42"/>
  <c r="H508" i="42"/>
  <c r="H509" i="42"/>
  <c r="H510" i="42"/>
  <c r="H511" i="42"/>
  <c r="H512" i="42"/>
  <c r="H513" i="42"/>
  <c r="H514" i="42"/>
  <c r="H515" i="42"/>
  <c r="H516" i="42"/>
  <c r="H517" i="42"/>
  <c r="H518" i="42"/>
  <c r="H519" i="42"/>
  <c r="H520" i="42"/>
  <c r="H521" i="42"/>
  <c r="H522" i="42"/>
  <c r="H523" i="42"/>
  <c r="H524" i="42"/>
  <c r="H525" i="42"/>
  <c r="H526" i="42"/>
  <c r="H527" i="42"/>
  <c r="H528" i="42"/>
  <c r="H529" i="42"/>
  <c r="H530" i="42"/>
  <c r="H531" i="42"/>
  <c r="H532" i="42"/>
  <c r="H533" i="42"/>
  <c r="H534" i="42"/>
  <c r="H535" i="42"/>
  <c r="H536" i="42"/>
  <c r="H537" i="42"/>
  <c r="H538" i="42"/>
  <c r="H539" i="42"/>
  <c r="H540" i="42"/>
  <c r="H541" i="42"/>
  <c r="H542" i="42"/>
  <c r="H543" i="42"/>
  <c r="H544" i="42"/>
  <c r="H545" i="42"/>
  <c r="H546" i="42"/>
  <c r="H547" i="42"/>
  <c r="H548" i="42"/>
  <c r="H549" i="42"/>
  <c r="H550" i="42"/>
  <c r="H551" i="42"/>
  <c r="H552" i="42"/>
  <c r="H553" i="42"/>
  <c r="H554" i="42"/>
  <c r="H555" i="42"/>
  <c r="H556" i="42"/>
  <c r="H557" i="42"/>
  <c r="H558" i="42"/>
  <c r="H559" i="42"/>
  <c r="H560" i="42"/>
  <c r="H561" i="42"/>
  <c r="H562" i="42"/>
  <c r="H563" i="42"/>
  <c r="H564" i="42"/>
  <c r="H565" i="42"/>
  <c r="H566" i="42"/>
  <c r="H567" i="42"/>
  <c r="H568" i="42"/>
  <c r="H569" i="42"/>
  <c r="H570" i="42"/>
  <c r="H571" i="42"/>
  <c r="H572" i="42"/>
  <c r="H573" i="42"/>
  <c r="H574" i="42"/>
  <c r="H575" i="42"/>
  <c r="H576" i="42"/>
  <c r="H577" i="42"/>
  <c r="H578" i="42"/>
  <c r="H579" i="42"/>
  <c r="H580" i="42"/>
  <c r="H581" i="42"/>
  <c r="H582" i="42"/>
  <c r="H583" i="42"/>
  <c r="H584" i="42"/>
  <c r="H585" i="42"/>
  <c r="H586" i="42"/>
  <c r="H587" i="42"/>
  <c r="H588" i="42"/>
  <c r="H589" i="42"/>
  <c r="H590" i="42"/>
  <c r="H591" i="42"/>
  <c r="H592" i="42"/>
  <c r="H593" i="42"/>
  <c r="H594" i="42"/>
  <c r="H595" i="42"/>
  <c r="H596" i="42"/>
  <c r="H597" i="42"/>
  <c r="H598" i="42"/>
  <c r="H599" i="42"/>
  <c r="H600" i="42"/>
  <c r="H601" i="42"/>
  <c r="H602" i="42"/>
  <c r="H603" i="42"/>
  <c r="H604" i="42"/>
  <c r="H605" i="42"/>
  <c r="H606" i="42"/>
  <c r="H607" i="42"/>
  <c r="H608" i="42"/>
  <c r="H609" i="42"/>
  <c r="H610" i="42"/>
  <c r="H611" i="42"/>
  <c r="H612" i="42"/>
  <c r="H613" i="42"/>
  <c r="H614" i="42"/>
  <c r="H615" i="42"/>
  <c r="H616" i="42"/>
  <c r="H617" i="42"/>
  <c r="H618" i="42"/>
  <c r="H619" i="42"/>
  <c r="H620" i="42"/>
  <c r="H621" i="42"/>
  <c r="H622" i="42"/>
  <c r="H623" i="42"/>
  <c r="H624" i="42"/>
  <c r="H625" i="42"/>
  <c r="H626" i="42"/>
  <c r="H627" i="42"/>
  <c r="H628" i="42"/>
  <c r="H629" i="42"/>
  <c r="H630" i="42"/>
  <c r="H631" i="42"/>
  <c r="H632" i="42"/>
  <c r="H633" i="42"/>
  <c r="H634" i="42"/>
  <c r="H635" i="42"/>
  <c r="H636" i="42"/>
  <c r="H637" i="42"/>
  <c r="H638" i="42"/>
  <c r="H639" i="42"/>
  <c r="H640" i="42"/>
  <c r="H641" i="42"/>
  <c r="H642" i="42"/>
  <c r="H643" i="42"/>
  <c r="H644" i="42"/>
  <c r="H645" i="42"/>
  <c r="H646" i="42"/>
  <c r="H647" i="42"/>
  <c r="H648" i="42"/>
  <c r="H649" i="42"/>
  <c r="H650" i="42"/>
  <c r="H651" i="42"/>
  <c r="H652" i="42"/>
  <c r="H653" i="42"/>
  <c r="H654" i="42"/>
  <c r="H655" i="42"/>
  <c r="H656" i="42"/>
  <c r="H657" i="42"/>
  <c r="H658" i="42"/>
  <c r="H659" i="42"/>
  <c r="H660" i="42"/>
  <c r="H661" i="42"/>
  <c r="H662" i="42"/>
  <c r="H663" i="42"/>
  <c r="H664" i="42"/>
  <c r="H665" i="42"/>
  <c r="H666" i="42"/>
  <c r="H667" i="42"/>
  <c r="H668" i="42"/>
  <c r="H669" i="42"/>
  <c r="H670" i="42"/>
  <c r="H671" i="42"/>
  <c r="H672" i="42"/>
  <c r="H673" i="42"/>
  <c r="H674" i="42"/>
  <c r="H675" i="42"/>
  <c r="H676" i="42"/>
  <c r="H677" i="42"/>
  <c r="H678" i="42"/>
  <c r="H679" i="42"/>
  <c r="H680" i="42"/>
  <c r="H681" i="42"/>
  <c r="H682" i="42"/>
  <c r="H683" i="42"/>
  <c r="H684" i="42"/>
  <c r="H685" i="42"/>
  <c r="H686" i="42"/>
  <c r="H687" i="42"/>
  <c r="H688" i="42"/>
  <c r="H689" i="42"/>
  <c r="H690" i="42"/>
  <c r="H691" i="42"/>
  <c r="H692" i="42"/>
  <c r="H693" i="42"/>
  <c r="H694" i="42"/>
  <c r="H695" i="42"/>
  <c r="H696" i="42"/>
  <c r="H697" i="42"/>
  <c r="H698" i="42"/>
  <c r="H699" i="42"/>
  <c r="H700" i="42"/>
  <c r="H701" i="42"/>
  <c r="H702" i="42"/>
  <c r="H703" i="42"/>
  <c r="H704" i="42"/>
  <c r="H705" i="42"/>
  <c r="H706" i="42"/>
  <c r="H707" i="42"/>
  <c r="H708" i="42"/>
  <c r="H709" i="42"/>
  <c r="H710" i="42"/>
  <c r="H711" i="42"/>
  <c r="H712" i="42"/>
  <c r="H713" i="42"/>
  <c r="H714" i="42"/>
  <c r="H715" i="42"/>
  <c r="H716" i="42"/>
  <c r="H717" i="42"/>
  <c r="H718" i="42"/>
  <c r="H719" i="42"/>
  <c r="H720" i="42"/>
  <c r="H721" i="42"/>
  <c r="H722" i="42"/>
  <c r="H723" i="42"/>
  <c r="H724" i="42"/>
  <c r="H725" i="42"/>
  <c r="H726" i="42"/>
  <c r="H727" i="42"/>
  <c r="H728" i="42"/>
  <c r="H729" i="42"/>
  <c r="H730" i="42"/>
  <c r="H731" i="42"/>
  <c r="H732" i="42"/>
  <c r="H733" i="42"/>
  <c r="H734" i="42"/>
  <c r="H735" i="42"/>
  <c r="H736" i="42"/>
  <c r="H737" i="42"/>
  <c r="H738" i="42"/>
  <c r="H739" i="42"/>
  <c r="H740" i="42"/>
  <c r="H741" i="42"/>
  <c r="H742" i="42"/>
  <c r="H743" i="42"/>
  <c r="H744" i="42"/>
  <c r="H745" i="42"/>
  <c r="H746" i="42"/>
  <c r="H747" i="42"/>
  <c r="H748" i="42"/>
  <c r="H749" i="42"/>
  <c r="H750" i="42"/>
  <c r="H751" i="42"/>
  <c r="H752" i="42"/>
  <c r="H753" i="42"/>
  <c r="H754" i="42"/>
  <c r="H755" i="42"/>
  <c r="H756" i="42"/>
  <c r="H757" i="42"/>
  <c r="H758" i="42"/>
  <c r="H759" i="42"/>
  <c r="H760" i="42"/>
  <c r="H761" i="42"/>
  <c r="H762" i="42"/>
  <c r="H763" i="42"/>
  <c r="H764" i="42"/>
  <c r="H765" i="42"/>
  <c r="H766" i="42"/>
  <c r="H767" i="42"/>
  <c r="H768" i="42"/>
  <c r="H769" i="42"/>
  <c r="H770" i="42"/>
  <c r="H771" i="42"/>
  <c r="H772" i="42"/>
  <c r="H773" i="42"/>
  <c r="H774" i="42"/>
  <c r="H775" i="42"/>
  <c r="H776" i="42"/>
  <c r="H777" i="42"/>
  <c r="H778" i="42"/>
  <c r="H779" i="42"/>
  <c r="H780" i="42"/>
  <c r="H781" i="42"/>
  <c r="H782" i="42"/>
  <c r="H783" i="42"/>
  <c r="H784" i="42"/>
  <c r="H785" i="42"/>
  <c r="H786" i="42"/>
  <c r="H787" i="42"/>
  <c r="H788" i="42"/>
  <c r="H789" i="42"/>
  <c r="H790" i="42"/>
  <c r="H791" i="42"/>
  <c r="H792" i="42"/>
  <c r="H793" i="42"/>
  <c r="H794" i="42"/>
  <c r="H795" i="42"/>
  <c r="H796" i="42"/>
  <c r="H797" i="42"/>
  <c r="H798" i="42"/>
  <c r="H799" i="42"/>
  <c r="H800" i="42"/>
  <c r="H801" i="42"/>
  <c r="H802" i="42"/>
  <c r="H803" i="42"/>
  <c r="H804" i="42"/>
  <c r="H805" i="42"/>
  <c r="H806" i="42"/>
  <c r="H807" i="42"/>
  <c r="H808" i="42"/>
  <c r="H809" i="42"/>
  <c r="H810" i="42"/>
  <c r="H811" i="42"/>
  <c r="H812" i="42"/>
  <c r="H813" i="42"/>
  <c r="H814" i="42"/>
  <c r="H815" i="42"/>
  <c r="H816" i="42"/>
  <c r="H817" i="42"/>
  <c r="H818" i="42"/>
  <c r="H819" i="42"/>
  <c r="H820" i="42"/>
  <c r="H821" i="42"/>
  <c r="H822" i="42"/>
  <c r="H823" i="42"/>
  <c r="H824" i="42"/>
  <c r="H825" i="42"/>
  <c r="H826" i="42"/>
  <c r="H827" i="42"/>
  <c r="H828" i="42"/>
  <c r="H829" i="42"/>
  <c r="H830" i="42"/>
  <c r="H831" i="42"/>
  <c r="H832" i="42"/>
  <c r="H833" i="42"/>
  <c r="H834" i="42"/>
  <c r="H835" i="42"/>
  <c r="H836" i="42"/>
  <c r="H837" i="42"/>
  <c r="H838" i="42"/>
  <c r="H839" i="42"/>
  <c r="H840" i="42"/>
  <c r="H841" i="42"/>
  <c r="H842" i="42"/>
  <c r="H843" i="42"/>
  <c r="H844" i="42"/>
  <c r="H845" i="42"/>
  <c r="H846" i="42"/>
  <c r="H847" i="42"/>
  <c r="H848" i="42"/>
  <c r="H849" i="42"/>
  <c r="H850" i="42"/>
  <c r="H851" i="42"/>
  <c r="H852" i="42"/>
  <c r="H853" i="42"/>
  <c r="H854" i="42"/>
  <c r="H855" i="42"/>
  <c r="H856" i="42"/>
  <c r="H857" i="42"/>
  <c r="H858" i="42"/>
  <c r="H859" i="42"/>
  <c r="H860" i="42"/>
  <c r="H861" i="42"/>
  <c r="H862" i="42"/>
  <c r="H863" i="42"/>
  <c r="H864" i="42"/>
  <c r="H865" i="42"/>
  <c r="H866" i="42"/>
  <c r="H867" i="42"/>
  <c r="H868" i="42"/>
  <c r="H869" i="42"/>
  <c r="H870" i="42"/>
  <c r="H871" i="42"/>
  <c r="H872" i="42"/>
  <c r="H873" i="42"/>
  <c r="H874" i="42"/>
  <c r="H875" i="42"/>
  <c r="H876" i="42"/>
  <c r="H877" i="42"/>
  <c r="H878" i="42"/>
  <c r="H879" i="42"/>
  <c r="H880" i="42"/>
  <c r="H881" i="42"/>
  <c r="H882" i="42"/>
  <c r="H883" i="42"/>
  <c r="H884" i="42"/>
  <c r="H885" i="42"/>
  <c r="H886" i="42"/>
  <c r="H887" i="42"/>
  <c r="H888" i="42"/>
  <c r="H889" i="42"/>
  <c r="H890" i="42"/>
  <c r="H891" i="42"/>
  <c r="H892" i="42"/>
  <c r="H893" i="42"/>
  <c r="H894" i="42"/>
  <c r="H895" i="42"/>
  <c r="H896" i="42"/>
  <c r="H897" i="42"/>
  <c r="H898" i="42"/>
  <c r="H899" i="42"/>
  <c r="H900" i="42"/>
  <c r="H901" i="42"/>
  <c r="H902" i="42"/>
  <c r="H903" i="42"/>
  <c r="H904" i="42"/>
  <c r="H905" i="42"/>
  <c r="H906" i="42"/>
  <c r="H907" i="42"/>
  <c r="H908" i="42"/>
  <c r="H909" i="42"/>
  <c r="H910" i="42"/>
  <c r="H911" i="42"/>
  <c r="H912" i="42"/>
  <c r="H913" i="42"/>
  <c r="H914" i="42"/>
  <c r="H915" i="42"/>
  <c r="H916" i="42"/>
  <c r="H917" i="42"/>
  <c r="H918" i="42"/>
  <c r="H919" i="42"/>
  <c r="H920" i="42"/>
  <c r="H921" i="42"/>
  <c r="H922" i="42"/>
  <c r="H923" i="42"/>
  <c r="H924" i="42"/>
  <c r="H925" i="42"/>
  <c r="H926" i="42"/>
  <c r="H927" i="42"/>
  <c r="H928" i="42"/>
  <c r="H929" i="42"/>
  <c r="H930" i="42"/>
  <c r="H931" i="42"/>
  <c r="H932" i="42"/>
  <c r="H933" i="42"/>
  <c r="H934" i="42"/>
  <c r="H935" i="42"/>
  <c r="H936" i="42"/>
  <c r="H937" i="42"/>
  <c r="H938" i="42"/>
  <c r="H939" i="42"/>
  <c r="H940" i="42"/>
  <c r="H941" i="42"/>
  <c r="H942" i="42"/>
  <c r="H943" i="42"/>
  <c r="H944" i="42"/>
  <c r="H945" i="42"/>
  <c r="H946" i="42"/>
  <c r="H947" i="42"/>
  <c r="H948" i="42"/>
  <c r="H949" i="42"/>
  <c r="H950" i="42"/>
  <c r="H951" i="42"/>
  <c r="H952" i="42"/>
  <c r="H953" i="42"/>
  <c r="H954" i="42"/>
  <c r="H955" i="42"/>
  <c r="H956" i="42"/>
  <c r="H957" i="42"/>
  <c r="H958" i="42"/>
  <c r="H959" i="42"/>
  <c r="H960" i="42"/>
  <c r="H961" i="42"/>
  <c r="H962" i="42"/>
  <c r="H963" i="42"/>
  <c r="H964" i="42"/>
  <c r="H965" i="42"/>
  <c r="H966" i="42"/>
  <c r="H967" i="42"/>
  <c r="H968" i="42"/>
  <c r="H969" i="42"/>
  <c r="H970" i="42"/>
  <c r="H971" i="42"/>
  <c r="H972" i="42"/>
  <c r="H973" i="42"/>
  <c r="H974" i="42"/>
  <c r="H975" i="42"/>
  <c r="H976" i="42"/>
  <c r="H977" i="42"/>
  <c r="H978" i="42"/>
  <c r="H979" i="42"/>
  <c r="H980" i="42"/>
  <c r="H981" i="42"/>
  <c r="H982" i="42"/>
  <c r="H983" i="42"/>
  <c r="H984" i="42"/>
  <c r="H985" i="42"/>
  <c r="H986" i="42"/>
  <c r="H987" i="42"/>
  <c r="H988" i="42"/>
  <c r="H989" i="42"/>
  <c r="H990" i="42"/>
  <c r="H991" i="42"/>
  <c r="H992" i="42"/>
  <c r="H993" i="42"/>
  <c r="H994" i="42"/>
  <c r="H995" i="42"/>
  <c r="H996" i="42"/>
  <c r="H997" i="42"/>
  <c r="H998" i="42"/>
  <c r="H999" i="42"/>
  <c r="H1000" i="42"/>
  <c r="H339" i="42"/>
  <c r="H340" i="42"/>
  <c r="H341" i="42"/>
  <c r="H334" i="42"/>
  <c r="H335" i="42"/>
  <c r="H336" i="42"/>
  <c r="L350" i="42"/>
  <c r="M350" i="42"/>
  <c r="L351" i="42"/>
  <c r="M351" i="42"/>
  <c r="L352" i="42"/>
  <c r="M352" i="42"/>
  <c r="L353" i="42"/>
  <c r="M353" i="42"/>
  <c r="L354" i="42"/>
  <c r="M354" i="42"/>
  <c r="L355" i="42"/>
  <c r="M355" i="42"/>
  <c r="L356" i="42"/>
  <c r="M356" i="42"/>
  <c r="L357" i="42"/>
  <c r="M357" i="42"/>
  <c r="L358" i="42"/>
  <c r="M358" i="42"/>
  <c r="L359" i="42"/>
  <c r="M359" i="42"/>
  <c r="L360" i="42"/>
  <c r="M360" i="42"/>
  <c r="L361" i="42"/>
  <c r="M361" i="42"/>
  <c r="L362" i="42"/>
  <c r="M362" i="42"/>
  <c r="L363" i="42"/>
  <c r="M363" i="42"/>
  <c r="L364" i="42"/>
  <c r="M364" i="42"/>
  <c r="L365" i="42"/>
  <c r="M365" i="42"/>
  <c r="L366" i="42"/>
  <c r="M366" i="42"/>
  <c r="L367" i="42"/>
  <c r="M367" i="42"/>
  <c r="L368" i="42"/>
  <c r="M368" i="42"/>
  <c r="L369" i="42"/>
  <c r="M369" i="42"/>
  <c r="L370" i="42"/>
  <c r="M370" i="42"/>
  <c r="L371" i="42"/>
  <c r="M371" i="42"/>
  <c r="L372" i="42"/>
  <c r="M372" i="42"/>
  <c r="L373" i="42"/>
  <c r="M373" i="42"/>
  <c r="L374" i="42"/>
  <c r="M374" i="42"/>
  <c r="L375" i="42"/>
  <c r="M375" i="42"/>
  <c r="L376" i="42"/>
  <c r="M376" i="42"/>
  <c r="L377" i="42"/>
  <c r="M377" i="42"/>
  <c r="L378" i="42"/>
  <c r="M378" i="42"/>
  <c r="L379" i="42"/>
  <c r="M379" i="42"/>
  <c r="L380" i="42"/>
  <c r="M380" i="42"/>
  <c r="L381" i="42"/>
  <c r="M381" i="42"/>
  <c r="L382" i="42"/>
  <c r="M382" i="42"/>
  <c r="L383" i="42"/>
  <c r="M383" i="42"/>
  <c r="L384" i="42"/>
  <c r="M384" i="42"/>
  <c r="L385" i="42"/>
  <c r="M385" i="42"/>
  <c r="L386" i="42"/>
  <c r="M386" i="42"/>
  <c r="L387" i="42"/>
  <c r="M387" i="42"/>
  <c r="L388" i="42"/>
  <c r="M388" i="42"/>
  <c r="L389" i="42"/>
  <c r="M389" i="42"/>
  <c r="L390" i="42"/>
  <c r="M390" i="42"/>
  <c r="L391" i="42"/>
  <c r="M391" i="42"/>
  <c r="L392" i="42"/>
  <c r="M392" i="42"/>
  <c r="L393" i="42"/>
  <c r="M393" i="42"/>
  <c r="L394" i="42"/>
  <c r="M394" i="42"/>
  <c r="L395" i="42"/>
  <c r="M395" i="42"/>
  <c r="L396" i="42"/>
  <c r="M396" i="42"/>
  <c r="L397" i="42"/>
  <c r="M397" i="42"/>
  <c r="L398" i="42"/>
  <c r="M398" i="42"/>
  <c r="L399" i="42"/>
  <c r="M399" i="42"/>
  <c r="L400" i="42"/>
  <c r="M400" i="42"/>
  <c r="L401" i="42"/>
  <c r="M401" i="42"/>
  <c r="L402" i="42"/>
  <c r="M402" i="42"/>
  <c r="L403" i="42"/>
  <c r="M403" i="42"/>
  <c r="L404" i="42"/>
  <c r="M404" i="42"/>
  <c r="L405" i="42"/>
  <c r="M405" i="42"/>
  <c r="L406" i="42"/>
  <c r="M406" i="42"/>
  <c r="L407" i="42"/>
  <c r="M407" i="42"/>
  <c r="L408" i="42"/>
  <c r="M408" i="42"/>
  <c r="L409" i="42"/>
  <c r="M409" i="42"/>
  <c r="L410" i="42"/>
  <c r="M410" i="42"/>
  <c r="L411" i="42"/>
  <c r="M411" i="42"/>
  <c r="L412" i="42"/>
  <c r="M412" i="42"/>
  <c r="L413" i="42"/>
  <c r="M413" i="42"/>
  <c r="L414" i="42"/>
  <c r="M414" i="42"/>
  <c r="L415" i="42"/>
  <c r="M415" i="42"/>
  <c r="L416" i="42"/>
  <c r="M416" i="42"/>
  <c r="L417" i="42"/>
  <c r="M417" i="42"/>
  <c r="L418" i="42"/>
  <c r="M418" i="42"/>
  <c r="L419" i="42"/>
  <c r="M419" i="42"/>
  <c r="L420" i="42"/>
  <c r="M420" i="42"/>
  <c r="L421" i="42"/>
  <c r="M421" i="42"/>
  <c r="L422" i="42"/>
  <c r="M422" i="42"/>
  <c r="L423" i="42"/>
  <c r="M423" i="42"/>
  <c r="L424" i="42"/>
  <c r="M424" i="42"/>
  <c r="L425" i="42"/>
  <c r="M425" i="42"/>
  <c r="L426" i="42"/>
  <c r="M426" i="42"/>
  <c r="L427" i="42"/>
  <c r="M427" i="42"/>
  <c r="L428" i="42"/>
  <c r="M428" i="42"/>
  <c r="L429" i="42"/>
  <c r="M429" i="42"/>
  <c r="L430" i="42"/>
  <c r="M430" i="42"/>
  <c r="L431" i="42"/>
  <c r="M431" i="42"/>
  <c r="L432" i="42"/>
  <c r="M432" i="42"/>
  <c r="L433" i="42"/>
  <c r="M433" i="42"/>
  <c r="L434" i="42"/>
  <c r="M434" i="42"/>
  <c r="L435" i="42"/>
  <c r="M435" i="42"/>
  <c r="L436" i="42"/>
  <c r="M436" i="42"/>
  <c r="L437" i="42"/>
  <c r="M437" i="42"/>
  <c r="L438" i="42"/>
  <c r="M438" i="42"/>
  <c r="L439" i="42"/>
  <c r="M439" i="42"/>
  <c r="L440" i="42"/>
  <c r="M440" i="42"/>
  <c r="L441" i="42"/>
  <c r="M441" i="42"/>
  <c r="L442" i="42"/>
  <c r="M442" i="42"/>
  <c r="L443" i="42"/>
  <c r="M443" i="42"/>
  <c r="L444" i="42"/>
  <c r="M444" i="42"/>
  <c r="L445" i="42"/>
  <c r="M445" i="42"/>
  <c r="L446" i="42"/>
  <c r="M446" i="42"/>
  <c r="L447" i="42"/>
  <c r="M447" i="42"/>
  <c r="L448" i="42"/>
  <c r="M448" i="42"/>
  <c r="L449" i="42"/>
  <c r="M449" i="42"/>
  <c r="L450" i="42"/>
  <c r="M450" i="42"/>
  <c r="L451" i="42"/>
  <c r="M451" i="42"/>
  <c r="L452" i="42"/>
  <c r="M452" i="42"/>
  <c r="L453" i="42"/>
  <c r="M453" i="42"/>
  <c r="L454" i="42"/>
  <c r="M454" i="42"/>
  <c r="L455" i="42"/>
  <c r="M455" i="42"/>
  <c r="L456" i="42"/>
  <c r="M456" i="42"/>
  <c r="L457" i="42"/>
  <c r="M457" i="42"/>
  <c r="L458" i="42"/>
  <c r="M458" i="42"/>
  <c r="L459" i="42"/>
  <c r="M459" i="42"/>
  <c r="L460" i="42"/>
  <c r="M460" i="42"/>
  <c r="L461" i="42"/>
  <c r="M461" i="42"/>
  <c r="L462" i="42"/>
  <c r="M462" i="42"/>
  <c r="L463" i="42"/>
  <c r="M463" i="42"/>
  <c r="L464" i="42"/>
  <c r="M464" i="42"/>
  <c r="L465" i="42"/>
  <c r="M465" i="42"/>
  <c r="L466" i="42"/>
  <c r="M466" i="42"/>
  <c r="L467" i="42"/>
  <c r="M467" i="42"/>
  <c r="L468" i="42"/>
  <c r="M468" i="42"/>
  <c r="L469" i="42"/>
  <c r="M469" i="42"/>
  <c r="L470" i="42"/>
  <c r="M470" i="42"/>
  <c r="L471" i="42"/>
  <c r="M471" i="42"/>
  <c r="L472" i="42"/>
  <c r="M472" i="42"/>
  <c r="L473" i="42"/>
  <c r="M473" i="42"/>
  <c r="L474" i="42"/>
  <c r="M474" i="42"/>
  <c r="L475" i="42"/>
  <c r="M475" i="42"/>
  <c r="L476" i="42"/>
  <c r="M476" i="42"/>
  <c r="L477" i="42"/>
  <c r="M477" i="42"/>
  <c r="L478" i="42"/>
  <c r="M478" i="42"/>
  <c r="L479" i="42"/>
  <c r="M479" i="42"/>
  <c r="L480" i="42"/>
  <c r="M480" i="42"/>
  <c r="L481" i="42"/>
  <c r="M481" i="42"/>
  <c r="L482" i="42"/>
  <c r="M482" i="42"/>
  <c r="L483" i="42"/>
  <c r="M483" i="42"/>
  <c r="L484" i="42"/>
  <c r="M484" i="42"/>
  <c r="L485" i="42"/>
  <c r="M485" i="42"/>
  <c r="L486" i="42"/>
  <c r="M486" i="42"/>
  <c r="L487" i="42"/>
  <c r="M487" i="42"/>
  <c r="L488" i="42"/>
  <c r="M488" i="42"/>
  <c r="L489" i="42"/>
  <c r="M489" i="42"/>
  <c r="L490" i="42"/>
  <c r="M490" i="42"/>
  <c r="L491" i="42"/>
  <c r="M491" i="42"/>
  <c r="L492" i="42"/>
  <c r="M492" i="42"/>
  <c r="L493" i="42"/>
  <c r="M493" i="42"/>
  <c r="L494" i="42"/>
  <c r="M494" i="42"/>
  <c r="L495" i="42"/>
  <c r="M495" i="42"/>
  <c r="L496" i="42"/>
  <c r="M496" i="42"/>
  <c r="L497" i="42"/>
  <c r="M497" i="42"/>
  <c r="L498" i="42"/>
  <c r="M498" i="42"/>
  <c r="L499" i="42"/>
  <c r="M499" i="42"/>
  <c r="L500" i="42"/>
  <c r="M500" i="42"/>
  <c r="L501" i="42"/>
  <c r="M501" i="42"/>
  <c r="L502" i="42"/>
  <c r="M502" i="42"/>
  <c r="L503" i="42"/>
  <c r="M503" i="42"/>
  <c r="L504" i="42"/>
  <c r="M504" i="42"/>
  <c r="L505" i="42"/>
  <c r="M505" i="42"/>
  <c r="L506" i="42"/>
  <c r="M506" i="42"/>
  <c r="L507" i="42"/>
  <c r="M507" i="42"/>
  <c r="L508" i="42"/>
  <c r="M508" i="42"/>
  <c r="L509" i="42"/>
  <c r="M509" i="42"/>
  <c r="L510" i="42"/>
  <c r="M510" i="42"/>
  <c r="L511" i="42"/>
  <c r="M511" i="42"/>
  <c r="L512" i="42"/>
  <c r="M512" i="42"/>
  <c r="L513" i="42"/>
  <c r="M513" i="42"/>
  <c r="L514" i="42"/>
  <c r="M514" i="42"/>
  <c r="L515" i="42"/>
  <c r="M515" i="42"/>
  <c r="L516" i="42"/>
  <c r="M516" i="42"/>
  <c r="L517" i="42"/>
  <c r="M517" i="42"/>
  <c r="L518" i="42"/>
  <c r="M518" i="42"/>
  <c r="L519" i="42"/>
  <c r="M519" i="42"/>
  <c r="L520" i="42"/>
  <c r="M520" i="42"/>
  <c r="L521" i="42"/>
  <c r="M521" i="42"/>
  <c r="L522" i="42"/>
  <c r="M522" i="42"/>
  <c r="L523" i="42"/>
  <c r="M523" i="42"/>
  <c r="L524" i="42"/>
  <c r="M524" i="42"/>
  <c r="L525" i="42"/>
  <c r="M525" i="42"/>
  <c r="L526" i="42"/>
  <c r="M526" i="42"/>
  <c r="L527" i="42"/>
  <c r="M527" i="42"/>
  <c r="L528" i="42"/>
  <c r="M528" i="42"/>
  <c r="L529" i="42"/>
  <c r="M529" i="42"/>
  <c r="L530" i="42"/>
  <c r="M530" i="42"/>
  <c r="L531" i="42"/>
  <c r="M531" i="42"/>
  <c r="L532" i="42"/>
  <c r="M532" i="42"/>
  <c r="L533" i="42"/>
  <c r="M533" i="42"/>
  <c r="L534" i="42"/>
  <c r="M534" i="42"/>
  <c r="L535" i="42"/>
  <c r="M535" i="42"/>
  <c r="L536" i="42"/>
  <c r="M536" i="42"/>
  <c r="L537" i="42"/>
  <c r="M537" i="42"/>
  <c r="L538" i="42"/>
  <c r="M538" i="42"/>
  <c r="L539" i="42"/>
  <c r="M539" i="42"/>
  <c r="L540" i="42"/>
  <c r="M540" i="42"/>
  <c r="L541" i="42"/>
  <c r="M541" i="42"/>
  <c r="L542" i="42"/>
  <c r="M542" i="42"/>
  <c r="L543" i="42"/>
  <c r="M543" i="42"/>
  <c r="L544" i="42"/>
  <c r="M544" i="42"/>
  <c r="L545" i="42"/>
  <c r="M545" i="42"/>
  <c r="L546" i="42"/>
  <c r="M546" i="42"/>
  <c r="L547" i="42"/>
  <c r="M547" i="42"/>
  <c r="L548" i="42"/>
  <c r="M548" i="42"/>
  <c r="L549" i="42"/>
  <c r="M549" i="42"/>
  <c r="L550" i="42"/>
  <c r="M550" i="42"/>
  <c r="L551" i="42"/>
  <c r="M551" i="42"/>
  <c r="L552" i="42"/>
  <c r="M552" i="42"/>
  <c r="L553" i="42"/>
  <c r="M553" i="42"/>
  <c r="L554" i="42"/>
  <c r="M554" i="42"/>
  <c r="L555" i="42"/>
  <c r="M555" i="42"/>
  <c r="L556" i="42"/>
  <c r="M556" i="42"/>
  <c r="L557" i="42"/>
  <c r="M557" i="42"/>
  <c r="L558" i="42"/>
  <c r="M558" i="42"/>
  <c r="L559" i="42"/>
  <c r="M559" i="42"/>
  <c r="L560" i="42"/>
  <c r="M560" i="42"/>
  <c r="L561" i="42"/>
  <c r="M561" i="42"/>
  <c r="L562" i="42"/>
  <c r="M562" i="42"/>
  <c r="L563" i="42"/>
  <c r="M563" i="42"/>
  <c r="L564" i="42"/>
  <c r="M564" i="42"/>
  <c r="L565" i="42"/>
  <c r="M565" i="42"/>
  <c r="L566" i="42"/>
  <c r="M566" i="42"/>
  <c r="L567" i="42"/>
  <c r="M567" i="42"/>
  <c r="L568" i="42"/>
  <c r="M568" i="42"/>
  <c r="L569" i="42"/>
  <c r="M569" i="42"/>
  <c r="L570" i="42"/>
  <c r="M570" i="42"/>
  <c r="L571" i="42"/>
  <c r="M571" i="42"/>
  <c r="L572" i="42"/>
  <c r="M572" i="42"/>
  <c r="L573" i="42"/>
  <c r="M573" i="42"/>
  <c r="L574" i="42"/>
  <c r="M574" i="42"/>
  <c r="L575" i="42"/>
  <c r="M575" i="42"/>
  <c r="L576" i="42"/>
  <c r="M576" i="42"/>
  <c r="L577" i="42"/>
  <c r="M577" i="42"/>
  <c r="L578" i="42"/>
  <c r="M578" i="42"/>
  <c r="L579" i="42"/>
  <c r="M579" i="42"/>
  <c r="L580" i="42"/>
  <c r="M580" i="42"/>
  <c r="L581" i="42"/>
  <c r="M581" i="42"/>
  <c r="L582" i="42"/>
  <c r="M582" i="42"/>
  <c r="L583" i="42"/>
  <c r="M583" i="42"/>
  <c r="L584" i="42"/>
  <c r="M584" i="42"/>
  <c r="L585" i="42"/>
  <c r="M585" i="42"/>
  <c r="L586" i="42"/>
  <c r="M586" i="42"/>
  <c r="L587" i="42"/>
  <c r="M587" i="42"/>
  <c r="L588" i="42"/>
  <c r="M588" i="42"/>
  <c r="L589" i="42"/>
  <c r="M589" i="42"/>
  <c r="L590" i="42"/>
  <c r="M590" i="42"/>
  <c r="L591" i="42"/>
  <c r="M591" i="42"/>
  <c r="L592" i="42"/>
  <c r="M592" i="42"/>
  <c r="L593" i="42"/>
  <c r="M593" i="42"/>
  <c r="L594" i="42"/>
  <c r="M594" i="42"/>
  <c r="L595" i="42"/>
  <c r="M595" i="42"/>
  <c r="L596" i="42"/>
  <c r="M596" i="42"/>
  <c r="L597" i="42"/>
  <c r="M597" i="42"/>
  <c r="L598" i="42"/>
  <c r="M598" i="42"/>
  <c r="L599" i="42"/>
  <c r="M599" i="42"/>
  <c r="L600" i="42"/>
  <c r="M600" i="42"/>
  <c r="L601" i="42"/>
  <c r="M601" i="42"/>
  <c r="L602" i="42"/>
  <c r="M602" i="42"/>
  <c r="L603" i="42"/>
  <c r="M603" i="42"/>
  <c r="L604" i="42"/>
  <c r="M604" i="42"/>
  <c r="L605" i="42"/>
  <c r="M605" i="42"/>
  <c r="L606" i="42"/>
  <c r="M606" i="42"/>
  <c r="L607" i="42"/>
  <c r="M607" i="42"/>
  <c r="L608" i="42"/>
  <c r="M608" i="42"/>
  <c r="L609" i="42"/>
  <c r="M609" i="42"/>
  <c r="L610" i="42"/>
  <c r="M610" i="42"/>
  <c r="L611" i="42"/>
  <c r="M611" i="42"/>
  <c r="L612" i="42"/>
  <c r="M612" i="42"/>
  <c r="L613" i="42"/>
  <c r="M613" i="42"/>
  <c r="L614" i="42"/>
  <c r="M614" i="42"/>
  <c r="L615" i="42"/>
  <c r="M615" i="42"/>
  <c r="L616" i="42"/>
  <c r="M616" i="42"/>
  <c r="L617" i="42"/>
  <c r="M617" i="42"/>
  <c r="L618" i="42"/>
  <c r="M618" i="42"/>
  <c r="L619" i="42"/>
  <c r="M619" i="42"/>
  <c r="L620" i="42"/>
  <c r="M620" i="42"/>
  <c r="L621" i="42"/>
  <c r="M621" i="42"/>
  <c r="L622" i="42"/>
  <c r="M622" i="42"/>
  <c r="L623" i="42"/>
  <c r="M623" i="42"/>
  <c r="L624" i="42"/>
  <c r="M624" i="42"/>
  <c r="L625" i="42"/>
  <c r="M625" i="42"/>
  <c r="L626" i="42"/>
  <c r="M626" i="42"/>
  <c r="L627" i="42"/>
  <c r="M627" i="42"/>
  <c r="L628" i="42"/>
  <c r="M628" i="42"/>
  <c r="L629" i="42"/>
  <c r="M629" i="42"/>
  <c r="L630" i="42"/>
  <c r="M630" i="42"/>
  <c r="L631" i="42"/>
  <c r="M631" i="42"/>
  <c r="L632" i="42"/>
  <c r="M632" i="42"/>
  <c r="L633" i="42"/>
  <c r="M633" i="42"/>
  <c r="L634" i="42"/>
  <c r="M634" i="42"/>
  <c r="L635" i="42"/>
  <c r="M635" i="42"/>
  <c r="L636" i="42"/>
  <c r="M636" i="42"/>
  <c r="L637" i="42"/>
  <c r="M637" i="42"/>
  <c r="L638" i="42"/>
  <c r="M638" i="42"/>
  <c r="L639" i="42"/>
  <c r="M639" i="42"/>
  <c r="L640" i="42"/>
  <c r="M640" i="42"/>
  <c r="L641" i="42"/>
  <c r="M641" i="42"/>
  <c r="L642" i="42"/>
  <c r="M642" i="42"/>
  <c r="L643" i="42"/>
  <c r="M643" i="42"/>
  <c r="L644" i="42"/>
  <c r="M644" i="42"/>
  <c r="L645" i="42"/>
  <c r="M645" i="42"/>
  <c r="L646" i="42"/>
  <c r="M646" i="42"/>
  <c r="L647" i="42"/>
  <c r="M647" i="42"/>
  <c r="L648" i="42"/>
  <c r="M648" i="42"/>
  <c r="L649" i="42"/>
  <c r="M649" i="42"/>
  <c r="L650" i="42"/>
  <c r="M650" i="42"/>
  <c r="L651" i="42"/>
  <c r="M651" i="42"/>
  <c r="L652" i="42"/>
  <c r="M652" i="42"/>
  <c r="L653" i="42"/>
  <c r="M653" i="42"/>
  <c r="L654" i="42"/>
  <c r="M654" i="42"/>
  <c r="L655" i="42"/>
  <c r="M655" i="42"/>
  <c r="L656" i="42"/>
  <c r="M656" i="42"/>
  <c r="L657" i="42"/>
  <c r="M657" i="42"/>
  <c r="L658" i="42"/>
  <c r="M658" i="42"/>
  <c r="L659" i="42"/>
  <c r="M659" i="42"/>
  <c r="L660" i="42"/>
  <c r="M660" i="42"/>
  <c r="L661" i="42"/>
  <c r="M661" i="42"/>
  <c r="L662" i="42"/>
  <c r="M662" i="42"/>
  <c r="L663" i="42"/>
  <c r="M663" i="42"/>
  <c r="L664" i="42"/>
  <c r="M664" i="42"/>
  <c r="L665" i="42"/>
  <c r="M665" i="42"/>
  <c r="L666" i="42"/>
  <c r="M666" i="42"/>
  <c r="L667" i="42"/>
  <c r="M667" i="42"/>
  <c r="L668" i="42"/>
  <c r="M668" i="42"/>
  <c r="L669" i="42"/>
  <c r="M669" i="42"/>
  <c r="L670" i="42"/>
  <c r="M670" i="42"/>
  <c r="L671" i="42"/>
  <c r="M671" i="42"/>
  <c r="L672" i="42"/>
  <c r="M672" i="42"/>
  <c r="L673" i="42"/>
  <c r="M673" i="42"/>
  <c r="L674" i="42"/>
  <c r="M674" i="42"/>
  <c r="L675" i="42"/>
  <c r="M675" i="42"/>
  <c r="L676" i="42"/>
  <c r="M676" i="42"/>
  <c r="L677" i="42"/>
  <c r="M677" i="42"/>
  <c r="L678" i="42"/>
  <c r="M678" i="42"/>
  <c r="L679" i="42"/>
  <c r="M679" i="42"/>
  <c r="L680" i="42"/>
  <c r="M680" i="42"/>
  <c r="L681" i="42"/>
  <c r="M681" i="42"/>
  <c r="L682" i="42"/>
  <c r="M682" i="42"/>
  <c r="L683" i="42"/>
  <c r="M683" i="42"/>
  <c r="L684" i="42"/>
  <c r="M684" i="42"/>
  <c r="L685" i="42"/>
  <c r="M685" i="42"/>
  <c r="L686" i="42"/>
  <c r="M686" i="42"/>
  <c r="L687" i="42"/>
  <c r="M687" i="42"/>
  <c r="L688" i="42"/>
  <c r="M688" i="42"/>
  <c r="L689" i="42"/>
  <c r="M689" i="42"/>
  <c r="L690" i="42"/>
  <c r="M690" i="42"/>
  <c r="L691" i="42"/>
  <c r="M691" i="42"/>
  <c r="L692" i="42"/>
  <c r="M692" i="42"/>
  <c r="L693" i="42"/>
  <c r="M693" i="42"/>
  <c r="L694" i="42"/>
  <c r="M694" i="42"/>
  <c r="L695" i="42"/>
  <c r="M695" i="42"/>
  <c r="L696" i="42"/>
  <c r="M696" i="42"/>
  <c r="L697" i="42"/>
  <c r="M697" i="42"/>
  <c r="L698" i="42"/>
  <c r="M698" i="42"/>
  <c r="L699" i="42"/>
  <c r="M699" i="42"/>
  <c r="L700" i="42"/>
  <c r="M700" i="42"/>
  <c r="L701" i="42"/>
  <c r="M701" i="42"/>
  <c r="L702" i="42"/>
  <c r="M702" i="42"/>
  <c r="L703" i="42"/>
  <c r="M703" i="42"/>
  <c r="L704" i="42"/>
  <c r="M704" i="42"/>
  <c r="L705" i="42"/>
  <c r="M705" i="42"/>
  <c r="L706" i="42"/>
  <c r="M706" i="42"/>
  <c r="L707" i="42"/>
  <c r="M707" i="42"/>
  <c r="L708" i="42"/>
  <c r="M708" i="42"/>
  <c r="L709" i="42"/>
  <c r="M709" i="42"/>
  <c r="L710" i="42"/>
  <c r="M710" i="42"/>
  <c r="L711" i="42"/>
  <c r="M711" i="42"/>
  <c r="L712" i="42"/>
  <c r="M712" i="42"/>
  <c r="L713" i="42"/>
  <c r="M713" i="42"/>
  <c r="L714" i="42"/>
  <c r="M714" i="42"/>
  <c r="L715" i="42"/>
  <c r="M715" i="42"/>
  <c r="L716" i="42"/>
  <c r="M716" i="42"/>
  <c r="L717" i="42"/>
  <c r="M717" i="42"/>
  <c r="L718" i="42"/>
  <c r="M718" i="42"/>
  <c r="L719" i="42"/>
  <c r="M719" i="42"/>
  <c r="L720" i="42"/>
  <c r="M720" i="42"/>
  <c r="L721" i="42"/>
  <c r="M721" i="42"/>
  <c r="L722" i="42"/>
  <c r="M722" i="42"/>
  <c r="L723" i="42"/>
  <c r="M723" i="42"/>
  <c r="L724" i="42"/>
  <c r="M724" i="42"/>
  <c r="L725" i="42"/>
  <c r="M725" i="42"/>
  <c r="L726" i="42"/>
  <c r="M726" i="42"/>
  <c r="L727" i="42"/>
  <c r="M727" i="42"/>
  <c r="L728" i="42"/>
  <c r="M728" i="42"/>
  <c r="L729" i="42"/>
  <c r="M729" i="42"/>
  <c r="L730" i="42"/>
  <c r="M730" i="42"/>
  <c r="L731" i="42"/>
  <c r="M731" i="42"/>
  <c r="L732" i="42"/>
  <c r="M732" i="42"/>
  <c r="L733" i="42"/>
  <c r="M733" i="42"/>
  <c r="L734" i="42"/>
  <c r="M734" i="42"/>
  <c r="L735" i="42"/>
  <c r="M735" i="42"/>
  <c r="L736" i="42"/>
  <c r="M736" i="42"/>
  <c r="L737" i="42"/>
  <c r="M737" i="42"/>
  <c r="L738" i="42"/>
  <c r="M738" i="42"/>
  <c r="L739" i="42"/>
  <c r="M739" i="42"/>
  <c r="L740" i="42"/>
  <c r="M740" i="42"/>
  <c r="L741" i="42"/>
  <c r="M741" i="42"/>
  <c r="L742" i="42"/>
  <c r="M742" i="42"/>
  <c r="L743" i="42"/>
  <c r="M743" i="42"/>
  <c r="L744" i="42"/>
  <c r="M744" i="42"/>
  <c r="L745" i="42"/>
  <c r="M745" i="42"/>
  <c r="L746" i="42"/>
  <c r="M746" i="42"/>
  <c r="L747" i="42"/>
  <c r="M747" i="42"/>
  <c r="L748" i="42"/>
  <c r="M748" i="42"/>
  <c r="L749" i="42"/>
  <c r="M749" i="42"/>
  <c r="L750" i="42"/>
  <c r="M750" i="42"/>
  <c r="L751" i="42"/>
  <c r="M751" i="42"/>
  <c r="L752" i="42"/>
  <c r="M752" i="42"/>
  <c r="L753" i="42"/>
  <c r="M753" i="42"/>
  <c r="L754" i="42"/>
  <c r="M754" i="42"/>
  <c r="L755" i="42"/>
  <c r="M755" i="42"/>
  <c r="L756" i="42"/>
  <c r="M756" i="42"/>
  <c r="L757" i="42"/>
  <c r="M757" i="42"/>
  <c r="L758" i="42"/>
  <c r="M758" i="42"/>
  <c r="L759" i="42"/>
  <c r="M759" i="42"/>
  <c r="L760" i="42"/>
  <c r="M760" i="42"/>
  <c r="L761" i="42"/>
  <c r="M761" i="42"/>
  <c r="L762" i="42"/>
  <c r="M762" i="42"/>
  <c r="L763" i="42"/>
  <c r="M763" i="42"/>
  <c r="L764" i="42"/>
  <c r="M764" i="42"/>
  <c r="L765" i="42"/>
  <c r="M765" i="42"/>
  <c r="L766" i="42"/>
  <c r="M766" i="42"/>
  <c r="L767" i="42"/>
  <c r="M767" i="42"/>
  <c r="L768" i="42"/>
  <c r="M768" i="42"/>
  <c r="L769" i="42"/>
  <c r="M769" i="42"/>
  <c r="L770" i="42"/>
  <c r="M770" i="42"/>
  <c r="L771" i="42"/>
  <c r="M771" i="42"/>
  <c r="L772" i="42"/>
  <c r="M772" i="42"/>
  <c r="L773" i="42"/>
  <c r="M773" i="42"/>
  <c r="L774" i="42"/>
  <c r="M774" i="42"/>
  <c r="L775" i="42"/>
  <c r="M775" i="42"/>
  <c r="L776" i="42"/>
  <c r="M776" i="42"/>
  <c r="L777" i="42"/>
  <c r="M777" i="42"/>
  <c r="L778" i="42"/>
  <c r="M778" i="42"/>
  <c r="L779" i="42"/>
  <c r="M779" i="42"/>
  <c r="L780" i="42"/>
  <c r="M780" i="42"/>
  <c r="L781" i="42"/>
  <c r="M781" i="42"/>
  <c r="L782" i="42"/>
  <c r="M782" i="42"/>
  <c r="L783" i="42"/>
  <c r="M783" i="42"/>
  <c r="L784" i="42"/>
  <c r="M784" i="42"/>
  <c r="L785" i="42"/>
  <c r="M785" i="42"/>
  <c r="L786" i="42"/>
  <c r="M786" i="42"/>
  <c r="L787" i="42"/>
  <c r="M787" i="42"/>
  <c r="L788" i="42"/>
  <c r="M788" i="42"/>
  <c r="L789" i="42"/>
  <c r="M789" i="42"/>
  <c r="L790" i="42"/>
  <c r="M790" i="42"/>
  <c r="L791" i="42"/>
  <c r="M791" i="42"/>
  <c r="L792" i="42"/>
  <c r="M792" i="42"/>
  <c r="L793" i="42"/>
  <c r="M793" i="42"/>
  <c r="L794" i="42"/>
  <c r="M794" i="42"/>
  <c r="L795" i="42"/>
  <c r="M795" i="42"/>
  <c r="L796" i="42"/>
  <c r="M796" i="42"/>
  <c r="L797" i="42"/>
  <c r="M797" i="42"/>
  <c r="L798" i="42"/>
  <c r="M798" i="42"/>
  <c r="L799" i="42"/>
  <c r="M799" i="42"/>
  <c r="L800" i="42"/>
  <c r="M800" i="42"/>
  <c r="L801" i="42"/>
  <c r="M801" i="42"/>
  <c r="L802" i="42"/>
  <c r="M802" i="42"/>
  <c r="L803" i="42"/>
  <c r="M803" i="42"/>
  <c r="L804" i="42"/>
  <c r="M804" i="42"/>
  <c r="L805" i="42"/>
  <c r="M805" i="42"/>
  <c r="L806" i="42"/>
  <c r="M806" i="42"/>
  <c r="L807" i="42"/>
  <c r="M807" i="42"/>
  <c r="L808" i="42"/>
  <c r="M808" i="42"/>
  <c r="L809" i="42"/>
  <c r="M809" i="42"/>
  <c r="L810" i="42"/>
  <c r="M810" i="42"/>
  <c r="L811" i="42"/>
  <c r="M811" i="42"/>
  <c r="L812" i="42"/>
  <c r="M812" i="42"/>
  <c r="L813" i="42"/>
  <c r="M813" i="42"/>
  <c r="L814" i="42"/>
  <c r="M814" i="42"/>
  <c r="L815" i="42"/>
  <c r="M815" i="42"/>
  <c r="L816" i="42"/>
  <c r="M816" i="42"/>
  <c r="L817" i="42"/>
  <c r="M817" i="42"/>
  <c r="L818" i="42"/>
  <c r="M818" i="42"/>
  <c r="L819" i="42"/>
  <c r="M819" i="42"/>
  <c r="L820" i="42"/>
  <c r="M820" i="42"/>
  <c r="L821" i="42"/>
  <c r="M821" i="42"/>
  <c r="L822" i="42"/>
  <c r="M822" i="42"/>
  <c r="L823" i="42"/>
  <c r="M823" i="42"/>
  <c r="L824" i="42"/>
  <c r="M824" i="42"/>
  <c r="L825" i="42"/>
  <c r="M825" i="42"/>
  <c r="L826" i="42"/>
  <c r="M826" i="42"/>
  <c r="L827" i="42"/>
  <c r="M827" i="42"/>
  <c r="L828" i="42"/>
  <c r="M828" i="42"/>
  <c r="L829" i="42"/>
  <c r="M829" i="42"/>
  <c r="L830" i="42"/>
  <c r="M830" i="42"/>
  <c r="L831" i="42"/>
  <c r="M831" i="42"/>
  <c r="L832" i="42"/>
  <c r="M832" i="42"/>
  <c r="L833" i="42"/>
  <c r="M833" i="42"/>
  <c r="L834" i="42"/>
  <c r="M834" i="42"/>
  <c r="L835" i="42"/>
  <c r="M835" i="42"/>
  <c r="L836" i="42"/>
  <c r="M836" i="42"/>
  <c r="L837" i="42"/>
  <c r="M837" i="42"/>
  <c r="L838" i="42"/>
  <c r="M838" i="42"/>
  <c r="L839" i="42"/>
  <c r="M839" i="42"/>
  <c r="L840" i="42"/>
  <c r="M840" i="42"/>
  <c r="L841" i="42"/>
  <c r="M841" i="42"/>
  <c r="L842" i="42"/>
  <c r="M842" i="42"/>
  <c r="L843" i="42"/>
  <c r="M843" i="42"/>
  <c r="L844" i="42"/>
  <c r="M844" i="42"/>
  <c r="L845" i="42"/>
  <c r="M845" i="42"/>
  <c r="L846" i="42"/>
  <c r="M846" i="42"/>
  <c r="L847" i="42"/>
  <c r="M847" i="42"/>
  <c r="L848" i="42"/>
  <c r="M848" i="42"/>
  <c r="L849" i="42"/>
  <c r="M849" i="42"/>
  <c r="L850" i="42"/>
  <c r="M850" i="42"/>
  <c r="L851" i="42"/>
  <c r="M851" i="42"/>
  <c r="L852" i="42"/>
  <c r="M852" i="42"/>
  <c r="L853" i="42"/>
  <c r="M853" i="42"/>
  <c r="L854" i="42"/>
  <c r="M854" i="42"/>
  <c r="L855" i="42"/>
  <c r="M855" i="42"/>
  <c r="L856" i="42"/>
  <c r="M856" i="42"/>
  <c r="L857" i="42"/>
  <c r="M857" i="42"/>
  <c r="L858" i="42"/>
  <c r="M858" i="42"/>
  <c r="L859" i="42"/>
  <c r="M859" i="42"/>
  <c r="L860" i="42"/>
  <c r="M860" i="42"/>
  <c r="L861" i="42"/>
  <c r="M861" i="42"/>
  <c r="L862" i="42"/>
  <c r="M862" i="42"/>
  <c r="L863" i="42"/>
  <c r="M863" i="42"/>
  <c r="L864" i="42"/>
  <c r="M864" i="42"/>
  <c r="L865" i="42"/>
  <c r="M865" i="42"/>
  <c r="L866" i="42"/>
  <c r="M866" i="42"/>
  <c r="L867" i="42"/>
  <c r="M867" i="42"/>
  <c r="L868" i="42"/>
  <c r="M868" i="42"/>
  <c r="L869" i="42"/>
  <c r="M869" i="42"/>
  <c r="L870" i="42"/>
  <c r="M870" i="42"/>
  <c r="L871" i="42"/>
  <c r="M871" i="42"/>
  <c r="L872" i="42"/>
  <c r="M872" i="42"/>
  <c r="L873" i="42"/>
  <c r="M873" i="42"/>
  <c r="L874" i="42"/>
  <c r="M874" i="42"/>
  <c r="L875" i="42"/>
  <c r="M875" i="42"/>
  <c r="L876" i="42"/>
  <c r="M876" i="42"/>
  <c r="L877" i="42"/>
  <c r="M877" i="42"/>
  <c r="L878" i="42"/>
  <c r="M878" i="42"/>
  <c r="L879" i="42"/>
  <c r="M879" i="42"/>
  <c r="L880" i="42"/>
  <c r="M880" i="42"/>
  <c r="L881" i="42"/>
  <c r="M881" i="42"/>
  <c r="L882" i="42"/>
  <c r="M882" i="42"/>
  <c r="L883" i="42"/>
  <c r="M883" i="42"/>
  <c r="L884" i="42"/>
  <c r="M884" i="42"/>
  <c r="L885" i="42"/>
  <c r="M885" i="42"/>
  <c r="L886" i="42"/>
  <c r="M886" i="42"/>
  <c r="L887" i="42"/>
  <c r="M887" i="42"/>
  <c r="L888" i="42"/>
  <c r="M888" i="42"/>
  <c r="L889" i="42"/>
  <c r="M889" i="42"/>
  <c r="L890" i="42"/>
  <c r="M890" i="42"/>
  <c r="L891" i="42"/>
  <c r="M891" i="42"/>
  <c r="L892" i="42"/>
  <c r="M892" i="42"/>
  <c r="L893" i="42"/>
  <c r="M893" i="42"/>
  <c r="L894" i="42"/>
  <c r="M894" i="42"/>
  <c r="L895" i="42"/>
  <c r="M895" i="42"/>
  <c r="L896" i="42"/>
  <c r="M896" i="42"/>
  <c r="L897" i="42"/>
  <c r="M897" i="42"/>
  <c r="L898" i="42"/>
  <c r="M898" i="42"/>
  <c r="L899" i="42"/>
  <c r="M899" i="42"/>
  <c r="L900" i="42"/>
  <c r="M900" i="42"/>
  <c r="L901" i="42"/>
  <c r="M901" i="42"/>
  <c r="L902" i="42"/>
  <c r="M902" i="42"/>
  <c r="L903" i="42"/>
  <c r="M903" i="42"/>
  <c r="L904" i="42"/>
  <c r="M904" i="42"/>
  <c r="L905" i="42"/>
  <c r="M905" i="42"/>
  <c r="L906" i="42"/>
  <c r="M906" i="42"/>
  <c r="L907" i="42"/>
  <c r="M907" i="42"/>
  <c r="L908" i="42"/>
  <c r="M908" i="42"/>
  <c r="L909" i="42"/>
  <c r="M909" i="42"/>
  <c r="L910" i="42"/>
  <c r="M910" i="42"/>
  <c r="L911" i="42"/>
  <c r="M911" i="42"/>
  <c r="L912" i="42"/>
  <c r="M912" i="42"/>
  <c r="L913" i="42"/>
  <c r="M913" i="42"/>
  <c r="L914" i="42"/>
  <c r="M914" i="42"/>
  <c r="L915" i="42"/>
  <c r="M915" i="42"/>
  <c r="L916" i="42"/>
  <c r="M916" i="42"/>
  <c r="L917" i="42"/>
  <c r="M917" i="42"/>
  <c r="L918" i="42"/>
  <c r="M918" i="42"/>
  <c r="L919" i="42"/>
  <c r="M919" i="42"/>
  <c r="L920" i="42"/>
  <c r="M920" i="42"/>
  <c r="L921" i="42"/>
  <c r="M921" i="42"/>
  <c r="L922" i="42"/>
  <c r="M922" i="42"/>
  <c r="L923" i="42"/>
  <c r="M923" i="42"/>
  <c r="L924" i="42"/>
  <c r="M924" i="42"/>
  <c r="L925" i="42"/>
  <c r="M925" i="42"/>
  <c r="L926" i="42"/>
  <c r="M926" i="42"/>
  <c r="L927" i="42"/>
  <c r="M927" i="42"/>
  <c r="L928" i="42"/>
  <c r="M928" i="42"/>
  <c r="L929" i="42"/>
  <c r="M929" i="42"/>
  <c r="L930" i="42"/>
  <c r="M930" i="42"/>
  <c r="L931" i="42"/>
  <c r="M931" i="42"/>
  <c r="L932" i="42"/>
  <c r="M932" i="42"/>
  <c r="L933" i="42"/>
  <c r="M933" i="42"/>
  <c r="L934" i="42"/>
  <c r="M934" i="42"/>
  <c r="L935" i="42"/>
  <c r="M935" i="42"/>
  <c r="L936" i="42"/>
  <c r="M936" i="42"/>
  <c r="L937" i="42"/>
  <c r="M937" i="42"/>
  <c r="L938" i="42"/>
  <c r="M938" i="42"/>
  <c r="L939" i="42"/>
  <c r="M939" i="42"/>
  <c r="L940" i="42"/>
  <c r="M940" i="42"/>
  <c r="L941" i="42"/>
  <c r="M941" i="42"/>
  <c r="L942" i="42"/>
  <c r="M942" i="42"/>
  <c r="L943" i="42"/>
  <c r="M943" i="42"/>
  <c r="L944" i="42"/>
  <c r="M944" i="42"/>
  <c r="L945" i="42"/>
  <c r="M945" i="42"/>
  <c r="L946" i="42"/>
  <c r="M946" i="42"/>
  <c r="L947" i="42"/>
  <c r="M947" i="42"/>
  <c r="L948" i="42"/>
  <c r="M948" i="42"/>
  <c r="L949" i="42"/>
  <c r="M949" i="42"/>
  <c r="L950" i="42"/>
  <c r="M950" i="42"/>
  <c r="L951" i="42"/>
  <c r="M951" i="42"/>
  <c r="L952" i="42"/>
  <c r="M952" i="42"/>
  <c r="L953" i="42"/>
  <c r="M953" i="42"/>
  <c r="L954" i="42"/>
  <c r="M954" i="42"/>
  <c r="L955" i="42"/>
  <c r="M955" i="42"/>
  <c r="L956" i="42"/>
  <c r="M956" i="42"/>
  <c r="L957" i="42"/>
  <c r="M957" i="42"/>
  <c r="L958" i="42"/>
  <c r="M958" i="42"/>
  <c r="L959" i="42"/>
  <c r="M959" i="42"/>
  <c r="L960" i="42"/>
  <c r="M960" i="42"/>
  <c r="L961" i="42"/>
  <c r="M961" i="42"/>
  <c r="L962" i="42"/>
  <c r="M962" i="42"/>
  <c r="L963" i="42"/>
  <c r="M963" i="42"/>
  <c r="L964" i="42"/>
  <c r="M964" i="42"/>
  <c r="L965" i="42"/>
  <c r="M965" i="42"/>
  <c r="L966" i="42"/>
  <c r="M966" i="42"/>
  <c r="L967" i="42"/>
  <c r="M967" i="42"/>
  <c r="L968" i="42"/>
  <c r="M968" i="42"/>
  <c r="L969" i="42"/>
  <c r="M969" i="42"/>
  <c r="L970" i="42"/>
  <c r="M970" i="42"/>
  <c r="L971" i="42"/>
  <c r="M971" i="42"/>
  <c r="L972" i="42"/>
  <c r="M972" i="42"/>
  <c r="L973" i="42"/>
  <c r="M973" i="42"/>
  <c r="L974" i="42"/>
  <c r="M974" i="42"/>
  <c r="L975" i="42"/>
  <c r="M975" i="42"/>
  <c r="L976" i="42"/>
  <c r="M976" i="42"/>
  <c r="L977" i="42"/>
  <c r="M977" i="42"/>
  <c r="L978" i="42"/>
  <c r="M978" i="42"/>
  <c r="L979" i="42"/>
  <c r="M979" i="42"/>
  <c r="L980" i="42"/>
  <c r="M980" i="42"/>
  <c r="L981" i="42"/>
  <c r="M981" i="42"/>
  <c r="L982" i="42"/>
  <c r="M982" i="42"/>
  <c r="L983" i="42"/>
  <c r="M983" i="42"/>
  <c r="L984" i="42"/>
  <c r="M984" i="42"/>
  <c r="L985" i="42"/>
  <c r="M985" i="42"/>
  <c r="L986" i="42"/>
  <c r="M986" i="42"/>
  <c r="L987" i="42"/>
  <c r="M987" i="42"/>
  <c r="L988" i="42"/>
  <c r="M988" i="42"/>
  <c r="L989" i="42"/>
  <c r="M989" i="42"/>
  <c r="L990" i="42"/>
  <c r="M990" i="42"/>
  <c r="L991" i="42"/>
  <c r="M991" i="42"/>
  <c r="L992" i="42"/>
  <c r="M992" i="42"/>
  <c r="L993" i="42"/>
  <c r="M993" i="42"/>
  <c r="L994" i="42"/>
  <c r="M994" i="42"/>
  <c r="L995" i="42"/>
  <c r="M995" i="42"/>
  <c r="L996" i="42"/>
  <c r="M996" i="42"/>
  <c r="L997" i="42"/>
  <c r="M997" i="42"/>
  <c r="L998" i="42"/>
  <c r="M998" i="42"/>
  <c r="L999" i="42"/>
  <c r="M999" i="42"/>
  <c r="L1000" i="42"/>
  <c r="M1000" i="42"/>
  <c r="M341" i="42"/>
  <c r="L342" i="42"/>
  <c r="M342" i="42"/>
  <c r="L343" i="42"/>
  <c r="M343" i="42"/>
  <c r="L344" i="42"/>
  <c r="M344" i="42"/>
  <c r="L345" i="42"/>
  <c r="M345" i="42"/>
  <c r="L346" i="42"/>
  <c r="M346" i="42"/>
  <c r="L347" i="42"/>
  <c r="M347" i="42"/>
  <c r="L348" i="42"/>
  <c r="M348" i="42"/>
  <c r="L349" i="42"/>
  <c r="M349" i="42"/>
  <c r="L58" i="50" l="1"/>
  <c r="H36" i="67"/>
  <c r="I36" i="67" s="1"/>
  <c r="F36" i="67" s="1"/>
  <c r="H35" i="67"/>
  <c r="I35" i="67" s="1"/>
  <c r="F35" i="67" s="1"/>
  <c r="H34" i="67"/>
  <c r="I34" i="67" s="1"/>
  <c r="F34" i="67" s="1"/>
  <c r="C2" i="57" l="1"/>
  <c r="I14" i="67" l="1"/>
  <c r="I17" i="67"/>
  <c r="H26" i="67"/>
  <c r="H31" i="67"/>
  <c r="H30" i="67"/>
  <c r="H29" i="67"/>
  <c r="H28" i="67"/>
  <c r="H27" i="67"/>
  <c r="H10" i="67"/>
  <c r="H24" i="67" s="1"/>
  <c r="L151" i="36"/>
  <c r="K151" i="36"/>
  <c r="M151" i="36"/>
  <c r="M164" i="36" s="1"/>
  <c r="J17" i="67" l="1"/>
  <c r="I31" i="67" s="1"/>
  <c r="F31" i="67" s="1"/>
  <c r="J14" i="67"/>
  <c r="F17" i="67" l="1"/>
  <c r="I28" i="67"/>
  <c r="F28" i="67" s="1"/>
  <c r="F14" i="67"/>
  <c r="G42" i="45" l="1"/>
  <c r="F41" i="45" s="1"/>
  <c r="S2" i="58"/>
  <c r="K92" i="9"/>
  <c r="U2" i="58"/>
  <c r="K107" i="9" l="1"/>
  <c r="P58" i="70"/>
  <c r="J58" i="70" s="1"/>
  <c r="F57" i="70"/>
  <c r="O58" i="70" s="1"/>
  <c r="P35" i="70"/>
  <c r="J35" i="70" s="1"/>
  <c r="F34" i="70"/>
  <c r="O35" i="70" s="1"/>
  <c r="P12" i="70"/>
  <c r="J12" i="70" s="1"/>
  <c r="F11" i="70"/>
  <c r="D7" i="70"/>
  <c r="T113" i="69"/>
  <c r="R113" i="69"/>
  <c r="O113" i="69"/>
  <c r="N113" i="69"/>
  <c r="F113" i="69"/>
  <c r="T112" i="69"/>
  <c r="R112" i="69"/>
  <c r="O112" i="69"/>
  <c r="N112" i="69"/>
  <c r="F112" i="69"/>
  <c r="T111" i="69"/>
  <c r="R111" i="69"/>
  <c r="O111" i="69"/>
  <c r="N111" i="69"/>
  <c r="F111" i="69"/>
  <c r="T110" i="69"/>
  <c r="R110" i="69"/>
  <c r="O110" i="69"/>
  <c r="N110" i="69"/>
  <c r="F110" i="69"/>
  <c r="T109" i="69"/>
  <c r="R109" i="69"/>
  <c r="O109" i="69"/>
  <c r="J119" i="69" s="1"/>
  <c r="N109" i="69"/>
  <c r="F109" i="69"/>
  <c r="AD82" i="69"/>
  <c r="T82" i="69"/>
  <c r="J82" i="69"/>
  <c r="O12" i="70" s="1"/>
  <c r="AD81" i="69"/>
  <c r="T81" i="69"/>
  <c r="J81" i="69"/>
  <c r="AB67" i="69"/>
  <c r="Z67" i="69" s="1"/>
  <c r="R67" i="69"/>
  <c r="T80" i="69" s="1"/>
  <c r="F69" i="69"/>
  <c r="Z64" i="69"/>
  <c r="P64" i="69"/>
  <c r="F64" i="69"/>
  <c r="Z63" i="69"/>
  <c r="P63" i="69"/>
  <c r="F63" i="69"/>
  <c r="Z62" i="69"/>
  <c r="P62" i="69"/>
  <c r="F62" i="69"/>
  <c r="Z35" i="69" a="1"/>
  <c r="Z35" i="69" s="1"/>
  <c r="P35" i="69" a="1"/>
  <c r="P35" i="69" s="1"/>
  <c r="F35" i="69" a="1"/>
  <c r="F35" i="69" s="1"/>
  <c r="Z34" i="69" a="1"/>
  <c r="Z34" i="69" s="1"/>
  <c r="P34" i="69" a="1"/>
  <c r="P34" i="69" s="1"/>
  <c r="F34" i="69" a="1"/>
  <c r="F34" i="69" s="1"/>
  <c r="Z33" i="69" a="1"/>
  <c r="Z33" i="69" s="1"/>
  <c r="P33" i="69" a="1"/>
  <c r="P33" i="69" s="1"/>
  <c r="F33" i="69" a="1"/>
  <c r="F33" i="69" s="1"/>
  <c r="Z32" i="69" a="1"/>
  <c r="Z32" i="69" s="1"/>
  <c r="P32" i="69" a="1"/>
  <c r="P32" i="69" s="1"/>
  <c r="F32" i="69" a="1"/>
  <c r="F32" i="69" s="1"/>
  <c r="Z31" i="69" a="1"/>
  <c r="Z31" i="69" s="1"/>
  <c r="P31" i="69" a="1"/>
  <c r="P31" i="69" s="1"/>
  <c r="F31" i="69" a="1"/>
  <c r="F31" i="69" s="1"/>
  <c r="Z30" i="69" a="1"/>
  <c r="Z30" i="69" s="1"/>
  <c r="P30" i="69" a="1"/>
  <c r="P30" i="69" s="1"/>
  <c r="F30" i="69" a="1"/>
  <c r="F30" i="69" s="1"/>
  <c r="Z29" i="69" a="1"/>
  <c r="Z29" i="69" s="1"/>
  <c r="P29" i="69" a="1"/>
  <c r="P29" i="69" s="1"/>
  <c r="F29" i="69" a="1"/>
  <c r="F29" i="69" s="1"/>
  <c r="Z28" i="69" a="1"/>
  <c r="Z28" i="69" s="1"/>
  <c r="P28" i="69" a="1"/>
  <c r="P28" i="69" s="1"/>
  <c r="F28" i="69" a="1"/>
  <c r="F28" i="69" s="1"/>
  <c r="Z27" i="69" a="1"/>
  <c r="Z27" i="69" s="1"/>
  <c r="P27" i="69" a="1"/>
  <c r="P27" i="69" s="1"/>
  <c r="F27" i="69" a="1"/>
  <c r="F27" i="69" s="1"/>
  <c r="Z26" i="69" a="1"/>
  <c r="Z26" i="69" s="1"/>
  <c r="P26" i="69" a="1"/>
  <c r="P26" i="69" s="1"/>
  <c r="F26" i="69" a="1"/>
  <c r="F26" i="69" s="1"/>
  <c r="Z25" i="69" a="1"/>
  <c r="Z25" i="69" s="1"/>
  <c r="P25" i="69" a="1"/>
  <c r="P25" i="69" s="1"/>
  <c r="F25" i="69" a="1"/>
  <c r="F25" i="69" s="1"/>
  <c r="Z24" i="69" a="1"/>
  <c r="Z24" i="69" s="1"/>
  <c r="P24" i="69" a="1"/>
  <c r="P24" i="69" s="1"/>
  <c r="F24" i="69" a="1"/>
  <c r="F24" i="69" s="1"/>
  <c r="Z23" i="69" a="1"/>
  <c r="Z23" i="69" s="1"/>
  <c r="P23" i="69" a="1"/>
  <c r="P23" i="69" s="1"/>
  <c r="F23" i="69" a="1"/>
  <c r="F23" i="69" s="1"/>
  <c r="Z22" i="69" a="1"/>
  <c r="Z22" i="69" s="1"/>
  <c r="P22" i="69" a="1"/>
  <c r="P22" i="69" s="1"/>
  <c r="F22" i="69" a="1"/>
  <c r="F22" i="69" s="1"/>
  <c r="Z21" i="69" a="1"/>
  <c r="Z21" i="69" s="1"/>
  <c r="P21" i="69" a="1"/>
  <c r="P21" i="69" s="1"/>
  <c r="F21" i="69" a="1"/>
  <c r="F21" i="69" s="1"/>
  <c r="Z20" i="69" a="1"/>
  <c r="Z20" i="69" s="1"/>
  <c r="P20" i="69" a="1"/>
  <c r="P20" i="69" s="1"/>
  <c r="F20" i="69" a="1"/>
  <c r="F20" i="69" s="1"/>
  <c r="Z19" i="69" a="1"/>
  <c r="Z19" i="69" s="1"/>
  <c r="P19" i="69" a="1"/>
  <c r="P19" i="69" s="1"/>
  <c r="F19" i="69" a="1"/>
  <c r="F19" i="69" s="1"/>
  <c r="Z18" i="69" a="1"/>
  <c r="Z18" i="69" s="1"/>
  <c r="P18" i="69" a="1"/>
  <c r="P18" i="69" s="1"/>
  <c r="F18" i="69" a="1"/>
  <c r="F18" i="69" s="1"/>
  <c r="Z17" i="69" a="1"/>
  <c r="Z17" i="69" s="1"/>
  <c r="P17" i="69" a="1"/>
  <c r="P17" i="69" s="1"/>
  <c r="F17" i="69" a="1"/>
  <c r="F17" i="69" s="1"/>
  <c r="Z16" i="69" a="1"/>
  <c r="Z16" i="69" s="1"/>
  <c r="P16" i="69" a="1"/>
  <c r="P16" i="69" s="1"/>
  <c r="F16" i="69" a="1"/>
  <c r="F16" i="69" s="1"/>
  <c r="Z15" i="69" a="1"/>
  <c r="Z15" i="69" s="1"/>
  <c r="P15" i="69" a="1"/>
  <c r="P15" i="69" s="1"/>
  <c r="F15" i="69" a="1"/>
  <c r="F15" i="69" s="1"/>
  <c r="Z14" i="69" a="1"/>
  <c r="Z14" i="69" s="1"/>
  <c r="P14" i="69" a="1"/>
  <c r="P14" i="69" s="1"/>
  <c r="F14" i="69" a="1"/>
  <c r="F14" i="69" s="1"/>
  <c r="Z13" i="69" a="1"/>
  <c r="Z13" i="69" s="1"/>
  <c r="P13" i="69" a="1"/>
  <c r="P13" i="69" s="1"/>
  <c r="F13" i="69" a="1"/>
  <c r="F13" i="69" s="1"/>
  <c r="Z12" i="69" a="1"/>
  <c r="Z12" i="69" s="1"/>
  <c r="P12" i="69" a="1"/>
  <c r="P12" i="69" s="1"/>
  <c r="F12" i="69" a="1"/>
  <c r="F12" i="69" s="1"/>
  <c r="Z11" i="69" a="1"/>
  <c r="Z11" i="69" s="1"/>
  <c r="P11" i="69" a="1"/>
  <c r="P11" i="69" s="1"/>
  <c r="F11" i="69" a="1"/>
  <c r="F11" i="69" s="1"/>
  <c r="D7" i="69"/>
  <c r="D7" i="68"/>
  <c r="H12" i="70" l="1"/>
  <c r="H35" i="70"/>
  <c r="H58" i="70"/>
  <c r="I12" i="70"/>
  <c r="I35" i="70"/>
  <c r="I58" i="70"/>
  <c r="M58" i="70"/>
  <c r="N58" i="70"/>
  <c r="J118" i="69"/>
  <c r="P69" i="69"/>
  <c r="F67" i="69"/>
  <c r="Z69" i="69"/>
  <c r="J120" i="69"/>
  <c r="P67" i="69"/>
  <c r="J80" i="69"/>
  <c r="AD80" i="69"/>
  <c r="K35" i="70" l="1"/>
  <c r="H52" i="70" s="1"/>
  <c r="K12" i="70"/>
  <c r="J29" i="70" s="1"/>
  <c r="L58" i="70"/>
  <c r="H59" i="70" s="1"/>
  <c r="L12" i="70"/>
  <c r="J13" i="70" s="1"/>
  <c r="K58" i="70"/>
  <c r="J75" i="70" s="1"/>
  <c r="L35" i="70"/>
  <c r="H36" i="70" s="1"/>
  <c r="J52" i="70"/>
  <c r="I52" i="70" l="1"/>
  <c r="H61" i="70"/>
  <c r="H68" i="70"/>
  <c r="H72" i="70" s="1"/>
  <c r="I59" i="70"/>
  <c r="J59" i="70"/>
  <c r="J61" i="70" s="1"/>
  <c r="J62" i="70" s="1"/>
  <c r="I29" i="70"/>
  <c r="H29" i="70"/>
  <c r="J68" i="70"/>
  <c r="J71" i="70" s="1"/>
  <c r="I75" i="70"/>
  <c r="H13" i="70"/>
  <c r="I13" i="70"/>
  <c r="H75" i="70"/>
  <c r="J36" i="70"/>
  <c r="I36" i="70"/>
  <c r="J65" i="70" l="1"/>
  <c r="H71" i="70"/>
  <c r="J64" i="70"/>
  <c r="J66" i="70"/>
  <c r="H73" i="70"/>
  <c r="H69" i="70"/>
  <c r="H64" i="70"/>
  <c r="H62" i="70"/>
  <c r="H65" i="70"/>
  <c r="J69" i="70"/>
  <c r="J72" i="70"/>
  <c r="I61" i="70"/>
  <c r="I68" i="70"/>
  <c r="H66" i="70"/>
  <c r="J73" i="70"/>
  <c r="I64" i="70" l="1"/>
  <c r="I65" i="70"/>
  <c r="I62" i="70"/>
  <c r="I66" i="70"/>
  <c r="I71" i="70"/>
  <c r="I69" i="70"/>
  <c r="I72" i="70"/>
  <c r="I73" i="70"/>
  <c r="H23" i="67"/>
  <c r="H22" i="67"/>
  <c r="H21" i="67"/>
  <c r="H17" i="67"/>
  <c r="H16" i="67"/>
  <c r="H15" i="67"/>
  <c r="H14" i="67"/>
  <c r="H13" i="67"/>
  <c r="I13" i="67" s="1"/>
  <c r="H12" i="67"/>
  <c r="H11" i="67"/>
  <c r="H25" i="67" s="1"/>
  <c r="I25" i="67" s="1"/>
  <c r="F25" i="67" s="1"/>
  <c r="D7" i="67"/>
  <c r="K149" i="36"/>
  <c r="L149" i="36"/>
  <c r="L153" i="36"/>
  <c r="K153" i="36"/>
  <c r="M149" i="36"/>
  <c r="J49" i="9"/>
  <c r="K164" i="36" l="1"/>
  <c r="L164" i="36"/>
  <c r="I16" i="67"/>
  <c r="J16" i="67" s="1"/>
  <c r="I12" i="67"/>
  <c r="I15" i="67"/>
  <c r="I24" i="67"/>
  <c r="F24" i="67" s="1"/>
  <c r="K69" i="70"/>
  <c r="I70" i="70" s="1"/>
  <c r="K62" i="70"/>
  <c r="I63" i="70" s="1"/>
  <c r="I76" i="70" s="1"/>
  <c r="I77" i="70" s="1"/>
  <c r="H75" i="45"/>
  <c r="M66" i="48"/>
  <c r="L66" i="48"/>
  <c r="H66" i="48"/>
  <c r="J13" i="67" l="1"/>
  <c r="I30" i="67"/>
  <c r="F30" i="67" s="1"/>
  <c r="F16" i="67"/>
  <c r="J15" i="67"/>
  <c r="J12" i="67"/>
  <c r="H32" i="67" s="1"/>
  <c r="I32" i="67" s="1"/>
  <c r="F32" i="67" s="1"/>
  <c r="H63" i="70"/>
  <c r="H76" i="70" s="1"/>
  <c r="H77" i="70" s="1"/>
  <c r="J63" i="70"/>
  <c r="J76" i="70" s="1"/>
  <c r="J77" i="70" s="1"/>
  <c r="H70" i="70"/>
  <c r="J70" i="70"/>
  <c r="G14" i="65"/>
  <c r="L9" i="65" s="1"/>
  <c r="Y20" i="62" s="1"/>
  <c r="Y25" i="62" s="1"/>
  <c r="Y26" i="62" s="1"/>
  <c r="J9" i="65"/>
  <c r="K18" i="63"/>
  <c r="J18" i="63"/>
  <c r="I18" i="63"/>
  <c r="H18" i="63"/>
  <c r="G18" i="63"/>
  <c r="O18" i="64"/>
  <c r="N18" i="64"/>
  <c r="M18" i="64"/>
  <c r="G2" i="59"/>
  <c r="C2" i="59"/>
  <c r="B2" i="59"/>
  <c r="A2" i="59"/>
  <c r="F2" i="59"/>
  <c r="E2" i="59"/>
  <c r="D2" i="59"/>
  <c r="P2" i="58"/>
  <c r="O2" i="58" s="1"/>
  <c r="R2" i="58"/>
  <c r="AE2" i="58"/>
  <c r="AD2" i="58"/>
  <c r="AC2" i="58"/>
  <c r="AB2" i="58"/>
  <c r="AA2" i="58"/>
  <c r="Z2" i="58"/>
  <c r="Y2" i="58"/>
  <c r="X2" i="58"/>
  <c r="W2" i="58"/>
  <c r="V2" i="58"/>
  <c r="T2" i="58"/>
  <c r="Q2" i="58"/>
  <c r="N2" i="58"/>
  <c r="M2" i="58"/>
  <c r="L2" i="58"/>
  <c r="K2" i="58"/>
  <c r="J2" i="58"/>
  <c r="I2" i="58"/>
  <c r="F2" i="58"/>
  <c r="H2" i="58"/>
  <c r="G2" i="58"/>
  <c r="D2" i="58"/>
  <c r="C2" i="58"/>
  <c r="B2" i="58"/>
  <c r="A2" i="58"/>
  <c r="I27" i="67" l="1"/>
  <c r="F27" i="67" s="1"/>
  <c r="F13" i="67"/>
  <c r="F12" i="67"/>
  <c r="I26" i="67"/>
  <c r="F26" i="67" s="1"/>
  <c r="F15" i="67"/>
  <c r="I29" i="67"/>
  <c r="F29" i="67" s="1"/>
  <c r="F12" i="45" a="1"/>
  <c r="F12" i="45" s="1"/>
  <c r="AV21" i="62"/>
  <c r="AV27" i="62" s="1"/>
  <c r="AV28" i="62" s="1"/>
  <c r="P21" i="62"/>
  <c r="P27" i="62" s="1"/>
  <c r="P28" i="62" s="1"/>
  <c r="O22" i="62"/>
  <c r="O29" i="62" s="1"/>
  <c r="O30" i="62" s="1"/>
  <c r="BC21" i="62"/>
  <c r="BC27" i="62" s="1"/>
  <c r="BC28" i="62" s="1"/>
  <c r="BB22" i="62"/>
  <c r="BB29" i="62" s="1"/>
  <c r="BB30" i="62" s="1"/>
  <c r="V22" i="62"/>
  <c r="V29" i="62" s="1"/>
  <c r="V30" i="62" s="1"/>
  <c r="BB21" i="62"/>
  <c r="BB27" i="62" s="1"/>
  <c r="BB28" i="62" s="1"/>
  <c r="AT21" i="62"/>
  <c r="AT27" i="62" s="1"/>
  <c r="AT28" i="62" s="1"/>
  <c r="AL21" i="62"/>
  <c r="AL27" i="62" s="1"/>
  <c r="AL28" i="62" s="1"/>
  <c r="AD21" i="62"/>
  <c r="AD27" i="62" s="1"/>
  <c r="AD28" i="62" s="1"/>
  <c r="V21" i="62"/>
  <c r="V27" i="62" s="1"/>
  <c r="V28" i="62" s="1"/>
  <c r="N21" i="62"/>
  <c r="N27" i="62" s="1"/>
  <c r="N28" i="62" s="1"/>
  <c r="BA22" i="62"/>
  <c r="BA29" i="62" s="1"/>
  <c r="BA30" i="62" s="1"/>
  <c r="AS22" i="62"/>
  <c r="AS29" i="62" s="1"/>
  <c r="AS30" i="62" s="1"/>
  <c r="AK22" i="62"/>
  <c r="AK29" i="62" s="1"/>
  <c r="AK30" i="62" s="1"/>
  <c r="AC22" i="62"/>
  <c r="AC29" i="62" s="1"/>
  <c r="AC30" i="62" s="1"/>
  <c r="U22" i="62"/>
  <c r="U29" i="62" s="1"/>
  <c r="U30" i="62" s="1"/>
  <c r="M22" i="62"/>
  <c r="M29" i="62" s="1"/>
  <c r="M30" i="62" s="1"/>
  <c r="BA21" i="62"/>
  <c r="BA27" i="62" s="1"/>
  <c r="BA28" i="62" s="1"/>
  <c r="AS21" i="62"/>
  <c r="AS27" i="62" s="1"/>
  <c r="AS28" i="62" s="1"/>
  <c r="AK21" i="62"/>
  <c r="AK27" i="62" s="1"/>
  <c r="AK28" i="62" s="1"/>
  <c r="AC21" i="62"/>
  <c r="AC27" i="62" s="1"/>
  <c r="AC28" i="62" s="1"/>
  <c r="U21" i="62"/>
  <c r="U27" i="62" s="1"/>
  <c r="U28" i="62" s="1"/>
  <c r="M21" i="62"/>
  <c r="M27" i="62" s="1"/>
  <c r="M28" i="62" s="1"/>
  <c r="AZ22" i="62"/>
  <c r="AZ29" i="62" s="1"/>
  <c r="AZ30" i="62" s="1"/>
  <c r="AR22" i="62"/>
  <c r="AR29" i="62" s="1"/>
  <c r="AR30" i="62" s="1"/>
  <c r="AJ22" i="62"/>
  <c r="AJ29" i="62" s="1"/>
  <c r="AJ30" i="62" s="1"/>
  <c r="AB22" i="62"/>
  <c r="AB30" i="62" s="1"/>
  <c r="T22" i="62"/>
  <c r="T29" i="62" s="1"/>
  <c r="T30" i="62" s="1"/>
  <c r="L22" i="62"/>
  <c r="L29" i="62" s="1"/>
  <c r="L30" i="62" s="1"/>
  <c r="BD21" i="62"/>
  <c r="BD27" i="62" s="1"/>
  <c r="BD28" i="62" s="1"/>
  <c r="AF21" i="62"/>
  <c r="AF27" i="62" s="1"/>
  <c r="AF28" i="62" s="1"/>
  <c r="BC22" i="62"/>
  <c r="BC29" i="62" s="1"/>
  <c r="BC30" i="62" s="1"/>
  <c r="AE22" i="62"/>
  <c r="AE29" i="62" s="1"/>
  <c r="AE30" i="62" s="1"/>
  <c r="AU21" i="62"/>
  <c r="AU27" i="62" s="1"/>
  <c r="AU28" i="62" s="1"/>
  <c r="W21" i="62"/>
  <c r="W27" i="62" s="1"/>
  <c r="W28" i="62" s="1"/>
  <c r="AT22" i="62"/>
  <c r="AT29" i="62" s="1"/>
  <c r="AT30" i="62" s="1"/>
  <c r="AD22" i="62"/>
  <c r="AD29" i="62" s="1"/>
  <c r="AD30" i="62" s="1"/>
  <c r="AZ21" i="62"/>
  <c r="AZ27" i="62" s="1"/>
  <c r="AZ28" i="62" s="1"/>
  <c r="AJ21" i="62"/>
  <c r="AJ27" i="62" s="1"/>
  <c r="AJ28" i="62" s="1"/>
  <c r="L21" i="62"/>
  <c r="L27" i="62" s="1"/>
  <c r="L28" i="62" s="1"/>
  <c r="AI22" i="62"/>
  <c r="AI29" i="62" s="1"/>
  <c r="AI30" i="62" s="1"/>
  <c r="K22" i="62"/>
  <c r="K29" i="62" s="1"/>
  <c r="K30" i="62" s="1"/>
  <c r="AY21" i="62"/>
  <c r="AY27" i="62" s="1"/>
  <c r="AY28" i="62" s="1"/>
  <c r="AQ21" i="62"/>
  <c r="AQ27" i="62" s="1"/>
  <c r="AQ28" i="62" s="1"/>
  <c r="AI21" i="62"/>
  <c r="AI27" i="62" s="1"/>
  <c r="AI28" i="62" s="1"/>
  <c r="AA21" i="62"/>
  <c r="AA27" i="62" s="1"/>
  <c r="AA28" i="62" s="1"/>
  <c r="S21" i="62"/>
  <c r="S27" i="62" s="1"/>
  <c r="S28" i="62" s="1"/>
  <c r="K21" i="62"/>
  <c r="K27" i="62" s="1"/>
  <c r="K28" i="62" s="1"/>
  <c r="AX22" i="62"/>
  <c r="AX29" i="62" s="1"/>
  <c r="AX30" i="62" s="1"/>
  <c r="AP22" i="62"/>
  <c r="AP29" i="62" s="1"/>
  <c r="AP30" i="62" s="1"/>
  <c r="AH22" i="62"/>
  <c r="AH29" i="62" s="1"/>
  <c r="AH30" i="62" s="1"/>
  <c r="Z22" i="62"/>
  <c r="Z29" i="62" s="1"/>
  <c r="Z30" i="62" s="1"/>
  <c r="R22" i="62"/>
  <c r="R29" i="62" s="1"/>
  <c r="R30" i="62" s="1"/>
  <c r="J22" i="62"/>
  <c r="J29" i="62" s="1"/>
  <c r="J30" i="62" s="1"/>
  <c r="AU22" i="62"/>
  <c r="AU29" i="62" s="1"/>
  <c r="AU30" i="62" s="1"/>
  <c r="AE21" i="62"/>
  <c r="AE27" i="62" s="1"/>
  <c r="AE28" i="62" s="1"/>
  <c r="AB21" i="62"/>
  <c r="AB27" i="62" s="1"/>
  <c r="AB28" i="62" s="1"/>
  <c r="AQ22" i="62"/>
  <c r="AQ29" i="62" s="1"/>
  <c r="AQ30" i="62" s="1"/>
  <c r="AX21" i="62"/>
  <c r="AX27" i="62" s="1"/>
  <c r="AX28" i="62" s="1"/>
  <c r="AH21" i="62"/>
  <c r="AH27" i="62" s="1"/>
  <c r="AH28" i="62" s="1"/>
  <c r="Z21" i="62"/>
  <c r="Z27" i="62" s="1"/>
  <c r="Z28" i="62" s="1"/>
  <c r="R21" i="62"/>
  <c r="R27" i="62" s="1"/>
  <c r="R28" i="62" s="1"/>
  <c r="J21" i="62"/>
  <c r="J27" i="62" s="1"/>
  <c r="J28" i="62" s="1"/>
  <c r="AW22" i="62"/>
  <c r="AW29" i="62" s="1"/>
  <c r="AW30" i="62" s="1"/>
  <c r="AO22" i="62"/>
  <c r="AO29" i="62" s="1"/>
  <c r="AO30" i="62" s="1"/>
  <c r="AG22" i="62"/>
  <c r="AG29" i="62" s="1"/>
  <c r="AG30" i="62" s="1"/>
  <c r="Y22" i="62"/>
  <c r="Y29" i="62" s="1"/>
  <c r="Y30" i="62" s="1"/>
  <c r="Q22" i="62"/>
  <c r="Q29" i="62" s="1"/>
  <c r="Q30" i="62" s="1"/>
  <c r="AN21" i="62"/>
  <c r="AN27" i="62" s="1"/>
  <c r="AN28" i="62" s="1"/>
  <c r="X21" i="62"/>
  <c r="X27" i="62" s="1"/>
  <c r="X28" i="62" s="1"/>
  <c r="AM22" i="62"/>
  <c r="AM29" i="62" s="1"/>
  <c r="AM30" i="62" s="1"/>
  <c r="W22" i="62"/>
  <c r="W29" i="62" s="1"/>
  <c r="W30" i="62" s="1"/>
  <c r="AM21" i="62"/>
  <c r="AM27" i="62" s="1"/>
  <c r="AM28" i="62" s="1"/>
  <c r="O21" i="62"/>
  <c r="O27" i="62" s="1"/>
  <c r="O28" i="62" s="1"/>
  <c r="AL22" i="62"/>
  <c r="AL30" i="62" s="1"/>
  <c r="N22" i="62"/>
  <c r="N29" i="62" s="1"/>
  <c r="N30" i="62" s="1"/>
  <c r="AR21" i="62"/>
  <c r="AR27" i="62" s="1"/>
  <c r="AR28" i="62" s="1"/>
  <c r="T21" i="62"/>
  <c r="T27" i="62" s="1"/>
  <c r="T28" i="62" s="1"/>
  <c r="AY22" i="62"/>
  <c r="AY29" i="62" s="1"/>
  <c r="AY30" i="62" s="1"/>
  <c r="AA22" i="62"/>
  <c r="AA30" i="62" s="1"/>
  <c r="S22" i="62"/>
  <c r="S29" i="62" s="1"/>
  <c r="S30" i="62" s="1"/>
  <c r="I21" i="62"/>
  <c r="I27" i="62" s="1"/>
  <c r="I28" i="62" s="1"/>
  <c r="AP21" i="62"/>
  <c r="AP27" i="62" s="1"/>
  <c r="AP28" i="62" s="1"/>
  <c r="I22" i="62"/>
  <c r="I29" i="62" s="1"/>
  <c r="I30" i="62" s="1"/>
  <c r="AW21" i="62"/>
  <c r="AW27" i="62" s="1"/>
  <c r="AW28" i="62" s="1"/>
  <c r="AO21" i="62"/>
  <c r="AO27" i="62" s="1"/>
  <c r="AO28" i="62" s="1"/>
  <c r="AG21" i="62"/>
  <c r="AG27" i="62" s="1"/>
  <c r="AG28" i="62" s="1"/>
  <c r="Y21" i="62"/>
  <c r="Y27" i="62" s="1"/>
  <c r="Y28" i="62" s="1"/>
  <c r="Q21" i="62"/>
  <c r="Q27" i="62" s="1"/>
  <c r="Q28" i="62" s="1"/>
  <c r="BD22" i="62"/>
  <c r="BD29" i="62" s="1"/>
  <c r="BD30" i="62" s="1"/>
  <c r="AV22" i="62"/>
  <c r="AV29" i="62" s="1"/>
  <c r="AV30" i="62" s="1"/>
  <c r="AN22" i="62"/>
  <c r="AN29" i="62" s="1"/>
  <c r="AN30" i="62" s="1"/>
  <c r="AF22" i="62"/>
  <c r="AF29" i="62" s="1"/>
  <c r="AF30" i="62" s="1"/>
  <c r="X22" i="62"/>
  <c r="X29" i="62" s="1"/>
  <c r="X30" i="62" s="1"/>
  <c r="P22" i="62"/>
  <c r="P29" i="62" s="1"/>
  <c r="P30" i="62" s="1"/>
  <c r="I20" i="62"/>
  <c r="I25" i="62" s="1"/>
  <c r="I26" i="62" s="1"/>
  <c r="AF20" i="62"/>
  <c r="AF25" i="62" s="1"/>
  <c r="AF26" i="62" s="1"/>
  <c r="X20" i="62"/>
  <c r="X25" i="62" s="1"/>
  <c r="X26" i="62" s="1"/>
  <c r="P20" i="62"/>
  <c r="P25" i="62" s="1"/>
  <c r="P26" i="62" s="1"/>
  <c r="BC20" i="62"/>
  <c r="BC25" i="62" s="1"/>
  <c r="BC26" i="62" s="1"/>
  <c r="AU20" i="62"/>
  <c r="AU25" i="62" s="1"/>
  <c r="AU26" i="62" s="1"/>
  <c r="AM20" i="62"/>
  <c r="AM25" i="62" s="1"/>
  <c r="AM26" i="62" s="1"/>
  <c r="AE20" i="62"/>
  <c r="AE25" i="62" s="1"/>
  <c r="AE26" i="62" s="1"/>
  <c r="BD20" i="62"/>
  <c r="BD25" i="62" s="1"/>
  <c r="BD26" i="62" s="1"/>
  <c r="W20" i="62"/>
  <c r="W25" i="62" s="1"/>
  <c r="W26" i="62" s="1"/>
  <c r="O20" i="62"/>
  <c r="O25" i="62" s="1"/>
  <c r="O26" i="62" s="1"/>
  <c r="BB20" i="62"/>
  <c r="BB25" i="62" s="1"/>
  <c r="BB26" i="62" s="1"/>
  <c r="AT20" i="62"/>
  <c r="AT25" i="62" s="1"/>
  <c r="AT26" i="62" s="1"/>
  <c r="AL20" i="62"/>
  <c r="AL25" i="62" s="1"/>
  <c r="AL26" i="62" s="1"/>
  <c r="AD20" i="62"/>
  <c r="AD25" i="62" s="1"/>
  <c r="AD26" i="62" s="1"/>
  <c r="AN20" i="62"/>
  <c r="AN25" i="62" s="1"/>
  <c r="AN26" i="62" s="1"/>
  <c r="V20" i="62"/>
  <c r="V25" i="62" s="1"/>
  <c r="V26" i="62" s="1"/>
  <c r="N20" i="62"/>
  <c r="N25" i="62" s="1"/>
  <c r="N26" i="62" s="1"/>
  <c r="BA20" i="62"/>
  <c r="BA25" i="62" s="1"/>
  <c r="BA26" i="62" s="1"/>
  <c r="AS20" i="62"/>
  <c r="AS25" i="62" s="1"/>
  <c r="AS26" i="62" s="1"/>
  <c r="AK20" i="62"/>
  <c r="AK25" i="62" s="1"/>
  <c r="AK26" i="62" s="1"/>
  <c r="AC20" i="62"/>
  <c r="AC25" i="62" s="1"/>
  <c r="AC26" i="62" s="1"/>
  <c r="Q20" i="62"/>
  <c r="Q25" i="62" s="1"/>
  <c r="Q26" i="62" s="1"/>
  <c r="AV20" i="62"/>
  <c r="AV25" i="62" s="1"/>
  <c r="AV26" i="62" s="1"/>
  <c r="U20" i="62"/>
  <c r="U25" i="62" s="1"/>
  <c r="U26" i="62" s="1"/>
  <c r="M20" i="62"/>
  <c r="M25" i="62" s="1"/>
  <c r="M26" i="62" s="1"/>
  <c r="AZ20" i="62"/>
  <c r="AZ25" i="62" s="1"/>
  <c r="AZ26" i="62" s="1"/>
  <c r="AR20" i="62"/>
  <c r="AR25" i="62" s="1"/>
  <c r="AR26" i="62" s="1"/>
  <c r="AJ20" i="62"/>
  <c r="AJ25" i="62" s="1"/>
  <c r="AJ26" i="62" s="1"/>
  <c r="AB20" i="62"/>
  <c r="AB25" i="62" s="1"/>
  <c r="AB26" i="62" s="1"/>
  <c r="AA20" i="62"/>
  <c r="AA25" i="62" s="1"/>
  <c r="AA26" i="62" s="1"/>
  <c r="T20" i="62"/>
  <c r="T25" i="62" s="1"/>
  <c r="T26" i="62" s="1"/>
  <c r="AY20" i="62"/>
  <c r="AY25" i="62" s="1"/>
  <c r="AY26" i="62" s="1"/>
  <c r="AI20" i="62"/>
  <c r="AI25" i="62" s="1"/>
  <c r="AI26" i="62" s="1"/>
  <c r="S20" i="62"/>
  <c r="S25" i="62" s="1"/>
  <c r="S26" i="62" s="1"/>
  <c r="K20" i="62"/>
  <c r="K25" i="62" s="1"/>
  <c r="K26" i="62" s="1"/>
  <c r="AX20" i="62"/>
  <c r="AX25" i="62" s="1"/>
  <c r="AX26" i="62" s="1"/>
  <c r="AP20" i="62"/>
  <c r="AP25" i="62" s="1"/>
  <c r="AP26" i="62" s="1"/>
  <c r="AH20" i="62"/>
  <c r="AH25" i="62" s="1"/>
  <c r="AH26" i="62" s="1"/>
  <c r="Z20" i="62"/>
  <c r="Z25" i="62" s="1"/>
  <c r="Z26" i="62" s="1"/>
  <c r="L20" i="62"/>
  <c r="L25" i="62" s="1"/>
  <c r="L26" i="62" s="1"/>
  <c r="AQ20" i="62"/>
  <c r="AQ25" i="62" s="1"/>
  <c r="AQ26" i="62" s="1"/>
  <c r="R20" i="62"/>
  <c r="R25" i="62" s="1"/>
  <c r="R26" i="62" s="1"/>
  <c r="J20" i="62"/>
  <c r="J25" i="62" s="1"/>
  <c r="J26" i="62" s="1"/>
  <c r="AW20" i="62"/>
  <c r="AW25" i="62" s="1"/>
  <c r="AW26" i="62" s="1"/>
  <c r="AO20" i="62"/>
  <c r="AO25" i="62" s="1"/>
  <c r="AO26" i="62" s="1"/>
  <c r="AG20" i="62"/>
  <c r="AG25" i="62" s="1"/>
  <c r="AG26" i="62" s="1"/>
  <c r="F2" i="57"/>
  <c r="E2" i="57"/>
  <c r="D2" i="57"/>
  <c r="B2" i="57"/>
  <c r="A2" i="57"/>
  <c r="S2" i="56"/>
  <c r="R2" i="56"/>
  <c r="Q2" i="56"/>
  <c r="P2" i="56"/>
  <c r="M2" i="56"/>
  <c r="L2" i="56"/>
  <c r="K2" i="56"/>
  <c r="J2" i="56"/>
  <c r="I2" i="56"/>
  <c r="F2" i="56"/>
  <c r="E2" i="56"/>
  <c r="H2" i="56"/>
  <c r="G2" i="56"/>
  <c r="F2" i="66"/>
  <c r="E2" i="66"/>
  <c r="D2" i="66"/>
  <c r="C2" i="66"/>
  <c r="B2" i="66"/>
  <c r="D2" i="56"/>
  <c r="C2" i="56"/>
  <c r="B2" i="56"/>
  <c r="A2" i="56"/>
  <c r="A2" i="66"/>
  <c r="D7" i="65"/>
  <c r="D7" i="64"/>
  <c r="D7" i="63"/>
  <c r="D7" i="62"/>
  <c r="F212" i="9" l="1"/>
  <c r="F209" i="9"/>
  <c r="J207" i="9"/>
  <c r="J206" i="9"/>
  <c r="J205" i="9"/>
  <c r="J204" i="9"/>
  <c r="J203" i="9"/>
  <c r="J202" i="9"/>
  <c r="J201" i="9"/>
  <c r="J200" i="9"/>
  <c r="J192" i="9"/>
  <c r="J191" i="9"/>
  <c r="J177" i="9"/>
  <c r="S183" i="9" l="1"/>
  <c r="S181" i="9"/>
  <c r="S182" i="9"/>
  <c r="F177" i="9"/>
  <c r="D7" i="61"/>
  <c r="F10" i="45" l="1"/>
  <c r="J131" i="9" l="1"/>
  <c r="J127" i="9"/>
  <c r="J126" i="9"/>
  <c r="J125" i="9"/>
  <c r="K98" i="9"/>
  <c r="K91" i="9"/>
  <c r="K86" i="9"/>
  <c r="K85" i="9"/>
  <c r="K84" i="9"/>
  <c r="K69" i="9"/>
  <c r="K61" i="9"/>
  <c r="J130" i="9"/>
  <c r="J129" i="9"/>
  <c r="J128" i="9"/>
  <c r="K119" i="9"/>
  <c r="K117" i="9"/>
  <c r="K116" i="9"/>
  <c r="K115" i="9"/>
  <c r="K114" i="9"/>
  <c r="K113" i="9"/>
  <c r="K112" i="9"/>
  <c r="K109" i="9"/>
  <c r="K108" i="9"/>
  <c r="K96" i="9"/>
  <c r="K83" i="9"/>
  <c r="K82" i="9"/>
  <c r="K79" i="9"/>
  <c r="K78" i="9"/>
  <c r="K77" i="9"/>
  <c r="K76" i="9"/>
  <c r="K75" i="9"/>
  <c r="K74" i="9"/>
  <c r="K71" i="9"/>
  <c r="K70" i="9"/>
  <c r="K66" i="9"/>
  <c r="K65" i="9"/>
  <c r="K64" i="9"/>
  <c r="J48" i="9" l="1"/>
  <c r="J47" i="9"/>
  <c r="J54" i="9"/>
  <c r="J53" i="9"/>
  <c r="J52" i="9"/>
  <c r="F36" i="9"/>
  <c r="F28" i="9"/>
  <c r="J18" i="9"/>
  <c r="J25" i="9"/>
  <c r="J24" i="9"/>
  <c r="J23" i="9"/>
  <c r="J20" i="9"/>
  <c r="J19" i="9"/>
  <c r="J14" i="9" l="1"/>
  <c r="J13" i="9"/>
  <c r="J12" i="9"/>
  <c r="J11" i="9"/>
  <c r="J10" i="9"/>
  <c r="Z64" i="36"/>
  <c r="P64" i="36"/>
  <c r="F64" i="36"/>
  <c r="T112" i="36"/>
  <c r="F10" i="71" s="1"/>
  <c r="F111" i="36"/>
  <c r="F203" i="9" s="1"/>
  <c r="F62" i="36"/>
  <c r="P62" i="36"/>
  <c r="Z62" i="36"/>
  <c r="Z63" i="36"/>
  <c r="P63" i="36"/>
  <c r="F63" i="36"/>
  <c r="O35" i="54" l="1"/>
  <c r="N35" i="54"/>
  <c r="M35" i="54"/>
  <c r="Z12" i="36" a="1"/>
  <c r="Z12" i="36" s="1"/>
  <c r="Z13" i="36" a="1"/>
  <c r="Z13" i="36" s="1"/>
  <c r="Z14" i="36" a="1"/>
  <c r="Z14" i="36" s="1"/>
  <c r="Z15" i="36" a="1"/>
  <c r="Z15" i="36" s="1"/>
  <c r="Z16" i="36" a="1"/>
  <c r="Z16" i="36" s="1"/>
  <c r="Z17" i="36" a="1"/>
  <c r="Z17" i="36" s="1"/>
  <c r="Z18" i="36" a="1"/>
  <c r="Z18" i="36" s="1"/>
  <c r="Z19" i="36" a="1"/>
  <c r="Z19" i="36" s="1"/>
  <c r="Z20" i="36" a="1"/>
  <c r="Z20" i="36" s="1"/>
  <c r="Z21" i="36" a="1"/>
  <c r="Z21" i="36" s="1"/>
  <c r="Z22" i="36" a="1"/>
  <c r="Z22" i="36" s="1"/>
  <c r="Z23" i="36" a="1"/>
  <c r="Z23" i="36" s="1"/>
  <c r="Z24" i="36" a="1"/>
  <c r="Z24" i="36" s="1"/>
  <c r="Z25" i="36" a="1"/>
  <c r="Z25" i="36" s="1"/>
  <c r="Z26" i="36" a="1"/>
  <c r="Z26" i="36" s="1"/>
  <c r="Z27" i="36" a="1"/>
  <c r="Z27" i="36" s="1"/>
  <c r="Z28" i="36" a="1"/>
  <c r="Z28" i="36" s="1"/>
  <c r="Z29" i="36" a="1"/>
  <c r="Z29" i="36" s="1"/>
  <c r="Z30" i="36" a="1"/>
  <c r="Z30" i="36" s="1"/>
  <c r="Z31" i="36" a="1"/>
  <c r="Z31" i="36" s="1"/>
  <c r="Z32" i="36" a="1"/>
  <c r="Z32" i="36" s="1"/>
  <c r="Z33" i="36" a="1"/>
  <c r="Z33" i="36" s="1"/>
  <c r="Z34" i="36" a="1"/>
  <c r="Z34" i="36" s="1"/>
  <c r="Z35" i="36" a="1"/>
  <c r="Z35" i="36" s="1"/>
  <c r="Z11" i="36" a="1"/>
  <c r="Z11" i="36" s="1"/>
  <c r="P12" i="36" a="1"/>
  <c r="P12" i="36" s="1"/>
  <c r="P13" i="36" a="1"/>
  <c r="P13" i="36" s="1"/>
  <c r="P14" i="36" a="1"/>
  <c r="P14" i="36" s="1"/>
  <c r="P15" i="36" a="1"/>
  <c r="P15" i="36" s="1"/>
  <c r="P16" i="36" a="1"/>
  <c r="P16" i="36" s="1"/>
  <c r="P17" i="36" a="1"/>
  <c r="P17" i="36" s="1"/>
  <c r="P18" i="36" a="1"/>
  <c r="P18" i="36" s="1"/>
  <c r="P19" i="36" a="1"/>
  <c r="P19" i="36" s="1"/>
  <c r="P20" i="36" a="1"/>
  <c r="P20" i="36" s="1"/>
  <c r="P21" i="36" a="1"/>
  <c r="P21" i="36" s="1"/>
  <c r="P22" i="36" a="1"/>
  <c r="P22" i="36" s="1"/>
  <c r="P23" i="36" a="1"/>
  <c r="P23" i="36" s="1"/>
  <c r="P24" i="36" a="1"/>
  <c r="P24" i="36" s="1"/>
  <c r="P25" i="36" a="1"/>
  <c r="P25" i="36" s="1"/>
  <c r="P26" i="36" a="1"/>
  <c r="P26" i="36" s="1"/>
  <c r="P27" i="36" a="1"/>
  <c r="P27" i="36" s="1"/>
  <c r="P28" i="36" a="1"/>
  <c r="P28" i="36" s="1"/>
  <c r="P29" i="36" a="1"/>
  <c r="P29" i="36" s="1"/>
  <c r="P30" i="36" a="1"/>
  <c r="P30" i="36" s="1"/>
  <c r="P31" i="36" a="1"/>
  <c r="P31" i="36" s="1"/>
  <c r="P32" i="36" a="1"/>
  <c r="P32" i="36" s="1"/>
  <c r="P33" i="36" a="1"/>
  <c r="P33" i="36" s="1"/>
  <c r="P34" i="36" a="1"/>
  <c r="P34" i="36" s="1"/>
  <c r="P35" i="36" a="1"/>
  <c r="P35" i="36" s="1"/>
  <c r="P11" i="36" a="1"/>
  <c r="P11" i="36" s="1"/>
  <c r="F12" i="36" a="1"/>
  <c r="F12" i="36" s="1"/>
  <c r="F13" i="36" a="1"/>
  <c r="F13" i="36" s="1"/>
  <c r="F14" i="36" a="1"/>
  <c r="F14" i="36" s="1"/>
  <c r="F15" i="36" a="1"/>
  <c r="F15" i="36" s="1"/>
  <c r="F16" i="36" a="1"/>
  <c r="F16" i="36" s="1"/>
  <c r="F17" i="36" a="1"/>
  <c r="F17" i="36" s="1"/>
  <c r="F18" i="36" a="1"/>
  <c r="F18" i="36" s="1"/>
  <c r="F19" i="36" a="1"/>
  <c r="F19" i="36" s="1"/>
  <c r="F20" i="36" a="1"/>
  <c r="F20" i="36" s="1"/>
  <c r="F21" i="36" a="1"/>
  <c r="F21" i="36" s="1"/>
  <c r="F22" i="36" a="1"/>
  <c r="F22" i="36" s="1"/>
  <c r="F23" i="36" a="1"/>
  <c r="F23" i="36" s="1"/>
  <c r="F24" i="36" a="1"/>
  <c r="F24" i="36" s="1"/>
  <c r="F25" i="36" a="1"/>
  <c r="F25" i="36" s="1"/>
  <c r="F26" i="36" a="1"/>
  <c r="F26" i="36" s="1"/>
  <c r="F27" i="36" a="1"/>
  <c r="F27" i="36" s="1"/>
  <c r="F28" i="36" a="1"/>
  <c r="F28" i="36" s="1"/>
  <c r="F29" i="36" a="1"/>
  <c r="F29" i="36" s="1"/>
  <c r="F30" i="36" a="1"/>
  <c r="F30" i="36" s="1"/>
  <c r="F31" i="36" a="1"/>
  <c r="F31" i="36" s="1"/>
  <c r="F32" i="36" a="1"/>
  <c r="F32" i="36" s="1"/>
  <c r="F33" i="36" a="1"/>
  <c r="F33" i="36" s="1"/>
  <c r="F34" i="36" a="1"/>
  <c r="F34" i="36" s="1"/>
  <c r="F35" i="36" a="1"/>
  <c r="F35" i="36" s="1"/>
  <c r="F11" i="36" a="1"/>
  <c r="F11" i="36" s="1"/>
  <c r="G60" i="54"/>
  <c r="G57" i="54"/>
  <c r="G58" i="54" s="1"/>
  <c r="G59" i="54" s="1"/>
  <c r="G41" i="54"/>
  <c r="G38" i="54"/>
  <c r="G39" i="54" s="1"/>
  <c r="G40" i="54" s="1"/>
  <c r="G22" i="54"/>
  <c r="G19" i="54"/>
  <c r="G20" i="54" s="1"/>
  <c r="G21" i="54" s="1"/>
  <c r="D7" i="54"/>
  <c r="M29" i="54" l="1"/>
  <c r="M21" i="54"/>
  <c r="M13" i="54"/>
  <c r="N30" i="54"/>
  <c r="N22" i="54"/>
  <c r="N14" i="54"/>
  <c r="O31" i="54"/>
  <c r="O23" i="54"/>
  <c r="O15" i="54"/>
  <c r="M28" i="54"/>
  <c r="M20" i="54"/>
  <c r="N29" i="54"/>
  <c r="N21" i="54"/>
  <c r="N13" i="54"/>
  <c r="O30" i="54"/>
  <c r="O22" i="54"/>
  <c r="O14" i="54"/>
  <c r="M27" i="54"/>
  <c r="M19" i="54"/>
  <c r="N28" i="54"/>
  <c r="N20" i="54"/>
  <c r="N12" i="54"/>
  <c r="O29" i="54"/>
  <c r="O21" i="54"/>
  <c r="O13" i="54"/>
  <c r="M10" i="54"/>
  <c r="M18" i="54"/>
  <c r="N10" i="54"/>
  <c r="N27" i="54"/>
  <c r="N19" i="54"/>
  <c r="N11" i="54"/>
  <c r="O28" i="54"/>
  <c r="O20" i="54"/>
  <c r="O12" i="54"/>
  <c r="M17" i="54"/>
  <c r="N26" i="54"/>
  <c r="N18" i="54"/>
  <c r="O10" i="54"/>
  <c r="O27" i="54"/>
  <c r="O19" i="54"/>
  <c r="O11" i="54"/>
  <c r="M25" i="54"/>
  <c r="M32" i="54"/>
  <c r="M24" i="54"/>
  <c r="M16" i="54"/>
  <c r="N33" i="54"/>
  <c r="N25" i="54"/>
  <c r="N17" i="54"/>
  <c r="O34" i="54"/>
  <c r="O26" i="54"/>
  <c r="O18" i="54"/>
  <c r="M34" i="54"/>
  <c r="M33" i="54"/>
  <c r="M31" i="54"/>
  <c r="M23" i="54"/>
  <c r="M15" i="54"/>
  <c r="N32" i="54"/>
  <c r="N24" i="54"/>
  <c r="N16" i="54"/>
  <c r="O33" i="54"/>
  <c r="O25" i="54"/>
  <c r="O17" i="54"/>
  <c r="M26" i="54"/>
  <c r="N34" i="54"/>
  <c r="M30" i="54"/>
  <c r="M22" i="54"/>
  <c r="M14" i="54"/>
  <c r="N31" i="54"/>
  <c r="N23" i="54"/>
  <c r="N15" i="54"/>
  <c r="O32" i="54"/>
  <c r="O24" i="54"/>
  <c r="O16" i="54"/>
  <c r="G23" i="54"/>
  <c r="G25" i="54" s="1"/>
  <c r="G61" i="54"/>
  <c r="G63" i="54" s="1"/>
  <c r="G42" i="54"/>
  <c r="G44" i="54" s="1"/>
  <c r="N36" i="54" l="1"/>
  <c r="N39" i="54" s="1"/>
  <c r="G45" i="54" s="1"/>
  <c r="O36" i="54"/>
  <c r="O38" i="54" s="1"/>
  <c r="D7" i="53"/>
  <c r="N38" i="54" l="1"/>
  <c r="O39" i="54"/>
  <c r="G64" i="54" s="1"/>
  <c r="T113" i="36"/>
  <c r="F11" i="71" s="1"/>
  <c r="J82" i="45"/>
  <c r="F62" i="45" l="1"/>
  <c r="L62" i="45"/>
  <c r="R62" i="45"/>
  <c r="T115" i="36"/>
  <c r="F13" i="71" s="1"/>
  <c r="T114" i="36"/>
  <c r="F12" i="71" s="1"/>
  <c r="T111" i="36"/>
  <c r="R111" i="36"/>
  <c r="O111" i="36"/>
  <c r="R112" i="36"/>
  <c r="O112" i="36"/>
  <c r="I2" i="72" s="1"/>
  <c r="R113" i="36"/>
  <c r="F15" i="71" s="1"/>
  <c r="O113" i="36"/>
  <c r="L2" i="72" s="1"/>
  <c r="O114" i="36"/>
  <c r="O2" i="72" s="1"/>
  <c r="R115" i="36"/>
  <c r="F17" i="71" s="1"/>
  <c r="O115" i="36"/>
  <c r="R2" i="72" s="1"/>
  <c r="R114" i="36"/>
  <c r="F16" i="71" s="1"/>
  <c r="F57" i="50"/>
  <c r="F34" i="50"/>
  <c r="F11" i="50"/>
  <c r="P12" i="50"/>
  <c r="J12" i="50" s="1"/>
  <c r="T83" i="36"/>
  <c r="V2" i="60" s="1"/>
  <c r="R67" i="36"/>
  <c r="F115" i="36"/>
  <c r="F207" i="9" s="1"/>
  <c r="F114" i="36"/>
  <c r="F206" i="9" s="1"/>
  <c r="F113" i="36"/>
  <c r="F205" i="9" s="1"/>
  <c r="F112" i="36"/>
  <c r="F204" i="9" s="1"/>
  <c r="N112" i="36"/>
  <c r="H2" i="72" s="1"/>
  <c r="N113" i="36"/>
  <c r="K2" i="72" s="1"/>
  <c r="N114" i="36"/>
  <c r="N2" i="72" s="1"/>
  <c r="N115" i="36"/>
  <c r="Q2" i="72" s="1"/>
  <c r="N111" i="36"/>
  <c r="E2" i="72" s="1"/>
  <c r="D7" i="52"/>
  <c r="D7" i="51"/>
  <c r="J121" i="36" l="1"/>
  <c r="F2" i="72"/>
  <c r="F14" i="71"/>
  <c r="S116" i="36"/>
  <c r="I21" i="67"/>
  <c r="F21" i="67" s="1"/>
  <c r="I23" i="67"/>
  <c r="F23" i="67" s="1"/>
  <c r="I22" i="67"/>
  <c r="F22" i="67" s="1"/>
  <c r="P67" i="36"/>
  <c r="T82" i="36"/>
  <c r="P69" i="36"/>
  <c r="H12" i="50"/>
  <c r="I12" i="50"/>
  <c r="L35" i="50"/>
  <c r="J120" i="36"/>
  <c r="J122" i="36"/>
  <c r="J210" i="9" l="1"/>
  <c r="T2" i="72"/>
  <c r="J212" i="9"/>
  <c r="V2" i="72"/>
  <c r="J211" i="9"/>
  <c r="U2" i="72"/>
  <c r="M64" i="45"/>
  <c r="L12" i="50"/>
  <c r="J13" i="50" s="1"/>
  <c r="K12" i="50"/>
  <c r="H59" i="50"/>
  <c r="K35" i="50"/>
  <c r="K58" i="50"/>
  <c r="H36" i="50"/>
  <c r="L11" i="42"/>
  <c r="M11" i="42"/>
  <c r="L12" i="42"/>
  <c r="M12" i="42"/>
  <c r="L13" i="42"/>
  <c r="M13" i="42"/>
  <c r="L14" i="42"/>
  <c r="M14" i="42"/>
  <c r="L15" i="42"/>
  <c r="M15" i="42"/>
  <c r="L16" i="42"/>
  <c r="M16" i="42"/>
  <c r="L17" i="42"/>
  <c r="M17" i="42"/>
  <c r="L18" i="42"/>
  <c r="M18" i="42"/>
  <c r="L19" i="42"/>
  <c r="M19" i="42"/>
  <c r="L20" i="42"/>
  <c r="M20" i="42"/>
  <c r="L21" i="42"/>
  <c r="M21" i="42"/>
  <c r="L22" i="42"/>
  <c r="M22" i="42"/>
  <c r="L23" i="42"/>
  <c r="M23" i="42"/>
  <c r="L24" i="42"/>
  <c r="M24" i="42"/>
  <c r="L25" i="42"/>
  <c r="M25" i="42"/>
  <c r="L26" i="42"/>
  <c r="M26" i="42"/>
  <c r="L27" i="42"/>
  <c r="M27" i="42"/>
  <c r="L28" i="42"/>
  <c r="M28" i="42"/>
  <c r="L29" i="42"/>
  <c r="M29" i="42"/>
  <c r="L30" i="42"/>
  <c r="M30" i="42"/>
  <c r="L31" i="42"/>
  <c r="M31" i="42"/>
  <c r="L32" i="42"/>
  <c r="M32" i="42"/>
  <c r="L33" i="42"/>
  <c r="M33" i="42"/>
  <c r="L34" i="42"/>
  <c r="M34" i="42"/>
  <c r="L35" i="42"/>
  <c r="M35" i="42"/>
  <c r="L36" i="42"/>
  <c r="M36" i="42"/>
  <c r="L37" i="42"/>
  <c r="M37" i="42"/>
  <c r="L38" i="42"/>
  <c r="M38" i="42"/>
  <c r="L39" i="42"/>
  <c r="M39" i="42"/>
  <c r="L40" i="42"/>
  <c r="M40" i="42"/>
  <c r="L41" i="42"/>
  <c r="M41" i="42"/>
  <c r="L42" i="42"/>
  <c r="M42" i="42"/>
  <c r="L43" i="42"/>
  <c r="M43" i="42"/>
  <c r="L44" i="42"/>
  <c r="M44" i="42"/>
  <c r="L45" i="42"/>
  <c r="M45" i="42"/>
  <c r="L46" i="42"/>
  <c r="M46" i="42"/>
  <c r="L47" i="42"/>
  <c r="M47" i="42"/>
  <c r="L48" i="42"/>
  <c r="M48" i="42"/>
  <c r="L49" i="42"/>
  <c r="M49" i="42"/>
  <c r="L50" i="42"/>
  <c r="M50" i="42"/>
  <c r="L51" i="42"/>
  <c r="M51" i="42"/>
  <c r="L52" i="42"/>
  <c r="M52" i="42"/>
  <c r="L53" i="42"/>
  <c r="M53" i="42"/>
  <c r="L54" i="42"/>
  <c r="M54" i="42"/>
  <c r="L55" i="42"/>
  <c r="M55" i="42"/>
  <c r="L56" i="42"/>
  <c r="M56" i="42"/>
  <c r="L57" i="42"/>
  <c r="M57" i="42"/>
  <c r="L58" i="42"/>
  <c r="M58" i="42"/>
  <c r="L59" i="42"/>
  <c r="M59" i="42"/>
  <c r="L60" i="42"/>
  <c r="M60" i="42"/>
  <c r="L61" i="42"/>
  <c r="M61" i="42"/>
  <c r="L62" i="42"/>
  <c r="M62" i="42"/>
  <c r="L63" i="42"/>
  <c r="M63" i="42"/>
  <c r="L64" i="42"/>
  <c r="M64" i="42"/>
  <c r="L65" i="42"/>
  <c r="M65" i="42"/>
  <c r="L66" i="42"/>
  <c r="M66" i="42"/>
  <c r="L67" i="42"/>
  <c r="M67" i="42"/>
  <c r="L68" i="42"/>
  <c r="M68" i="42"/>
  <c r="L69" i="42"/>
  <c r="M69" i="42"/>
  <c r="L70" i="42"/>
  <c r="M70" i="42"/>
  <c r="L71" i="42"/>
  <c r="M71" i="42"/>
  <c r="L72" i="42"/>
  <c r="M72" i="42"/>
  <c r="L73" i="42"/>
  <c r="M73" i="42"/>
  <c r="L74" i="42"/>
  <c r="M74" i="42"/>
  <c r="L75" i="42"/>
  <c r="M75" i="42"/>
  <c r="L76" i="42"/>
  <c r="M76" i="42"/>
  <c r="L77" i="42"/>
  <c r="M77" i="42"/>
  <c r="L78" i="42"/>
  <c r="M78" i="42"/>
  <c r="L79" i="42"/>
  <c r="M79" i="42"/>
  <c r="L80" i="42"/>
  <c r="M80" i="42"/>
  <c r="L81" i="42"/>
  <c r="M81" i="42"/>
  <c r="L82" i="42"/>
  <c r="M82" i="42"/>
  <c r="L83" i="42"/>
  <c r="M83" i="42"/>
  <c r="L84" i="42"/>
  <c r="M84" i="42"/>
  <c r="L85" i="42"/>
  <c r="M85" i="42"/>
  <c r="L86" i="42"/>
  <c r="M86" i="42"/>
  <c r="L87" i="42"/>
  <c r="M87" i="42"/>
  <c r="L88" i="42"/>
  <c r="M88" i="42"/>
  <c r="L89" i="42"/>
  <c r="M89" i="42"/>
  <c r="L90" i="42"/>
  <c r="M90" i="42"/>
  <c r="L91" i="42"/>
  <c r="M91" i="42"/>
  <c r="L92" i="42"/>
  <c r="M92" i="42"/>
  <c r="L93" i="42"/>
  <c r="M93" i="42"/>
  <c r="L94" i="42"/>
  <c r="M94" i="42"/>
  <c r="L95" i="42"/>
  <c r="M95" i="42"/>
  <c r="L96" i="42"/>
  <c r="M96" i="42"/>
  <c r="L97" i="42"/>
  <c r="M97" i="42"/>
  <c r="L98" i="42"/>
  <c r="M98" i="42"/>
  <c r="L99" i="42"/>
  <c r="M99" i="42"/>
  <c r="L100" i="42"/>
  <c r="M100" i="42"/>
  <c r="L101" i="42"/>
  <c r="M101" i="42"/>
  <c r="L102" i="42"/>
  <c r="M102" i="42"/>
  <c r="L103" i="42"/>
  <c r="M103" i="42"/>
  <c r="L104" i="42"/>
  <c r="M104" i="42"/>
  <c r="L105" i="42"/>
  <c r="M105" i="42"/>
  <c r="L106" i="42"/>
  <c r="M106" i="42"/>
  <c r="L107" i="42"/>
  <c r="M107" i="42"/>
  <c r="L108" i="42"/>
  <c r="M108" i="42"/>
  <c r="L109" i="42"/>
  <c r="M109" i="42"/>
  <c r="L110" i="42"/>
  <c r="M110" i="42"/>
  <c r="L111" i="42"/>
  <c r="M111" i="42"/>
  <c r="L112" i="42"/>
  <c r="M112" i="42"/>
  <c r="L113" i="42"/>
  <c r="M113" i="42"/>
  <c r="L114" i="42"/>
  <c r="M114" i="42"/>
  <c r="L115" i="42"/>
  <c r="M115" i="42"/>
  <c r="L116" i="42"/>
  <c r="M116" i="42"/>
  <c r="L117" i="42"/>
  <c r="M117" i="42"/>
  <c r="L118" i="42"/>
  <c r="M118" i="42"/>
  <c r="L119" i="42"/>
  <c r="M119" i="42"/>
  <c r="L120" i="42"/>
  <c r="M120" i="42"/>
  <c r="L121" i="42"/>
  <c r="M121" i="42"/>
  <c r="L122" i="42"/>
  <c r="M122" i="42"/>
  <c r="L123" i="42"/>
  <c r="M123" i="42"/>
  <c r="L124" i="42"/>
  <c r="M124" i="42"/>
  <c r="L125" i="42"/>
  <c r="M125" i="42"/>
  <c r="L126" i="42"/>
  <c r="M126" i="42"/>
  <c r="L127" i="42"/>
  <c r="M127" i="42"/>
  <c r="L128" i="42"/>
  <c r="M128" i="42"/>
  <c r="L129" i="42"/>
  <c r="M129" i="42"/>
  <c r="L130" i="42"/>
  <c r="M130" i="42"/>
  <c r="L131" i="42"/>
  <c r="M131" i="42"/>
  <c r="L132" i="42"/>
  <c r="M132" i="42"/>
  <c r="L133" i="42"/>
  <c r="M133" i="42"/>
  <c r="L134" i="42"/>
  <c r="M134" i="42"/>
  <c r="L135" i="42"/>
  <c r="M135" i="42"/>
  <c r="L136" i="42"/>
  <c r="M136" i="42"/>
  <c r="L137" i="42"/>
  <c r="M137" i="42"/>
  <c r="L138" i="42"/>
  <c r="M138" i="42"/>
  <c r="L139" i="42"/>
  <c r="M139" i="42"/>
  <c r="L140" i="42"/>
  <c r="M140" i="42"/>
  <c r="L141" i="42"/>
  <c r="M141" i="42"/>
  <c r="L142" i="42"/>
  <c r="M142" i="42"/>
  <c r="L143" i="42"/>
  <c r="M143" i="42"/>
  <c r="L144" i="42"/>
  <c r="M144" i="42"/>
  <c r="L145" i="42"/>
  <c r="M145" i="42"/>
  <c r="L146" i="42"/>
  <c r="M146" i="42"/>
  <c r="L147" i="42"/>
  <c r="M147" i="42"/>
  <c r="L148" i="42"/>
  <c r="M148" i="42"/>
  <c r="L149" i="42"/>
  <c r="M149" i="42"/>
  <c r="L150" i="42"/>
  <c r="M150" i="42"/>
  <c r="L151" i="42"/>
  <c r="M151" i="42"/>
  <c r="L152" i="42"/>
  <c r="M152" i="42"/>
  <c r="L153" i="42"/>
  <c r="M153" i="42"/>
  <c r="L154" i="42"/>
  <c r="M154" i="42"/>
  <c r="L155" i="42"/>
  <c r="M155" i="42"/>
  <c r="L156" i="42"/>
  <c r="M156" i="42"/>
  <c r="L157" i="42"/>
  <c r="M157" i="42"/>
  <c r="L158" i="42"/>
  <c r="M158" i="42"/>
  <c r="L159" i="42"/>
  <c r="M159" i="42"/>
  <c r="L160" i="42"/>
  <c r="M160" i="42"/>
  <c r="L161" i="42"/>
  <c r="M161" i="42"/>
  <c r="L162" i="42"/>
  <c r="M162" i="42"/>
  <c r="L163" i="42"/>
  <c r="M163" i="42"/>
  <c r="L164" i="42"/>
  <c r="M164" i="42"/>
  <c r="L165" i="42"/>
  <c r="M165" i="42"/>
  <c r="L166" i="42"/>
  <c r="M166" i="42"/>
  <c r="L167" i="42"/>
  <c r="M167" i="42"/>
  <c r="L168" i="42"/>
  <c r="M168" i="42"/>
  <c r="L169" i="42"/>
  <c r="M169" i="42"/>
  <c r="L170" i="42"/>
  <c r="M170" i="42"/>
  <c r="L171" i="42"/>
  <c r="M171" i="42"/>
  <c r="L172" i="42"/>
  <c r="M172" i="42"/>
  <c r="L173" i="42"/>
  <c r="M173" i="42"/>
  <c r="L174" i="42"/>
  <c r="M174" i="42"/>
  <c r="L175" i="42"/>
  <c r="M175" i="42"/>
  <c r="L176" i="42"/>
  <c r="M176" i="42"/>
  <c r="L177" i="42"/>
  <c r="M177" i="42"/>
  <c r="L178" i="42"/>
  <c r="M178" i="42"/>
  <c r="L179" i="42"/>
  <c r="M179" i="42"/>
  <c r="L180" i="42"/>
  <c r="M180" i="42"/>
  <c r="L181" i="42"/>
  <c r="M181" i="42"/>
  <c r="L182" i="42"/>
  <c r="M182" i="42"/>
  <c r="L183" i="42"/>
  <c r="M183" i="42"/>
  <c r="L184" i="42"/>
  <c r="M184" i="42"/>
  <c r="L185" i="42"/>
  <c r="M185" i="42"/>
  <c r="L186" i="42"/>
  <c r="M186" i="42"/>
  <c r="L187" i="42"/>
  <c r="M187" i="42"/>
  <c r="L188" i="42"/>
  <c r="M188" i="42"/>
  <c r="L189" i="42"/>
  <c r="M189" i="42"/>
  <c r="L190" i="42"/>
  <c r="M190" i="42"/>
  <c r="L191" i="42"/>
  <c r="M191" i="42"/>
  <c r="L192" i="42"/>
  <c r="M192" i="42"/>
  <c r="L193" i="42"/>
  <c r="M193" i="42"/>
  <c r="L194" i="42"/>
  <c r="M194" i="42"/>
  <c r="L195" i="42"/>
  <c r="M195" i="42"/>
  <c r="L196" i="42"/>
  <c r="M196" i="42"/>
  <c r="L197" i="42"/>
  <c r="M197" i="42"/>
  <c r="L198" i="42"/>
  <c r="M198" i="42"/>
  <c r="L199" i="42"/>
  <c r="M199" i="42"/>
  <c r="L200" i="42"/>
  <c r="M200" i="42"/>
  <c r="L201" i="42"/>
  <c r="M201" i="42"/>
  <c r="L202" i="42"/>
  <c r="M202" i="42"/>
  <c r="L203" i="42"/>
  <c r="M203" i="42"/>
  <c r="L204" i="42"/>
  <c r="M204" i="42"/>
  <c r="L205" i="42"/>
  <c r="M205" i="42"/>
  <c r="L206" i="42"/>
  <c r="M206" i="42"/>
  <c r="L207" i="42"/>
  <c r="M207" i="42"/>
  <c r="L208" i="42"/>
  <c r="M208" i="42"/>
  <c r="L209" i="42"/>
  <c r="M209" i="42"/>
  <c r="L210" i="42"/>
  <c r="M210" i="42"/>
  <c r="L211" i="42"/>
  <c r="M211" i="42"/>
  <c r="L212" i="42"/>
  <c r="M212" i="42"/>
  <c r="L213" i="42"/>
  <c r="M213" i="42"/>
  <c r="L214" i="42"/>
  <c r="M214" i="42"/>
  <c r="L215" i="42"/>
  <c r="M215" i="42"/>
  <c r="L216" i="42"/>
  <c r="M216" i="42"/>
  <c r="L217" i="42"/>
  <c r="M217" i="42"/>
  <c r="L218" i="42"/>
  <c r="M218" i="42"/>
  <c r="L219" i="42"/>
  <c r="M219" i="42"/>
  <c r="L220" i="42"/>
  <c r="M220" i="42"/>
  <c r="L221" i="42"/>
  <c r="M221" i="42"/>
  <c r="L222" i="42"/>
  <c r="M222" i="42"/>
  <c r="L223" i="42"/>
  <c r="M223" i="42"/>
  <c r="L224" i="42"/>
  <c r="M224" i="42"/>
  <c r="L225" i="42"/>
  <c r="M225" i="42"/>
  <c r="L226" i="42"/>
  <c r="M226" i="42"/>
  <c r="L227" i="42"/>
  <c r="M227" i="42"/>
  <c r="L228" i="42"/>
  <c r="M228" i="42"/>
  <c r="L229" i="42"/>
  <c r="M229" i="42"/>
  <c r="L230" i="42"/>
  <c r="M230" i="42"/>
  <c r="L231" i="42"/>
  <c r="M231" i="42"/>
  <c r="L232" i="42"/>
  <c r="M232" i="42"/>
  <c r="L233" i="42"/>
  <c r="M233" i="42"/>
  <c r="L234" i="42"/>
  <c r="M234" i="42"/>
  <c r="L235" i="42"/>
  <c r="M235" i="42"/>
  <c r="L236" i="42"/>
  <c r="M236" i="42"/>
  <c r="L237" i="42"/>
  <c r="M237" i="42"/>
  <c r="L238" i="42"/>
  <c r="M238" i="42"/>
  <c r="L239" i="42"/>
  <c r="M239" i="42"/>
  <c r="L240" i="42"/>
  <c r="M240" i="42"/>
  <c r="L241" i="42"/>
  <c r="M241" i="42"/>
  <c r="L242" i="42"/>
  <c r="M242" i="42"/>
  <c r="L243" i="42"/>
  <c r="M243" i="42"/>
  <c r="L244" i="42"/>
  <c r="M244" i="42"/>
  <c r="L245" i="42"/>
  <c r="M245" i="42"/>
  <c r="L246" i="42"/>
  <c r="M246" i="42"/>
  <c r="L247" i="42"/>
  <c r="M247" i="42"/>
  <c r="L248" i="42"/>
  <c r="M248" i="42"/>
  <c r="L249" i="42"/>
  <c r="M249" i="42"/>
  <c r="L250" i="42"/>
  <c r="M250" i="42"/>
  <c r="L251" i="42"/>
  <c r="M251" i="42"/>
  <c r="L252" i="42"/>
  <c r="M252" i="42"/>
  <c r="L253" i="42"/>
  <c r="M253" i="42"/>
  <c r="L254" i="42"/>
  <c r="M254" i="42"/>
  <c r="L255" i="42"/>
  <c r="M255" i="42"/>
  <c r="L256" i="42"/>
  <c r="M256" i="42"/>
  <c r="L257" i="42"/>
  <c r="M257" i="42"/>
  <c r="L258" i="42"/>
  <c r="M258" i="42"/>
  <c r="L259" i="42"/>
  <c r="M259" i="42"/>
  <c r="L260" i="42"/>
  <c r="M260" i="42"/>
  <c r="L261" i="42"/>
  <c r="M261" i="42"/>
  <c r="L262" i="42"/>
  <c r="M262" i="42"/>
  <c r="L263" i="42"/>
  <c r="M263" i="42"/>
  <c r="L264" i="42"/>
  <c r="M264" i="42"/>
  <c r="L265" i="42"/>
  <c r="M265" i="42"/>
  <c r="L266" i="42"/>
  <c r="M266" i="42"/>
  <c r="L267" i="42"/>
  <c r="M267" i="42"/>
  <c r="L268" i="42"/>
  <c r="M268" i="42"/>
  <c r="L269" i="42"/>
  <c r="M269" i="42"/>
  <c r="L270" i="42"/>
  <c r="M11" i="54" s="1"/>
  <c r="M270" i="42"/>
  <c r="L271" i="42"/>
  <c r="M271" i="42"/>
  <c r="L272" i="42"/>
  <c r="M272" i="42"/>
  <c r="L273" i="42"/>
  <c r="M273" i="42"/>
  <c r="L274" i="42"/>
  <c r="M274" i="42"/>
  <c r="L275" i="42"/>
  <c r="M275" i="42"/>
  <c r="L276" i="42"/>
  <c r="M276" i="42"/>
  <c r="L277" i="42"/>
  <c r="M277" i="42"/>
  <c r="L278" i="42"/>
  <c r="M278" i="42"/>
  <c r="L279" i="42"/>
  <c r="M279" i="42"/>
  <c r="L280" i="42"/>
  <c r="M280" i="42"/>
  <c r="L281" i="42"/>
  <c r="M281" i="42"/>
  <c r="L282" i="42"/>
  <c r="M282" i="42"/>
  <c r="L283" i="42"/>
  <c r="M283" i="42"/>
  <c r="L284" i="42"/>
  <c r="M284" i="42"/>
  <c r="L285" i="42"/>
  <c r="M285" i="42"/>
  <c r="L286" i="42"/>
  <c r="M286" i="42"/>
  <c r="L287" i="42"/>
  <c r="M12" i="54" s="1"/>
  <c r="M287" i="42"/>
  <c r="L288" i="42"/>
  <c r="M288" i="42"/>
  <c r="L289" i="42"/>
  <c r="M289" i="42"/>
  <c r="L290" i="42"/>
  <c r="M290" i="42"/>
  <c r="L291" i="42"/>
  <c r="M291" i="42"/>
  <c r="L292" i="42"/>
  <c r="M292" i="42"/>
  <c r="L293" i="42"/>
  <c r="M293" i="42"/>
  <c r="L294" i="42"/>
  <c r="M294" i="42"/>
  <c r="L295" i="42"/>
  <c r="M295" i="42"/>
  <c r="L296" i="42"/>
  <c r="M296" i="42"/>
  <c r="L297" i="42"/>
  <c r="M297" i="42"/>
  <c r="L298" i="42"/>
  <c r="M298" i="42"/>
  <c r="L299" i="42"/>
  <c r="M299" i="42"/>
  <c r="L300" i="42"/>
  <c r="M300" i="42"/>
  <c r="L301" i="42"/>
  <c r="M301" i="42"/>
  <c r="L302" i="42"/>
  <c r="M302" i="42"/>
  <c r="L303" i="42"/>
  <c r="M303" i="42"/>
  <c r="L304" i="42"/>
  <c r="M304" i="42"/>
  <c r="L305" i="42"/>
  <c r="M305" i="42"/>
  <c r="L306" i="42"/>
  <c r="M306" i="42"/>
  <c r="L307" i="42"/>
  <c r="M307" i="42"/>
  <c r="L308" i="42"/>
  <c r="M308" i="42"/>
  <c r="L309" i="42"/>
  <c r="M309" i="42"/>
  <c r="L310" i="42"/>
  <c r="M310" i="42"/>
  <c r="L311" i="42"/>
  <c r="M311" i="42"/>
  <c r="L312" i="42"/>
  <c r="M312" i="42"/>
  <c r="L313" i="42"/>
  <c r="M313" i="42"/>
  <c r="L314" i="42"/>
  <c r="M314" i="42"/>
  <c r="L315" i="42"/>
  <c r="M315" i="42"/>
  <c r="L316" i="42"/>
  <c r="M316" i="42"/>
  <c r="L317" i="42"/>
  <c r="M317" i="42"/>
  <c r="L318" i="42"/>
  <c r="M318" i="42"/>
  <c r="L319" i="42"/>
  <c r="M319" i="42"/>
  <c r="L320" i="42"/>
  <c r="M320" i="42"/>
  <c r="L321" i="42"/>
  <c r="M321" i="42"/>
  <c r="L322" i="42"/>
  <c r="M322" i="42"/>
  <c r="L323" i="42"/>
  <c r="M323" i="42"/>
  <c r="L324" i="42"/>
  <c r="M324" i="42"/>
  <c r="L325" i="42"/>
  <c r="M325" i="42"/>
  <c r="L326" i="42"/>
  <c r="M326" i="42"/>
  <c r="L327" i="42"/>
  <c r="M327" i="42"/>
  <c r="L328" i="42"/>
  <c r="M328" i="42"/>
  <c r="L329" i="42"/>
  <c r="M329" i="42"/>
  <c r="L330" i="42"/>
  <c r="M330" i="42"/>
  <c r="L331" i="42"/>
  <c r="M331" i="42"/>
  <c r="L332" i="42"/>
  <c r="M332" i="42"/>
  <c r="L333" i="42"/>
  <c r="M333" i="42"/>
  <c r="L334" i="42"/>
  <c r="M334" i="42"/>
  <c r="L335" i="42"/>
  <c r="M335" i="42"/>
  <c r="L336" i="42"/>
  <c r="M336" i="42"/>
  <c r="L337" i="42"/>
  <c r="M337" i="42"/>
  <c r="L338" i="42"/>
  <c r="M338" i="42"/>
  <c r="M10" i="42"/>
  <c r="L10" i="42"/>
  <c r="D7" i="50"/>
  <c r="L64" i="45" l="1"/>
  <c r="AC2" i="60"/>
  <c r="M36" i="54"/>
  <c r="J85" i="45"/>
  <c r="P96" i="45"/>
  <c r="P97" i="45"/>
  <c r="I13" i="50"/>
  <c r="H13" i="50"/>
  <c r="I59" i="50"/>
  <c r="J36" i="50"/>
  <c r="J59" i="50"/>
  <c r="I36" i="50"/>
  <c r="AD84" i="36"/>
  <c r="O58" i="50" s="1"/>
  <c r="AD83" i="36"/>
  <c r="AM2" i="60" s="1"/>
  <c r="AB67" i="36"/>
  <c r="Z67" i="36" s="1"/>
  <c r="T84" i="36"/>
  <c r="J83" i="36"/>
  <c r="E2" i="60" s="1"/>
  <c r="J84" i="36"/>
  <c r="O12" i="50" s="1"/>
  <c r="H67" i="36"/>
  <c r="M38" i="54" l="1"/>
  <c r="M39" i="54"/>
  <c r="G26" i="54" s="1"/>
  <c r="O35" i="50"/>
  <c r="I52" i="50" s="1"/>
  <c r="Z69" i="36"/>
  <c r="AD82" i="36"/>
  <c r="F67" i="36"/>
  <c r="F69" i="36"/>
  <c r="J82" i="36"/>
  <c r="G64" i="45" s="1"/>
  <c r="H75" i="50"/>
  <c r="J75" i="50"/>
  <c r="H29" i="50"/>
  <c r="I29" i="50"/>
  <c r="J29" i="50"/>
  <c r="I75" i="50"/>
  <c r="J96" i="45" l="1"/>
  <c r="L2" i="60"/>
  <c r="F64" i="45"/>
  <c r="J84" i="45"/>
  <c r="S64" i="45"/>
  <c r="J52" i="50"/>
  <c r="H52" i="50"/>
  <c r="J86" i="45" l="1"/>
  <c r="AT2" i="60"/>
  <c r="R64" i="45"/>
  <c r="V97" i="45"/>
  <c r="V96" i="45"/>
  <c r="J88" i="45"/>
  <c r="D7" i="49"/>
  <c r="M65" i="48"/>
  <c r="L65" i="48"/>
  <c r="H65" i="48"/>
  <c r="M64" i="48"/>
  <c r="L64" i="48"/>
  <c r="H64" i="48"/>
  <c r="M63" i="48"/>
  <c r="L63" i="48"/>
  <c r="H63" i="48"/>
  <c r="M62" i="48"/>
  <c r="L62" i="48"/>
  <c r="H62" i="48"/>
  <c r="M61" i="48"/>
  <c r="L61" i="48"/>
  <c r="H61" i="48"/>
  <c r="M60" i="48"/>
  <c r="L60" i="48"/>
  <c r="H60" i="48"/>
  <c r="M59" i="48"/>
  <c r="L59" i="48"/>
  <c r="H59" i="48"/>
  <c r="M58" i="48"/>
  <c r="L58" i="48"/>
  <c r="H58" i="48"/>
  <c r="M57" i="48"/>
  <c r="L57" i="48"/>
  <c r="H57" i="48"/>
  <c r="M56" i="48"/>
  <c r="L56" i="48"/>
  <c r="H56" i="48"/>
  <c r="M55" i="48"/>
  <c r="L55" i="48"/>
  <c r="H55" i="48"/>
  <c r="M54" i="48"/>
  <c r="L54" i="48"/>
  <c r="H54" i="48"/>
  <c r="M53" i="48"/>
  <c r="L53" i="48"/>
  <c r="H53" i="48"/>
  <c r="M52" i="48"/>
  <c r="L52" i="48"/>
  <c r="H52" i="48"/>
  <c r="M51" i="48"/>
  <c r="L51" i="48"/>
  <c r="H51" i="48"/>
  <c r="M50" i="48"/>
  <c r="L50" i="48"/>
  <c r="H50" i="48"/>
  <c r="M49" i="48"/>
  <c r="L49" i="48"/>
  <c r="H49" i="48"/>
  <c r="M48" i="48"/>
  <c r="L48" i="48"/>
  <c r="H48" i="48"/>
  <c r="M47" i="48"/>
  <c r="L47" i="48"/>
  <c r="H47" i="48"/>
  <c r="M46" i="48"/>
  <c r="L46" i="48"/>
  <c r="H46" i="48"/>
  <c r="M45" i="48"/>
  <c r="L45" i="48"/>
  <c r="H45" i="48"/>
  <c r="M44" i="48"/>
  <c r="L44" i="48"/>
  <c r="H44" i="48"/>
  <c r="M43" i="48"/>
  <c r="L43" i="48"/>
  <c r="H43" i="48"/>
  <c r="M42" i="48"/>
  <c r="L42" i="48"/>
  <c r="H42" i="48"/>
  <c r="M41" i="48"/>
  <c r="L41" i="48"/>
  <c r="H41" i="48"/>
  <c r="M40" i="48"/>
  <c r="L40" i="48"/>
  <c r="H40" i="48"/>
  <c r="M39" i="48"/>
  <c r="L39" i="48"/>
  <c r="H39" i="48"/>
  <c r="M38" i="48"/>
  <c r="L38" i="48"/>
  <c r="H38" i="48"/>
  <c r="M37" i="48"/>
  <c r="L37" i="48"/>
  <c r="H37" i="48"/>
  <c r="M36" i="48"/>
  <c r="L36" i="48"/>
  <c r="H36" i="48"/>
  <c r="M35" i="48"/>
  <c r="L35" i="48"/>
  <c r="H35" i="48"/>
  <c r="M34" i="48"/>
  <c r="L34" i="48"/>
  <c r="H34" i="48"/>
  <c r="M33" i="48"/>
  <c r="L33" i="48"/>
  <c r="H33" i="48"/>
  <c r="M32" i="48"/>
  <c r="L32" i="48"/>
  <c r="H32" i="48"/>
  <c r="M31" i="48"/>
  <c r="L31" i="48"/>
  <c r="H31" i="48"/>
  <c r="M30" i="48"/>
  <c r="L30" i="48"/>
  <c r="H30" i="48"/>
  <c r="M29" i="48"/>
  <c r="L29" i="48"/>
  <c r="H29" i="48"/>
  <c r="M28" i="48"/>
  <c r="L28" i="48"/>
  <c r="H28" i="48"/>
  <c r="M27" i="48"/>
  <c r="L27" i="48"/>
  <c r="H27" i="48"/>
  <c r="M26" i="48"/>
  <c r="L26" i="48"/>
  <c r="H26" i="48"/>
  <c r="M25" i="48"/>
  <c r="L25" i="48"/>
  <c r="H25" i="48"/>
  <c r="M24" i="48"/>
  <c r="L24" i="48"/>
  <c r="H24" i="48"/>
  <c r="M23" i="48"/>
  <c r="L23" i="48"/>
  <c r="H23" i="48"/>
  <c r="M22" i="48"/>
  <c r="L22" i="48"/>
  <c r="H22" i="48"/>
  <c r="M21" i="48"/>
  <c r="L21" i="48"/>
  <c r="H21" i="48"/>
  <c r="M20" i="48"/>
  <c r="L20" i="48"/>
  <c r="H20" i="48"/>
  <c r="M19" i="48"/>
  <c r="L19" i="48"/>
  <c r="H19" i="48"/>
  <c r="M18" i="48"/>
  <c r="L18" i="48"/>
  <c r="H18" i="48"/>
  <c r="M17" i="48"/>
  <c r="L17" i="48"/>
  <c r="H17" i="48"/>
  <c r="M16" i="48"/>
  <c r="L16" i="48"/>
  <c r="H16" i="48"/>
  <c r="M15" i="48"/>
  <c r="L15" i="48"/>
  <c r="H15" i="48"/>
  <c r="M14" i="48"/>
  <c r="L14" i="48"/>
  <c r="H14" i="48"/>
  <c r="M13" i="48"/>
  <c r="L13" i="48"/>
  <c r="H13" i="48"/>
  <c r="M12" i="48"/>
  <c r="L12" i="48"/>
  <c r="H12" i="48"/>
  <c r="M11" i="48"/>
  <c r="L11" i="48"/>
  <c r="H11" i="48"/>
  <c r="M10" i="48"/>
  <c r="L10" i="48"/>
  <c r="H10" i="48"/>
  <c r="D7" i="48"/>
  <c r="D7" i="47"/>
  <c r="D7" i="46"/>
  <c r="D7" i="45"/>
  <c r="D7" i="44"/>
  <c r="P340" i="42"/>
  <c r="M340" i="42" s="1"/>
  <c r="O340" i="42"/>
  <c r="L340" i="42" s="1"/>
  <c r="P339" i="42"/>
  <c r="M339" i="42" s="1"/>
  <c r="O339" i="42"/>
  <c r="L339" i="42" s="1"/>
  <c r="H338" i="42"/>
  <c r="H337" i="42"/>
  <c r="H333" i="42"/>
  <c r="H332" i="42"/>
  <c r="H331" i="42"/>
  <c r="H330" i="42"/>
  <c r="H329" i="42"/>
  <c r="H328" i="42"/>
  <c r="H327" i="42"/>
  <c r="H326" i="42"/>
  <c r="H325" i="42"/>
  <c r="H324" i="42"/>
  <c r="H323" i="42"/>
  <c r="H322" i="42"/>
  <c r="H321" i="42"/>
  <c r="H320" i="42"/>
  <c r="H319" i="42"/>
  <c r="H318" i="42"/>
  <c r="H317" i="42"/>
  <c r="H316" i="42"/>
  <c r="H315" i="42"/>
  <c r="H314" i="42"/>
  <c r="H313" i="42"/>
  <c r="H312" i="42"/>
  <c r="H311" i="42"/>
  <c r="H310" i="42"/>
  <c r="H309" i="42"/>
  <c r="H308" i="42"/>
  <c r="H307" i="42"/>
  <c r="H306" i="42"/>
  <c r="H305" i="42"/>
  <c r="H304" i="42"/>
  <c r="H303" i="42"/>
  <c r="H302" i="42"/>
  <c r="H301" i="42"/>
  <c r="H300" i="42"/>
  <c r="H299" i="42"/>
  <c r="H298" i="42"/>
  <c r="H297" i="42"/>
  <c r="H296" i="42"/>
  <c r="H295" i="42"/>
  <c r="H294" i="42"/>
  <c r="H293" i="42"/>
  <c r="H292" i="42"/>
  <c r="H291" i="42"/>
  <c r="H290" i="42"/>
  <c r="H289" i="42"/>
  <c r="H288" i="42"/>
  <c r="H287" i="42"/>
  <c r="H286" i="42"/>
  <c r="H285" i="42"/>
  <c r="H284" i="42"/>
  <c r="H283" i="42"/>
  <c r="H282" i="42"/>
  <c r="H281" i="42"/>
  <c r="H280" i="42"/>
  <c r="H279" i="42"/>
  <c r="H278" i="42"/>
  <c r="H277" i="42"/>
  <c r="H276" i="42"/>
  <c r="H275" i="42"/>
  <c r="H274" i="42"/>
  <c r="H273" i="42"/>
  <c r="H272" i="42"/>
  <c r="H271" i="42"/>
  <c r="H270" i="42"/>
  <c r="H269" i="42"/>
  <c r="H268" i="42"/>
  <c r="H267" i="42"/>
  <c r="H266" i="42"/>
  <c r="H265" i="42"/>
  <c r="H264" i="42"/>
  <c r="H263" i="42"/>
  <c r="H262" i="42"/>
  <c r="H261" i="42"/>
  <c r="H260" i="42"/>
  <c r="H259" i="42"/>
  <c r="H258" i="42"/>
  <c r="H257" i="42"/>
  <c r="H256" i="42"/>
  <c r="H255" i="42"/>
  <c r="H254" i="42"/>
  <c r="H253" i="42"/>
  <c r="H252" i="42"/>
  <c r="H251" i="42"/>
  <c r="H250" i="42"/>
  <c r="H249" i="42"/>
  <c r="H248" i="42"/>
  <c r="H247" i="42"/>
  <c r="H246" i="42"/>
  <c r="H245" i="42"/>
  <c r="H244" i="42"/>
  <c r="H243" i="42"/>
  <c r="H242" i="42"/>
  <c r="H241" i="42"/>
  <c r="H240" i="42"/>
  <c r="H239" i="42"/>
  <c r="H238" i="42"/>
  <c r="H237" i="42"/>
  <c r="H236" i="42"/>
  <c r="H235" i="42"/>
  <c r="H234" i="42"/>
  <c r="H233" i="42"/>
  <c r="H232" i="42"/>
  <c r="H231" i="42"/>
  <c r="H230" i="42"/>
  <c r="H229" i="42"/>
  <c r="H228" i="42"/>
  <c r="H227" i="42"/>
  <c r="H226" i="42"/>
  <c r="H225" i="42"/>
  <c r="H224" i="42"/>
  <c r="H223" i="42"/>
  <c r="H222" i="42"/>
  <c r="H221" i="42"/>
  <c r="H220" i="42"/>
  <c r="H219" i="42"/>
  <c r="H218" i="42"/>
  <c r="H217" i="42"/>
  <c r="H216" i="42"/>
  <c r="H215" i="42"/>
  <c r="H214" i="42"/>
  <c r="H213" i="42"/>
  <c r="H212" i="42"/>
  <c r="H211" i="42"/>
  <c r="H210" i="42"/>
  <c r="H209" i="42"/>
  <c r="H208" i="42"/>
  <c r="H207" i="42"/>
  <c r="H206" i="42"/>
  <c r="H205" i="42"/>
  <c r="H204" i="42"/>
  <c r="H203" i="42"/>
  <c r="H202" i="42"/>
  <c r="H201" i="42"/>
  <c r="H200" i="42"/>
  <c r="H199" i="42"/>
  <c r="H198" i="42"/>
  <c r="H197" i="42"/>
  <c r="H196" i="42"/>
  <c r="H195" i="42"/>
  <c r="H194" i="42"/>
  <c r="H193" i="42"/>
  <c r="H192" i="42"/>
  <c r="H191" i="42"/>
  <c r="H190" i="42"/>
  <c r="H189" i="42"/>
  <c r="H188" i="42"/>
  <c r="H187" i="42"/>
  <c r="H186" i="42"/>
  <c r="H185" i="42"/>
  <c r="H184" i="42"/>
  <c r="H183" i="42"/>
  <c r="H182" i="42"/>
  <c r="H181" i="42"/>
  <c r="H180" i="42"/>
  <c r="H179" i="42"/>
  <c r="H178" i="42"/>
  <c r="H177" i="42"/>
  <c r="H176" i="42"/>
  <c r="H175" i="42"/>
  <c r="H174" i="42"/>
  <c r="H173" i="42"/>
  <c r="H172" i="42"/>
  <c r="H171" i="42"/>
  <c r="H170" i="42"/>
  <c r="H169" i="42"/>
  <c r="H168" i="42"/>
  <c r="H167" i="42"/>
  <c r="H166" i="42"/>
  <c r="H165" i="42"/>
  <c r="H164" i="42"/>
  <c r="H163" i="42"/>
  <c r="H162" i="42"/>
  <c r="H161" i="42"/>
  <c r="H160" i="42"/>
  <c r="H159" i="42"/>
  <c r="H158" i="42"/>
  <c r="H157" i="42"/>
  <c r="H156" i="42"/>
  <c r="H155" i="42"/>
  <c r="H154" i="42"/>
  <c r="H153" i="42"/>
  <c r="H152" i="42"/>
  <c r="H151" i="42"/>
  <c r="H150" i="42"/>
  <c r="H149" i="42"/>
  <c r="H148" i="42"/>
  <c r="H147" i="42"/>
  <c r="H146" i="42"/>
  <c r="H145" i="42"/>
  <c r="H144" i="42"/>
  <c r="H143" i="42"/>
  <c r="H142" i="42"/>
  <c r="H141" i="42"/>
  <c r="H140" i="42"/>
  <c r="H139" i="42"/>
  <c r="H138" i="42"/>
  <c r="H137" i="42"/>
  <c r="H136" i="42"/>
  <c r="H135" i="42"/>
  <c r="H134" i="42"/>
  <c r="H133" i="42"/>
  <c r="H132" i="42"/>
  <c r="H131" i="42"/>
  <c r="H130" i="42"/>
  <c r="H129" i="42"/>
  <c r="H128" i="42"/>
  <c r="H127" i="42"/>
  <c r="H126" i="42"/>
  <c r="H125" i="42"/>
  <c r="H124" i="42"/>
  <c r="H123" i="42"/>
  <c r="H122" i="42"/>
  <c r="H121" i="42"/>
  <c r="H120" i="42"/>
  <c r="H119" i="42"/>
  <c r="H118" i="42"/>
  <c r="H117" i="42"/>
  <c r="H116" i="42"/>
  <c r="H115" i="42"/>
  <c r="H114" i="42"/>
  <c r="H113" i="42"/>
  <c r="H112" i="42"/>
  <c r="H111" i="42"/>
  <c r="H110" i="42"/>
  <c r="H109" i="42"/>
  <c r="H108" i="42"/>
  <c r="H107" i="42"/>
  <c r="H106" i="42"/>
  <c r="H105" i="42"/>
  <c r="H104" i="42"/>
  <c r="H103" i="42"/>
  <c r="H102" i="42"/>
  <c r="H101" i="42"/>
  <c r="H100" i="42"/>
  <c r="H99" i="42"/>
  <c r="H98" i="42"/>
  <c r="H97" i="42"/>
  <c r="H96" i="42"/>
  <c r="H95" i="42"/>
  <c r="H94" i="42"/>
  <c r="H93" i="42"/>
  <c r="H92" i="42"/>
  <c r="H91" i="42"/>
  <c r="H90" i="42"/>
  <c r="H89" i="42"/>
  <c r="H88" i="42"/>
  <c r="H87" i="42"/>
  <c r="H86" i="42"/>
  <c r="H85" i="42"/>
  <c r="H84" i="42"/>
  <c r="H83" i="42"/>
  <c r="H82" i="42"/>
  <c r="H81" i="42"/>
  <c r="H80" i="42"/>
  <c r="H79" i="42"/>
  <c r="H78" i="42"/>
  <c r="H77" i="42"/>
  <c r="H76" i="42"/>
  <c r="H75" i="42"/>
  <c r="H74" i="42"/>
  <c r="H73" i="42"/>
  <c r="H72" i="42"/>
  <c r="H71" i="42"/>
  <c r="H70" i="42"/>
  <c r="H69" i="42"/>
  <c r="H68" i="42"/>
  <c r="H67" i="42"/>
  <c r="H66" i="42"/>
  <c r="H65" i="42"/>
  <c r="H64" i="42"/>
  <c r="H63" i="42"/>
  <c r="H62" i="42"/>
  <c r="H61" i="42"/>
  <c r="H60" i="42"/>
  <c r="H59" i="42"/>
  <c r="H58" i="42"/>
  <c r="H57" i="42"/>
  <c r="H56" i="42"/>
  <c r="H55" i="42"/>
  <c r="H54" i="42"/>
  <c r="H53" i="42"/>
  <c r="H52" i="42"/>
  <c r="H51" i="42"/>
  <c r="H50" i="42"/>
  <c r="H49" i="42"/>
  <c r="H48" i="42"/>
  <c r="H47" i="42"/>
  <c r="H46" i="42"/>
  <c r="H45" i="42"/>
  <c r="H44" i="42"/>
  <c r="H43" i="42"/>
  <c r="H42" i="42"/>
  <c r="H41" i="42"/>
  <c r="H40" i="42"/>
  <c r="H39" i="42"/>
  <c r="H38" i="42"/>
  <c r="H37" i="42"/>
  <c r="H36" i="42"/>
  <c r="H35" i="42"/>
  <c r="H34" i="42"/>
  <c r="H33" i="42"/>
  <c r="H32" i="42"/>
  <c r="H31" i="42"/>
  <c r="H30" i="42"/>
  <c r="H29" i="42"/>
  <c r="H28" i="42"/>
  <c r="H27" i="42"/>
  <c r="H26" i="42"/>
  <c r="H25" i="42"/>
  <c r="H24" i="42"/>
  <c r="H23" i="42"/>
  <c r="H22" i="42"/>
  <c r="H21" i="42"/>
  <c r="H20" i="42"/>
  <c r="H19" i="42"/>
  <c r="H18" i="42"/>
  <c r="H17" i="42"/>
  <c r="H16" i="42"/>
  <c r="H15" i="42"/>
  <c r="H14" i="42"/>
  <c r="H13" i="42"/>
  <c r="H12" i="42"/>
  <c r="H11" i="42"/>
  <c r="H10" i="42"/>
  <c r="D7" i="42"/>
  <c r="D7" i="41"/>
  <c r="D7" i="40"/>
  <c r="N42" i="36" l="1"/>
  <c r="N43" i="36"/>
  <c r="M42" i="36"/>
  <c r="M43" i="36"/>
  <c r="W44" i="69"/>
  <c r="W42" i="69"/>
  <c r="W40" i="69"/>
  <c r="X44" i="69"/>
  <c r="N44" i="69"/>
  <c r="N42" i="69"/>
  <c r="N40" i="69"/>
  <c r="X42" i="69"/>
  <c r="M44" i="69"/>
  <c r="M42" i="69"/>
  <c r="M40" i="69"/>
  <c r="N45" i="69"/>
  <c r="AH44" i="69"/>
  <c r="AH40" i="69"/>
  <c r="AG42" i="69"/>
  <c r="AH45" i="69"/>
  <c r="AH43" i="69"/>
  <c r="AH41" i="69"/>
  <c r="W43" i="69"/>
  <c r="M43" i="69"/>
  <c r="M41" i="69"/>
  <c r="AG40" i="69"/>
  <c r="AG45" i="69"/>
  <c r="AG43" i="69"/>
  <c r="AG41" i="69"/>
  <c r="X45" i="69"/>
  <c r="X43" i="69"/>
  <c r="X41" i="69"/>
  <c r="W45" i="69"/>
  <c r="W41" i="69"/>
  <c r="N43" i="69"/>
  <c r="N41" i="69"/>
  <c r="M45" i="69"/>
  <c r="AH42" i="69"/>
  <c r="X40" i="69"/>
  <c r="AG44" i="69"/>
  <c r="AG41" i="36"/>
  <c r="X41" i="36"/>
  <c r="M40" i="36"/>
  <c r="AH40" i="36"/>
  <c r="AG40" i="36"/>
  <c r="X40" i="36"/>
  <c r="AH45" i="36"/>
  <c r="W40" i="36"/>
  <c r="X45" i="36"/>
  <c r="AH44" i="36"/>
  <c r="W45" i="36"/>
  <c r="AG44" i="36"/>
  <c r="AH43" i="36"/>
  <c r="AG43" i="36"/>
  <c r="AH42" i="36"/>
  <c r="M45" i="36"/>
  <c r="N40" i="36"/>
  <c r="W41" i="36"/>
  <c r="X44" i="36"/>
  <c r="N45" i="36"/>
  <c r="M41" i="36"/>
  <c r="W43" i="36"/>
  <c r="AH41" i="36"/>
  <c r="AG45" i="36"/>
  <c r="N41" i="36"/>
  <c r="N44" i="36"/>
  <c r="W44" i="36"/>
  <c r="X43" i="36"/>
  <c r="M44" i="36"/>
  <c r="X42" i="36"/>
  <c r="W42" i="36"/>
  <c r="AG42" i="36"/>
  <c r="M36" i="62"/>
  <c r="L36" i="62"/>
  <c r="F84" i="45"/>
  <c r="K170" i="36"/>
  <c r="AG35" i="69"/>
  <c r="AH34" i="69"/>
  <c r="M33" i="69"/>
  <c r="N32" i="69"/>
  <c r="W30" i="69"/>
  <c r="X29" i="69"/>
  <c r="AG27" i="69"/>
  <c r="AH26" i="69"/>
  <c r="M25" i="69"/>
  <c r="N24" i="69"/>
  <c r="W22" i="69"/>
  <c r="X21" i="69"/>
  <c r="AG19" i="69"/>
  <c r="AH18" i="69"/>
  <c r="W14" i="69"/>
  <c r="X13" i="69"/>
  <c r="AG34" i="69"/>
  <c r="AH33" i="69"/>
  <c r="M32" i="69"/>
  <c r="N31" i="69"/>
  <c r="W29" i="69"/>
  <c r="X28" i="69"/>
  <c r="AG26" i="69"/>
  <c r="AH25" i="69"/>
  <c r="M24" i="69"/>
  <c r="N23" i="69"/>
  <c r="W21" i="69"/>
  <c r="X20" i="69"/>
  <c r="AG18" i="69"/>
  <c r="AH17" i="69"/>
  <c r="W13" i="69"/>
  <c r="X12" i="69"/>
  <c r="X11" i="69"/>
  <c r="X35" i="69"/>
  <c r="AG33" i="69"/>
  <c r="AH32" i="69"/>
  <c r="M31" i="69"/>
  <c r="N30" i="69"/>
  <c r="W28" i="69"/>
  <c r="X27" i="69"/>
  <c r="AG25" i="69"/>
  <c r="AH24" i="69"/>
  <c r="M23" i="69"/>
  <c r="N22" i="69"/>
  <c r="W20" i="69"/>
  <c r="X19" i="69"/>
  <c r="AG17" i="69"/>
  <c r="AH16" i="69"/>
  <c r="W12" i="69"/>
  <c r="W35" i="69"/>
  <c r="X34" i="69"/>
  <c r="AG32" i="69"/>
  <c r="AH31" i="69"/>
  <c r="M30" i="69"/>
  <c r="N29" i="69"/>
  <c r="W27" i="69"/>
  <c r="X26" i="69"/>
  <c r="AG24" i="69"/>
  <c r="AH23" i="69"/>
  <c r="M22" i="69"/>
  <c r="N21" i="69"/>
  <c r="W19" i="69"/>
  <c r="X18" i="69"/>
  <c r="AG16" i="69"/>
  <c r="AH15" i="69"/>
  <c r="W11" i="69"/>
  <c r="W34" i="69"/>
  <c r="X33" i="69"/>
  <c r="AG31" i="69"/>
  <c r="AH30" i="69"/>
  <c r="M29" i="69"/>
  <c r="N28" i="69"/>
  <c r="W26" i="69"/>
  <c r="X25" i="69"/>
  <c r="AG23" i="69"/>
  <c r="AH22" i="69"/>
  <c r="M21" i="69"/>
  <c r="N20" i="69"/>
  <c r="W18" i="69"/>
  <c r="X17" i="69"/>
  <c r="AG15" i="69"/>
  <c r="AH14" i="69"/>
  <c r="N35" i="69"/>
  <c r="W33" i="69"/>
  <c r="X32" i="69"/>
  <c r="AG30" i="69"/>
  <c r="AH29" i="69"/>
  <c r="M28" i="69"/>
  <c r="N27" i="69"/>
  <c r="W25" i="69"/>
  <c r="X24" i="69"/>
  <c r="AG22" i="69"/>
  <c r="AH21" i="69"/>
  <c r="M20" i="69"/>
  <c r="W17" i="69"/>
  <c r="X16" i="69"/>
  <c r="AG14" i="69"/>
  <c r="AH13" i="69"/>
  <c r="M35" i="69"/>
  <c r="N34" i="69"/>
  <c r="W32" i="69"/>
  <c r="X31" i="69"/>
  <c r="AG29" i="69"/>
  <c r="AH28" i="69"/>
  <c r="M27" i="69"/>
  <c r="N26" i="69"/>
  <c r="W24" i="69"/>
  <c r="X23" i="69"/>
  <c r="AG21" i="69"/>
  <c r="AH20" i="69"/>
  <c r="W16" i="69"/>
  <c r="X15" i="69"/>
  <c r="AG13" i="69"/>
  <c r="AH12" i="69"/>
  <c r="AH35" i="69"/>
  <c r="M34" i="69"/>
  <c r="N33" i="69"/>
  <c r="W31" i="69"/>
  <c r="X30" i="69"/>
  <c r="AG28" i="69"/>
  <c r="AH27" i="69"/>
  <c r="M26" i="69"/>
  <c r="N25" i="69"/>
  <c r="W23" i="69"/>
  <c r="X22" i="69"/>
  <c r="AG20" i="69"/>
  <c r="AH19" i="69"/>
  <c r="W15" i="69"/>
  <c r="X14" i="69"/>
  <c r="AG12" i="69"/>
  <c r="AH11" i="69"/>
  <c r="AG11" i="69"/>
  <c r="AH32" i="36"/>
  <c r="AH25" i="36"/>
  <c r="AH21" i="36"/>
  <c r="AH17" i="36"/>
  <c r="W33" i="36"/>
  <c r="W27" i="36"/>
  <c r="W22" i="36"/>
  <c r="W15" i="36"/>
  <c r="N17" i="36"/>
  <c r="N26" i="36"/>
  <c r="M16" i="36"/>
  <c r="M25" i="36"/>
  <c r="M26" i="36"/>
  <c r="AH33" i="36"/>
  <c r="W23" i="36"/>
  <c r="M34" i="36"/>
  <c r="X27" i="36"/>
  <c r="M24" i="36"/>
  <c r="AG32" i="36"/>
  <c r="AG25" i="36"/>
  <c r="AG21" i="36"/>
  <c r="AG17" i="36"/>
  <c r="X32" i="36"/>
  <c r="X25" i="36"/>
  <c r="X21" i="36"/>
  <c r="N18" i="36"/>
  <c r="N27" i="36"/>
  <c r="M17" i="36"/>
  <c r="M27" i="36"/>
  <c r="W28" i="36"/>
  <c r="M23" i="36"/>
  <c r="X33" i="36"/>
  <c r="M15" i="36"/>
  <c r="AH35" i="36"/>
  <c r="AH30" i="36"/>
  <c r="AH24" i="36"/>
  <c r="AH20" i="36"/>
  <c r="AH16" i="36"/>
  <c r="W32" i="36"/>
  <c r="W25" i="36"/>
  <c r="W21" i="36"/>
  <c r="N19" i="36"/>
  <c r="N29" i="36"/>
  <c r="M18" i="36"/>
  <c r="AH22" i="36"/>
  <c r="N15" i="36"/>
  <c r="AG27" i="36"/>
  <c r="X15" i="36"/>
  <c r="AG35" i="36"/>
  <c r="AG30" i="36"/>
  <c r="AG24" i="36"/>
  <c r="AG20" i="36"/>
  <c r="AG16" i="36"/>
  <c r="X35" i="36"/>
  <c r="X30" i="36"/>
  <c r="X24" i="36"/>
  <c r="X17" i="36"/>
  <c r="N21" i="36"/>
  <c r="N32" i="36"/>
  <c r="M19" i="36"/>
  <c r="M29" i="36"/>
  <c r="AH27" i="36"/>
  <c r="W16" i="36"/>
  <c r="AG33" i="36"/>
  <c r="X22" i="36"/>
  <c r="M35" i="36"/>
  <c r="AH34" i="36"/>
  <c r="AH28" i="36"/>
  <c r="AH23" i="36"/>
  <c r="AH19" i="36"/>
  <c r="AH15" i="36"/>
  <c r="W35" i="36"/>
  <c r="W30" i="36"/>
  <c r="W24" i="36"/>
  <c r="W17" i="36"/>
  <c r="N22" i="36"/>
  <c r="N33" i="36"/>
  <c r="M21" i="36"/>
  <c r="M32" i="36"/>
  <c r="W34" i="36"/>
  <c r="N24" i="36"/>
  <c r="AG22" i="36"/>
  <c r="N25" i="36"/>
  <c r="AG34" i="36"/>
  <c r="AG28" i="36"/>
  <c r="AG23" i="36"/>
  <c r="AG19" i="36"/>
  <c r="AG15" i="36"/>
  <c r="X34" i="36"/>
  <c r="X28" i="36"/>
  <c r="X23" i="36"/>
  <c r="X16" i="36"/>
  <c r="N23" i="36"/>
  <c r="N34" i="36"/>
  <c r="M22" i="36"/>
  <c r="M33" i="36"/>
  <c r="AH18" i="36"/>
  <c r="N35" i="36"/>
  <c r="AG18" i="36"/>
  <c r="N16" i="36"/>
  <c r="W20" i="36"/>
  <c r="X20" i="36"/>
  <c r="X18" i="36"/>
  <c r="W18" i="36"/>
  <c r="N30" i="36"/>
  <c r="N31" i="36"/>
  <c r="X19" i="36"/>
  <c r="M13" i="36"/>
  <c r="W13" i="36"/>
  <c r="AG13" i="36"/>
  <c r="W26" i="36"/>
  <c r="AG26" i="36"/>
  <c r="N13" i="36"/>
  <c r="X13" i="36"/>
  <c r="AH13" i="36"/>
  <c r="AH31" i="36"/>
  <c r="AH11" i="36"/>
  <c r="X29" i="36"/>
  <c r="X12" i="36"/>
  <c r="AH29" i="36"/>
  <c r="X31" i="36"/>
  <c r="AH12" i="36"/>
  <c r="N12" i="36"/>
  <c r="N11" i="36"/>
  <c r="X11" i="36"/>
  <c r="W14" i="36"/>
  <c r="M14" i="36"/>
  <c r="AG14" i="36"/>
  <c r="AH26" i="36"/>
  <c r="X26" i="36"/>
  <c r="N14" i="36"/>
  <c r="AH14" i="36"/>
  <c r="X14" i="36"/>
  <c r="M20" i="36"/>
  <c r="M28" i="36"/>
  <c r="M30" i="36"/>
  <c r="M31" i="36"/>
  <c r="W19" i="36"/>
  <c r="N20" i="36"/>
  <c r="N28" i="36"/>
  <c r="AG12" i="36"/>
  <c r="M11" i="36"/>
  <c r="AG31" i="36"/>
  <c r="AG11" i="36"/>
  <c r="W29" i="36"/>
  <c r="W12" i="36"/>
  <c r="AG29" i="36"/>
  <c r="W31" i="36"/>
  <c r="W11" i="36"/>
  <c r="M12" i="36"/>
  <c r="D7" i="37"/>
  <c r="D7" i="36"/>
  <c r="AG46" i="36" l="1"/>
  <c r="AG47" i="36" s="1"/>
  <c r="X46" i="36"/>
  <c r="X47" i="36" s="1"/>
  <c r="AH46" i="36"/>
  <c r="AH47" i="36" s="1"/>
  <c r="W46" i="69"/>
  <c r="W47" i="69" s="1"/>
  <c r="W46" i="36"/>
  <c r="W47" i="36" s="1"/>
  <c r="N46" i="69"/>
  <c r="N47" i="69" s="1"/>
  <c r="X46" i="69"/>
  <c r="X47" i="69" s="1"/>
  <c r="M46" i="69"/>
  <c r="M47" i="69" s="1"/>
  <c r="AG46" i="69"/>
  <c r="AG47" i="69" s="1"/>
  <c r="AH46" i="69"/>
  <c r="AH47" i="69" s="1"/>
  <c r="AG36" i="69"/>
  <c r="AG37" i="69" s="1"/>
  <c r="M36" i="69"/>
  <c r="N36" i="69"/>
  <c r="AH36" i="69"/>
  <c r="X36" i="69"/>
  <c r="W36" i="69"/>
  <c r="AG36" i="36"/>
  <c r="AD85" i="36" s="1"/>
  <c r="Z85" i="36" s="1"/>
  <c r="X36" i="36"/>
  <c r="T87" i="36" s="1"/>
  <c r="AH36" i="36"/>
  <c r="AD87" i="36" s="1"/>
  <c r="AY2" i="60" s="1"/>
  <c r="W36" i="36"/>
  <c r="M36" i="36"/>
  <c r="N36" i="36"/>
  <c r="M46" i="36"/>
  <c r="N46" i="36"/>
  <c r="T85" i="36" l="1"/>
  <c r="P85" i="36" s="1"/>
  <c r="J83" i="69"/>
  <c r="F83" i="69" s="1"/>
  <c r="J85" i="36"/>
  <c r="F85" i="36" s="1"/>
  <c r="P64" i="45"/>
  <c r="N70" i="45" s="1"/>
  <c r="O70" i="45" s="1"/>
  <c r="AH2" i="60"/>
  <c r="AD84" i="69"/>
  <c r="Z84" i="69" s="1"/>
  <c r="AD83" i="69"/>
  <c r="Z83" i="69" s="1"/>
  <c r="W37" i="69"/>
  <c r="T84" i="69"/>
  <c r="T83" i="69"/>
  <c r="P83" i="69" s="1"/>
  <c r="X37" i="69"/>
  <c r="T85" i="69"/>
  <c r="AH37" i="69"/>
  <c r="AD85" i="69"/>
  <c r="Z85" i="69" s="1"/>
  <c r="N37" i="69"/>
  <c r="J85" i="69"/>
  <c r="M37" i="69"/>
  <c r="J117" i="69"/>
  <c r="J84" i="69"/>
  <c r="V64" i="45"/>
  <c r="T70" i="45" s="1"/>
  <c r="N58" i="50"/>
  <c r="N35" i="50"/>
  <c r="I45" i="50" s="1"/>
  <c r="J119" i="36"/>
  <c r="J87" i="36"/>
  <c r="Z87" i="36"/>
  <c r="J86" i="36"/>
  <c r="M47" i="36"/>
  <c r="AG37" i="36"/>
  <c r="N47" i="36"/>
  <c r="AD86" i="36"/>
  <c r="AX2" i="60" s="1"/>
  <c r="W37" i="36"/>
  <c r="T86" i="36"/>
  <c r="AG2" i="60" s="1"/>
  <c r="AH37" i="36"/>
  <c r="X37" i="36"/>
  <c r="M37" i="36"/>
  <c r="N37" i="36"/>
  <c r="D7" i="35"/>
  <c r="J209" i="9" l="1"/>
  <c r="S2" i="72"/>
  <c r="P85" i="69"/>
  <c r="N35" i="70"/>
  <c r="U143" i="36"/>
  <c r="Q2" i="60"/>
  <c r="I64" i="45"/>
  <c r="H64" i="45" s="1"/>
  <c r="H74" i="45" s="1"/>
  <c r="H76" i="45" s="1"/>
  <c r="P2" i="60"/>
  <c r="S69" i="45"/>
  <c r="AU2" i="60" s="1"/>
  <c r="AV2" i="60"/>
  <c r="P84" i="69"/>
  <c r="M35" i="70"/>
  <c r="M69" i="45"/>
  <c r="AD2" i="60" s="1"/>
  <c r="AE2" i="60"/>
  <c r="M12" i="70"/>
  <c r="H15" i="70" s="1"/>
  <c r="F84" i="69"/>
  <c r="F119" i="69"/>
  <c r="F118" i="69"/>
  <c r="N12" i="70"/>
  <c r="I22" i="70" s="1"/>
  <c r="F85" i="69"/>
  <c r="U70" i="45"/>
  <c r="R69" i="45" s="1"/>
  <c r="O64" i="45"/>
  <c r="N64" i="45" s="1"/>
  <c r="G53" i="54"/>
  <c r="G67" i="54" s="1"/>
  <c r="AD88" i="69" s="1"/>
  <c r="M58" i="50"/>
  <c r="U64" i="45"/>
  <c r="T64" i="45" s="1"/>
  <c r="T74" i="45" s="1"/>
  <c r="F120" i="36"/>
  <c r="F210" i="9" s="1"/>
  <c r="F87" i="36"/>
  <c r="J64" i="45"/>
  <c r="H70" i="45" s="1"/>
  <c r="N2" i="60" s="1"/>
  <c r="J45" i="50"/>
  <c r="J46" i="50" s="1"/>
  <c r="H45" i="50"/>
  <c r="H49" i="50" s="1"/>
  <c r="L69" i="45"/>
  <c r="G15" i="54"/>
  <c r="M37" i="54" s="1"/>
  <c r="G16" i="54" s="1"/>
  <c r="G30" i="54" s="1"/>
  <c r="J89" i="69" s="1"/>
  <c r="F86" i="36"/>
  <c r="M35" i="50"/>
  <c r="H38" i="50" s="1"/>
  <c r="G34" i="54"/>
  <c r="N12" i="50"/>
  <c r="J22" i="50" s="1"/>
  <c r="J25" i="50" s="1"/>
  <c r="I49" i="50"/>
  <c r="I50" i="50"/>
  <c r="H68" i="50"/>
  <c r="H73" i="50" s="1"/>
  <c r="J68" i="50"/>
  <c r="I68" i="50"/>
  <c r="I46" i="50"/>
  <c r="I48" i="50"/>
  <c r="Z86" i="36"/>
  <c r="M12" i="50"/>
  <c r="J15" i="50" s="1"/>
  <c r="F121" i="36"/>
  <c r="F211" i="9" s="1"/>
  <c r="D7" i="32"/>
  <c r="J15" i="70" l="1"/>
  <c r="J16" i="70" s="1"/>
  <c r="J22" i="70"/>
  <c r="J23" i="70" s="1"/>
  <c r="H38" i="70"/>
  <c r="J38" i="70"/>
  <c r="I38" i="70"/>
  <c r="H45" i="70"/>
  <c r="I45" i="70"/>
  <c r="J45" i="70"/>
  <c r="G78" i="45"/>
  <c r="O2" i="60" s="1"/>
  <c r="I70" i="45"/>
  <c r="F69" i="45" s="1"/>
  <c r="G69" i="45"/>
  <c r="R74" i="45"/>
  <c r="H20" i="67" s="1"/>
  <c r="I20" i="67" s="1"/>
  <c r="F20" i="67" s="1"/>
  <c r="S78" i="45"/>
  <c r="H43" i="50"/>
  <c r="H42" i="50"/>
  <c r="I15" i="70"/>
  <c r="I19" i="70" s="1"/>
  <c r="H22" i="70"/>
  <c r="H23" i="70" s="1"/>
  <c r="H19" i="70"/>
  <c r="H16" i="70"/>
  <c r="H18" i="70"/>
  <c r="H20" i="70"/>
  <c r="I25" i="70"/>
  <c r="I27" i="70"/>
  <c r="I26" i="70"/>
  <c r="I23" i="70"/>
  <c r="N74" i="45"/>
  <c r="O37" i="54"/>
  <c r="G54" i="54" s="1"/>
  <c r="G68" i="54" s="1"/>
  <c r="AD89" i="69" s="1"/>
  <c r="F74" i="45"/>
  <c r="I74" i="45"/>
  <c r="I75" i="45"/>
  <c r="H50" i="50"/>
  <c r="H48" i="50"/>
  <c r="H46" i="50"/>
  <c r="K46" i="50" s="1"/>
  <c r="H47" i="50" s="1"/>
  <c r="J48" i="50"/>
  <c r="J50" i="50"/>
  <c r="J49" i="50"/>
  <c r="G29" i="54"/>
  <c r="J38" i="50"/>
  <c r="J43" i="50" s="1"/>
  <c r="I38" i="50"/>
  <c r="I43" i="50" s="1"/>
  <c r="G48" i="54"/>
  <c r="T88" i="69" s="1"/>
  <c r="N37" i="54"/>
  <c r="G35" i="54" s="1"/>
  <c r="G49" i="54" s="1"/>
  <c r="T89" i="69" s="1"/>
  <c r="AD90" i="36"/>
  <c r="AR2" i="60" s="1"/>
  <c r="I67" i="54"/>
  <c r="H67" i="54"/>
  <c r="J91" i="36"/>
  <c r="H30" i="54"/>
  <c r="I30" i="54"/>
  <c r="I22" i="50"/>
  <c r="I26" i="50" s="1"/>
  <c r="H22" i="50"/>
  <c r="H26" i="50" s="1"/>
  <c r="J23" i="50"/>
  <c r="J27" i="50"/>
  <c r="J26" i="50"/>
  <c r="I72" i="50"/>
  <c r="I73" i="50"/>
  <c r="J72" i="50"/>
  <c r="J73" i="50"/>
  <c r="H72" i="50"/>
  <c r="J19" i="50"/>
  <c r="J20" i="50"/>
  <c r="H39" i="50"/>
  <c r="H41" i="50"/>
  <c r="I71" i="50"/>
  <c r="I69" i="50"/>
  <c r="H61" i="50"/>
  <c r="H65" i="50" s="1"/>
  <c r="I61" i="50"/>
  <c r="J61" i="50"/>
  <c r="J71" i="50"/>
  <c r="J69" i="50"/>
  <c r="H69" i="50"/>
  <c r="H71" i="50"/>
  <c r="J18" i="50"/>
  <c r="J16" i="50"/>
  <c r="I15" i="50"/>
  <c r="H15" i="50"/>
  <c r="D7" i="21"/>
  <c r="J19" i="70" l="1"/>
  <c r="J20" i="70"/>
  <c r="J18" i="70"/>
  <c r="J25" i="70"/>
  <c r="J26" i="70"/>
  <c r="J27" i="70"/>
  <c r="K2" i="60"/>
  <c r="T78" i="45"/>
  <c r="AW2" i="60"/>
  <c r="I46" i="70"/>
  <c r="I49" i="70"/>
  <c r="N134" i="69" s="1"/>
  <c r="N135" i="69" s="1"/>
  <c r="I50" i="70"/>
  <c r="N138" i="69" s="1"/>
  <c r="I48" i="70"/>
  <c r="H49" i="70"/>
  <c r="H48" i="70"/>
  <c r="H50" i="70"/>
  <c r="H46" i="70"/>
  <c r="J49" i="70"/>
  <c r="J46" i="70"/>
  <c r="J50" i="70"/>
  <c r="J48" i="70"/>
  <c r="I43" i="70"/>
  <c r="I39" i="70"/>
  <c r="I42" i="70"/>
  <c r="M134" i="69" s="1"/>
  <c r="I41" i="70"/>
  <c r="J42" i="70"/>
  <c r="J43" i="70"/>
  <c r="J39" i="70"/>
  <c r="J41" i="70"/>
  <c r="H42" i="70"/>
  <c r="K134" i="69" s="1"/>
  <c r="H41" i="70"/>
  <c r="H39" i="70"/>
  <c r="H43" i="70"/>
  <c r="K138" i="69" s="1"/>
  <c r="H78" i="45"/>
  <c r="M2" i="60"/>
  <c r="L133" i="36"/>
  <c r="N136" i="36"/>
  <c r="Q149" i="36"/>
  <c r="Q153" i="36"/>
  <c r="Q151" i="36"/>
  <c r="H66" i="50"/>
  <c r="I18" i="70"/>
  <c r="I16" i="70"/>
  <c r="K16" i="70" s="1"/>
  <c r="J17" i="70" s="1"/>
  <c r="J30" i="70" s="1"/>
  <c r="J31" i="70" s="1"/>
  <c r="I20" i="70"/>
  <c r="H26" i="70"/>
  <c r="H27" i="70"/>
  <c r="H25" i="70"/>
  <c r="L74" i="45"/>
  <c r="O149" i="36" s="1"/>
  <c r="M78" i="45"/>
  <c r="N151" i="36"/>
  <c r="N149" i="36"/>
  <c r="N153" i="36"/>
  <c r="K23" i="70"/>
  <c r="I24" i="70" s="1"/>
  <c r="H29" i="54"/>
  <c r="J88" i="69"/>
  <c r="H18" i="67"/>
  <c r="I18" i="67" s="1"/>
  <c r="AD91" i="36"/>
  <c r="I68" i="54"/>
  <c r="H68" i="54"/>
  <c r="J97" i="45"/>
  <c r="J182" i="9" s="1"/>
  <c r="J181" i="9"/>
  <c r="J183" i="9"/>
  <c r="I42" i="50"/>
  <c r="J90" i="36"/>
  <c r="J2" i="60" s="1"/>
  <c r="I29" i="54"/>
  <c r="Q140" i="36"/>
  <c r="Q141" i="36" s="1"/>
  <c r="Q136" i="36"/>
  <c r="Q133" i="36"/>
  <c r="L136" i="36"/>
  <c r="N133" i="36"/>
  <c r="I39" i="50"/>
  <c r="I41" i="50"/>
  <c r="J41" i="50"/>
  <c r="J42" i="50"/>
  <c r="J39" i="50"/>
  <c r="T91" i="36"/>
  <c r="H49" i="54"/>
  <c r="I49" i="54"/>
  <c r="T90" i="36"/>
  <c r="AA2" i="60" s="1"/>
  <c r="H48" i="54"/>
  <c r="I48" i="54"/>
  <c r="I23" i="50"/>
  <c r="H23" i="50"/>
  <c r="H25" i="50"/>
  <c r="H27" i="50"/>
  <c r="L140" i="36" s="1"/>
  <c r="L141" i="36" s="1"/>
  <c r="I25" i="50"/>
  <c r="I27" i="50"/>
  <c r="J65" i="50"/>
  <c r="J66" i="50"/>
  <c r="O140" i="36" s="1"/>
  <c r="I65" i="50"/>
  <c r="I66" i="50"/>
  <c r="H19" i="50"/>
  <c r="H20" i="50"/>
  <c r="I19" i="50"/>
  <c r="I20" i="50"/>
  <c r="I47" i="50"/>
  <c r="J47" i="50"/>
  <c r="K69" i="50"/>
  <c r="H70" i="50" s="1"/>
  <c r="I64" i="50"/>
  <c r="I62" i="50"/>
  <c r="J64" i="50"/>
  <c r="J62" i="50"/>
  <c r="H62" i="50"/>
  <c r="H64" i="50"/>
  <c r="H18" i="50"/>
  <c r="H16" i="50"/>
  <c r="I16" i="50"/>
  <c r="I18" i="50"/>
  <c r="D7" i="9"/>
  <c r="D7" i="18"/>
  <c r="D7" i="23"/>
  <c r="O138" i="69" l="1"/>
  <c r="O139" i="69" s="1"/>
  <c r="O131" i="69"/>
  <c r="Q131" i="69"/>
  <c r="Q132" i="69" s="1"/>
  <c r="Q138" i="69"/>
  <c r="Q139" i="69" s="1"/>
  <c r="AB2" i="60"/>
  <c r="AS2" i="60"/>
  <c r="K131" i="69"/>
  <c r="M131" i="69"/>
  <c r="M132" i="69" s="1"/>
  <c r="L138" i="69"/>
  <c r="Q134" i="69"/>
  <c r="Q135" i="69" s="1"/>
  <c r="M138" i="69"/>
  <c r="M139" i="69" s="1"/>
  <c r="N78" i="45"/>
  <c r="AF2" i="60"/>
  <c r="O134" i="69"/>
  <c r="O135" i="69" s="1"/>
  <c r="L134" i="69"/>
  <c r="K39" i="70"/>
  <c r="I40" i="70" s="1"/>
  <c r="I53" i="70" s="1"/>
  <c r="I54" i="70" s="1"/>
  <c r="N131" i="69"/>
  <c r="N132" i="69" s="1"/>
  <c r="N139" i="69"/>
  <c r="K46" i="70"/>
  <c r="H47" i="70" s="1"/>
  <c r="K140" i="36"/>
  <c r="K141" i="36" s="1"/>
  <c r="O151" i="36"/>
  <c r="H19" i="67"/>
  <c r="I19" i="67" s="1"/>
  <c r="H33" i="67" s="1"/>
  <c r="I33" i="67" s="1"/>
  <c r="F33" i="67" s="1"/>
  <c r="L131" i="69"/>
  <c r="O153" i="36"/>
  <c r="F18" i="67"/>
  <c r="H17" i="70"/>
  <c r="H30" i="70" s="1"/>
  <c r="H31" i="70" s="1"/>
  <c r="I17" i="70"/>
  <c r="I30" i="70" s="1"/>
  <c r="I31" i="70" s="1"/>
  <c r="J24" i="70"/>
  <c r="H24" i="70"/>
  <c r="O132" i="69"/>
  <c r="M135" i="69"/>
  <c r="K39" i="50"/>
  <c r="I40" i="50" s="1"/>
  <c r="I53" i="50" s="1"/>
  <c r="I54" i="50" s="1"/>
  <c r="M140" i="36"/>
  <c r="O136" i="36"/>
  <c r="O133" i="36"/>
  <c r="O134" i="36" s="1"/>
  <c r="M133" i="36"/>
  <c r="M134" i="36" s="1"/>
  <c r="M136" i="36"/>
  <c r="K133" i="36"/>
  <c r="K136" i="36"/>
  <c r="N140" i="36"/>
  <c r="N141" i="36" s="1"/>
  <c r="K23" i="50"/>
  <c r="J24" i="50" s="1"/>
  <c r="Q137" i="36"/>
  <c r="U136" i="36"/>
  <c r="U133" i="36"/>
  <c r="U134" i="36" s="1"/>
  <c r="O141" i="36"/>
  <c r="L137" i="36"/>
  <c r="J70" i="50"/>
  <c r="I70" i="50"/>
  <c r="K62" i="50"/>
  <c r="H63" i="50" s="1"/>
  <c r="K16" i="50"/>
  <c r="J17" i="50" s="1"/>
  <c r="U134" i="69" l="1"/>
  <c r="U135" i="69" s="1"/>
  <c r="L135" i="69"/>
  <c r="J47" i="70"/>
  <c r="I47" i="70"/>
  <c r="H40" i="70"/>
  <c r="H53" i="70" s="1"/>
  <c r="H54" i="70" s="1"/>
  <c r="U131" i="69"/>
  <c r="U132" i="69" s="1"/>
  <c r="J40" i="70"/>
  <c r="J53" i="70" s="1"/>
  <c r="J54" i="70" s="1"/>
  <c r="L167" i="36"/>
  <c r="L132" i="69"/>
  <c r="F19" i="67"/>
  <c r="L139" i="69"/>
  <c r="U138" i="69"/>
  <c r="U139" i="69" s="1"/>
  <c r="K139" i="69"/>
  <c r="T138" i="69"/>
  <c r="T139" i="69" s="1"/>
  <c r="K135" i="69"/>
  <c r="T134" i="69"/>
  <c r="T135" i="69" s="1"/>
  <c r="T140" i="36"/>
  <c r="K132" i="69"/>
  <c r="T131" i="69"/>
  <c r="T132" i="69" s="1"/>
  <c r="U137" i="36"/>
  <c r="H40" i="50"/>
  <c r="H53" i="50" s="1"/>
  <c r="H54" i="50" s="1"/>
  <c r="J40" i="50"/>
  <c r="J53" i="50" s="1"/>
  <c r="J54" i="50" s="1"/>
  <c r="O137" i="36"/>
  <c r="U140" i="36"/>
  <c r="H24" i="50"/>
  <c r="I24" i="50"/>
  <c r="N137" i="36" s="1"/>
  <c r="M141" i="36"/>
  <c r="K167" i="36" s="1"/>
  <c r="T136" i="36"/>
  <c r="K134" i="36"/>
  <c r="T133" i="36"/>
  <c r="T134" i="36" s="1"/>
  <c r="H76" i="50"/>
  <c r="H77" i="50" s="1"/>
  <c r="J63" i="50"/>
  <c r="J76" i="50" s="1"/>
  <c r="J77" i="50" s="1"/>
  <c r="I63" i="50"/>
  <c r="I76" i="50" s="1"/>
  <c r="I77" i="50" s="1"/>
  <c r="H17" i="50"/>
  <c r="I17" i="50"/>
  <c r="J30" i="50"/>
  <c r="J31" i="50" s="1"/>
  <c r="Q134" i="36" s="1"/>
  <c r="T141" i="36" l="1"/>
  <c r="N2" i="56"/>
  <c r="U141" i="36"/>
  <c r="O2" i="56"/>
  <c r="I10" i="67"/>
  <c r="I11" i="67"/>
  <c r="J11" i="67" s="1"/>
  <c r="T137" i="36"/>
  <c r="I30" i="50"/>
  <c r="I31" i="50" s="1"/>
  <c r="N134" i="36" s="1"/>
  <c r="M137" i="36"/>
  <c r="H30" i="50"/>
  <c r="H31" i="50" s="1"/>
  <c r="L134" i="36" s="1"/>
  <c r="K137" i="36"/>
  <c r="J10" i="67" l="1"/>
  <c r="F10" i="67" s="1"/>
  <c r="F11" i="67"/>
  <c r="P86" i="36"/>
  <c r="P87" i="36"/>
  <c r="H414" i="44"/>
  <c r="L92" i="44"/>
  <c r="H105" i="44"/>
  <c r="H320" i="44"/>
  <c r="H219" i="44"/>
  <c r="H144" i="44"/>
  <c r="L86" i="44"/>
  <c r="L427" i="44"/>
  <c r="H348" i="44"/>
  <c r="L128" i="44"/>
  <c r="L244" i="44"/>
  <c r="H245" i="44"/>
  <c r="H146" i="44"/>
  <c r="L26" i="44"/>
  <c r="L339" i="44"/>
  <c r="L176" i="44"/>
  <c r="H478" i="44"/>
  <c r="H408" i="44"/>
  <c r="H344" i="44"/>
  <c r="L169" i="44"/>
  <c r="L365" i="44"/>
  <c r="H43" i="44"/>
  <c r="H194" i="44"/>
  <c r="L231" i="44"/>
  <c r="H400" i="44"/>
  <c r="L69" i="44"/>
  <c r="H406" i="44"/>
  <c r="L182" i="44"/>
  <c r="L361" i="44"/>
  <c r="L448" i="44"/>
  <c r="L76" i="44"/>
  <c r="L392" i="44"/>
  <c r="H104" i="44"/>
  <c r="H303" i="44"/>
  <c r="H389" i="44"/>
  <c r="H145" i="44"/>
  <c r="H250" i="44"/>
  <c r="H338" i="44"/>
  <c r="H482" i="44"/>
  <c r="L71" i="44"/>
  <c r="H274" i="44"/>
  <c r="L247" i="44"/>
  <c r="L127" i="44"/>
  <c r="H331" i="44"/>
  <c r="L35" i="44"/>
  <c r="H273" i="44"/>
  <c r="L324" i="44"/>
  <c r="L190" i="44"/>
  <c r="H398" i="44"/>
  <c r="H450" i="44"/>
  <c r="L346" i="44"/>
  <c r="L320" i="44"/>
  <c r="L181" i="44"/>
  <c r="H297" i="44"/>
  <c r="L242" i="44"/>
  <c r="H118" i="44"/>
  <c r="H246" i="44"/>
  <c r="L165" i="44"/>
  <c r="L358" i="44"/>
  <c r="L106" i="44"/>
  <c r="H161" i="44"/>
  <c r="L280" i="44"/>
  <c r="L465" i="44"/>
  <c r="H480" i="44"/>
  <c r="H265" i="44"/>
  <c r="H302" i="44"/>
  <c r="L145" i="44"/>
  <c r="H499" i="44"/>
  <c r="L305" i="44"/>
  <c r="H196" i="44"/>
  <c r="H469" i="44"/>
  <c r="H214" i="44"/>
  <c r="H193" i="44"/>
  <c r="H188" i="44"/>
  <c r="H317" i="44"/>
  <c r="L104" i="44"/>
  <c r="H497" i="44"/>
  <c r="L97" i="44"/>
  <c r="H440" i="44"/>
  <c r="H460" i="44"/>
  <c r="L50" i="44"/>
  <c r="L385" i="44"/>
  <c r="L196" i="44"/>
  <c r="L257" i="44"/>
  <c r="L384" i="44"/>
  <c r="L217" i="44"/>
  <c r="H341" i="44"/>
  <c r="L326" i="44"/>
  <c r="H281" i="44"/>
  <c r="H58" i="44"/>
  <c r="H277" i="44"/>
  <c r="H160" i="44"/>
  <c r="L488" i="44"/>
  <c r="L162" i="44"/>
  <c r="L373" i="44"/>
  <c r="H301" i="44"/>
  <c r="L114" i="44"/>
  <c r="L16" i="44"/>
  <c r="L202" i="44"/>
  <c r="L147" i="44"/>
  <c r="L477" i="44"/>
  <c r="H262" i="44"/>
  <c r="H38" i="44"/>
  <c r="H462" i="44"/>
  <c r="H49" i="44"/>
  <c r="L255" i="44"/>
  <c r="H47" i="44"/>
  <c r="H139" i="44"/>
  <c r="H230" i="44"/>
  <c r="H68" i="44"/>
  <c r="L493" i="44"/>
  <c r="L431" i="44"/>
  <c r="L122" i="44"/>
  <c r="L438" i="44"/>
  <c r="H500" i="44"/>
  <c r="H290" i="44"/>
  <c r="H231" i="44"/>
  <c r="H340" i="44"/>
  <c r="H235" i="44"/>
  <c r="L112" i="44"/>
  <c r="H354" i="44"/>
  <c r="H279" i="44"/>
  <c r="L201" i="44"/>
  <c r="H256" i="44"/>
  <c r="L492" i="44"/>
  <c r="H390" i="44"/>
  <c r="H19" i="44"/>
  <c r="L302" i="44"/>
  <c r="L308" i="44"/>
  <c r="H307" i="44"/>
  <c r="L347" i="44"/>
  <c r="L350" i="44"/>
  <c r="H21" i="44"/>
  <c r="L404" i="44"/>
  <c r="H272" i="44"/>
  <c r="L299" i="44"/>
  <c r="H159" i="44"/>
  <c r="L184" i="44"/>
  <c r="H101" i="44"/>
  <c r="L487" i="44"/>
  <c r="H481" i="44"/>
  <c r="H31" i="44"/>
  <c r="L179" i="44"/>
  <c r="H39" i="44"/>
  <c r="L419" i="44"/>
  <c r="H78" i="44"/>
  <c r="L117" i="44"/>
  <c r="L133" i="44"/>
  <c r="L214" i="44"/>
  <c r="H443" i="44"/>
  <c r="L236" i="44"/>
  <c r="L409" i="44"/>
  <c r="L377" i="44"/>
  <c r="L331" i="44"/>
  <c r="H152" i="44"/>
  <c r="H291" i="44"/>
  <c r="H147" i="44"/>
  <c r="H30" i="44"/>
  <c r="L435" i="44"/>
  <c r="H476" i="44"/>
  <c r="L328" i="44"/>
  <c r="L261" i="44"/>
  <c r="H189" i="44"/>
  <c r="H254" i="44"/>
  <c r="L376" i="44"/>
  <c r="L115" i="44"/>
  <c r="H155" i="44"/>
  <c r="H352" i="44"/>
  <c r="L209" i="44"/>
  <c r="H12" i="44"/>
  <c r="L265" i="44"/>
  <c r="L399" i="44"/>
  <c r="L39" i="44"/>
  <c r="L53" i="44"/>
  <c r="L443" i="44"/>
  <c r="L471" i="44"/>
  <c r="L307" i="44"/>
  <c r="L432" i="44"/>
  <c r="L79" i="44"/>
  <c r="H487" i="44"/>
  <c r="H295" i="44"/>
  <c r="L495" i="44"/>
  <c r="L48" i="44"/>
  <c r="L303" i="44"/>
  <c r="L426" i="44"/>
  <c r="L469" i="44"/>
  <c r="L212" i="44"/>
  <c r="L387" i="44"/>
  <c r="H467" i="44"/>
  <c r="L420" i="44"/>
  <c r="H410" i="44"/>
  <c r="L238" i="44"/>
  <c r="L78" i="44"/>
  <c r="L498" i="44"/>
  <c r="L295" i="44"/>
  <c r="H35" i="44"/>
  <c r="L306" i="44"/>
  <c r="H328" i="44"/>
  <c r="H117" i="44"/>
  <c r="H379" i="44"/>
  <c r="H224" i="44"/>
  <c r="L319" i="44"/>
  <c r="L110" i="44"/>
  <c r="H143" i="44"/>
  <c r="L386" i="44"/>
  <c r="L342" i="44"/>
  <c r="L423" i="44"/>
  <c r="L414" i="44"/>
  <c r="H491" i="44"/>
  <c r="L254" i="44"/>
  <c r="L433" i="44"/>
  <c r="H73" i="44"/>
  <c r="H465" i="44"/>
  <c r="L186" i="44"/>
  <c r="H112" i="44"/>
  <c r="H93" i="44"/>
  <c r="H109" i="44"/>
  <c r="H300" i="44"/>
  <c r="H232" i="44"/>
  <c r="H411" i="44"/>
  <c r="L491" i="44"/>
  <c r="L405" i="44"/>
  <c r="L205" i="44"/>
  <c r="H217" i="44"/>
  <c r="L200" i="44"/>
  <c r="L84" i="44"/>
  <c r="H203" i="44"/>
  <c r="L91" i="44"/>
  <c r="H208" i="44"/>
  <c r="H376" i="44"/>
  <c r="H27" i="44"/>
  <c r="L264" i="44"/>
  <c r="H364" i="44"/>
  <c r="H454" i="44"/>
  <c r="L458" i="44"/>
  <c r="L407" i="44"/>
  <c r="H445" i="44"/>
  <c r="H135" i="44"/>
  <c r="L277" i="44"/>
  <c r="L313" i="44"/>
  <c r="H168" i="44"/>
  <c r="H74" i="44"/>
  <c r="H392" i="44"/>
  <c r="L413" i="44"/>
  <c r="L111" i="44"/>
  <c r="L272" i="44"/>
  <c r="L105" i="44"/>
  <c r="H473" i="44"/>
  <c r="L125" i="44"/>
  <c r="L327" i="44"/>
  <c r="L150" i="44"/>
  <c r="H97" i="44"/>
  <c r="L221" i="44"/>
  <c r="L139" i="44"/>
  <c r="H275" i="44"/>
  <c r="L422" i="44"/>
  <c r="L175" i="44"/>
  <c r="H316" i="44"/>
  <c r="H60" i="44"/>
  <c r="H28" i="44"/>
  <c r="L130" i="44"/>
  <c r="H397" i="44"/>
  <c r="H15" i="44"/>
  <c r="L393" i="44"/>
  <c r="L335" i="44"/>
  <c r="L44" i="44"/>
  <c r="L442" i="44"/>
  <c r="L451" i="44"/>
  <c r="L293" i="44"/>
  <c r="L447" i="44"/>
  <c r="H407" i="44"/>
  <c r="L40" i="44"/>
  <c r="H282" i="44"/>
  <c r="H240" i="44"/>
  <c r="L483" i="44"/>
  <c r="H177" i="44"/>
  <c r="L11" i="44"/>
  <c r="L96" i="44"/>
  <c r="L237" i="44"/>
  <c r="L402" i="44"/>
  <c r="H346" i="44"/>
  <c r="H211" i="44"/>
  <c r="L329" i="44"/>
  <c r="H431" i="44"/>
  <c r="L166" i="44"/>
  <c r="H53" i="44"/>
  <c r="L494" i="44"/>
  <c r="H186" i="44"/>
  <c r="L171" i="44"/>
  <c r="H404" i="44"/>
  <c r="H472" i="44"/>
  <c r="H252" i="44"/>
  <c r="H127" i="44"/>
  <c r="L480" i="44"/>
  <c r="L418" i="44"/>
  <c r="L321" i="44"/>
  <c r="H165" i="44"/>
  <c r="L400" i="44"/>
  <c r="L279" i="44"/>
  <c r="L116" i="44"/>
  <c r="H332" i="44"/>
  <c r="L153" i="44"/>
  <c r="L479" i="44"/>
  <c r="L34" i="44"/>
  <c r="L38" i="44"/>
  <c r="H184" i="44"/>
  <c r="H14" i="44"/>
  <c r="L68" i="44"/>
  <c r="L66" i="44"/>
  <c r="H36" i="44"/>
  <c r="H438" i="44"/>
  <c r="L219" i="44"/>
  <c r="H126" i="44"/>
  <c r="L464" i="44"/>
  <c r="H318" i="44"/>
  <c r="L215" i="44"/>
  <c r="L77" i="44"/>
  <c r="H442" i="44"/>
  <c r="L195" i="44"/>
  <c r="L286" i="44"/>
  <c r="H238" i="44"/>
  <c r="H223" i="44"/>
  <c r="H264" i="44"/>
  <c r="H494" i="44"/>
  <c r="H258" i="44"/>
  <c r="L229" i="44"/>
  <c r="L260" i="44"/>
  <c r="H305" i="44"/>
  <c r="L17" i="44"/>
  <c r="L107" i="44"/>
  <c r="H163" i="44"/>
  <c r="L322" i="44"/>
  <c r="H29" i="44"/>
  <c r="L135" i="44"/>
  <c r="L42" i="44"/>
  <c r="L30" i="44"/>
  <c r="H64" i="44"/>
  <c r="H242" i="44"/>
  <c r="L380" i="44"/>
  <c r="H373" i="44"/>
  <c r="H70" i="44"/>
  <c r="L453" i="44"/>
  <c r="L298" i="44"/>
  <c r="L412" i="44"/>
  <c r="H106" i="44"/>
  <c r="H456" i="44"/>
  <c r="L73" i="44"/>
  <c r="L47" i="44"/>
  <c r="H323" i="44"/>
  <c r="L310" i="44"/>
  <c r="H437" i="44"/>
  <c r="L500" i="44"/>
  <c r="L172" i="44"/>
  <c r="L14" i="44"/>
  <c r="L163" i="44"/>
  <c r="L65" i="44"/>
  <c r="H156" i="44"/>
  <c r="L462" i="44"/>
  <c r="H310" i="44"/>
  <c r="H13" i="44"/>
  <c r="H215" i="44"/>
  <c r="L62" i="44"/>
  <c r="L410" i="44"/>
  <c r="H335" i="44"/>
  <c r="H46" i="44"/>
  <c r="L173" i="44"/>
  <c r="H149" i="44"/>
  <c r="L344" i="44"/>
  <c r="H148" i="44"/>
  <c r="L360" i="44"/>
  <c r="L343" i="44"/>
  <c r="H137" i="44"/>
  <c r="H359" i="44"/>
  <c r="L120" i="44"/>
  <c r="H286" i="44"/>
  <c r="H59" i="44"/>
  <c r="H270" i="44"/>
  <c r="L271" i="44"/>
  <c r="H22" i="44"/>
  <c r="L81" i="44"/>
  <c r="H430" i="44"/>
  <c r="H314" i="44"/>
  <c r="H463" i="44"/>
  <c r="L251" i="44"/>
  <c r="L415" i="44"/>
  <c r="L294" i="44"/>
  <c r="L75" i="44"/>
  <c r="H207" i="44"/>
  <c r="H222" i="44"/>
  <c r="H16" i="44"/>
  <c r="H485" i="44"/>
  <c r="L207" i="44"/>
  <c r="H452" i="44"/>
  <c r="H173" i="44"/>
  <c r="H128" i="44"/>
  <c r="H210" i="44"/>
  <c r="H61" i="44"/>
  <c r="H108" i="44"/>
  <c r="L256" i="44"/>
  <c r="H492" i="44"/>
  <c r="L155" i="44"/>
  <c r="H164" i="44"/>
  <c r="H241" i="44"/>
  <c r="H85" i="44"/>
  <c r="L351" i="44"/>
  <c r="L459" i="44"/>
  <c r="H185" i="44"/>
  <c r="H197" i="44"/>
  <c r="L429" i="44"/>
  <c r="L36" i="44"/>
  <c r="L368" i="44"/>
  <c r="H110" i="44"/>
  <c r="H218" i="44"/>
  <c r="L478" i="44"/>
  <c r="L248" i="44"/>
  <c r="H221" i="44"/>
  <c r="L489" i="44"/>
  <c r="H395" i="44"/>
  <c r="H66" i="44"/>
  <c r="H313" i="44"/>
  <c r="L394" i="44"/>
  <c r="H421" i="44"/>
  <c r="H119" i="44"/>
  <c r="H391" i="44"/>
  <c r="H130" i="44"/>
  <c r="L227" i="44"/>
  <c r="H269" i="44"/>
  <c r="L245" i="44"/>
  <c r="H453" i="44"/>
  <c r="L101" i="44"/>
  <c r="L318" i="44"/>
  <c r="L161" i="44"/>
  <c r="H37" i="44"/>
  <c r="H90" i="44"/>
  <c r="L124" i="44"/>
  <c r="L180" i="44"/>
  <c r="H51" i="44"/>
  <c r="L291" i="44"/>
  <c r="L370" i="44"/>
  <c r="L204" i="44"/>
  <c r="L473" i="44"/>
  <c r="L191" i="44"/>
  <c r="H191" i="44"/>
  <c r="L58" i="44"/>
  <c r="L126" i="44"/>
  <c r="H490" i="44"/>
  <c r="L274" i="44"/>
  <c r="H458" i="44"/>
  <c r="L345" i="44"/>
  <c r="H75" i="44"/>
  <c r="L316" i="44"/>
  <c r="L55" i="44"/>
  <c r="H361" i="44"/>
  <c r="L100" i="44"/>
  <c r="L369" i="44"/>
  <c r="L43" i="44"/>
  <c r="H292" i="44"/>
  <c r="H121" i="44"/>
  <c r="H170" i="44"/>
  <c r="L382" i="44"/>
  <c r="H86" i="44"/>
  <c r="H324" i="44"/>
  <c r="L232" i="44"/>
  <c r="L445" i="44"/>
  <c r="L206" i="44"/>
  <c r="H116" i="44"/>
  <c r="L158" i="44"/>
  <c r="H345" i="44"/>
  <c r="L499" i="44"/>
  <c r="L183" i="44"/>
  <c r="H48" i="44"/>
  <c r="H385" i="44"/>
  <c r="L311" i="44"/>
  <c r="H244" i="44"/>
  <c r="H153" i="44"/>
  <c r="L102" i="44"/>
  <c r="H94" i="44"/>
  <c r="L33" i="44"/>
  <c r="L401" i="44"/>
  <c r="H169" i="44"/>
  <c r="L304" i="44"/>
  <c r="H216" i="44"/>
  <c r="H423" i="44"/>
  <c r="H239" i="44"/>
  <c r="L403" i="44"/>
  <c r="L164" i="44"/>
  <c r="H433" i="44"/>
  <c r="H381" i="44"/>
  <c r="H259" i="44"/>
  <c r="H213" i="44"/>
  <c r="H63" i="44"/>
  <c r="L332" i="44"/>
  <c r="H382" i="44"/>
  <c r="L89" i="44"/>
  <c r="L198" i="44"/>
  <c r="H422" i="44"/>
  <c r="H488" i="44"/>
  <c r="H87" i="44"/>
  <c r="H79" i="44"/>
  <c r="H72" i="44"/>
  <c r="L121" i="44"/>
  <c r="H427" i="44"/>
  <c r="H167" i="44"/>
  <c r="H45" i="44"/>
  <c r="H484" i="44"/>
  <c r="L32" i="44"/>
  <c r="H380" i="44"/>
  <c r="H374" i="44"/>
  <c r="H84" i="44"/>
  <c r="H251" i="44"/>
  <c r="L340" i="44"/>
  <c r="H181" i="44"/>
  <c r="L146" i="44"/>
  <c r="L474" i="44"/>
  <c r="L430" i="44"/>
  <c r="H209" i="44"/>
  <c r="H370" i="44"/>
  <c r="H387" i="44"/>
  <c r="L355" i="44"/>
  <c r="H322" i="44"/>
  <c r="L357" i="44"/>
  <c r="L383" i="44"/>
  <c r="L348" i="44"/>
  <c r="L108" i="44"/>
  <c r="L24" i="44"/>
  <c r="H52" i="44"/>
  <c r="H424" i="44"/>
  <c r="H96" i="44"/>
  <c r="H357" i="44"/>
  <c r="H172" i="44"/>
  <c r="L362" i="44"/>
  <c r="H65" i="44"/>
  <c r="H77" i="44"/>
  <c r="L455" i="44"/>
  <c r="H158" i="44"/>
  <c r="H220" i="44"/>
  <c r="L45" i="44"/>
  <c r="L301" i="44"/>
  <c r="H347" i="44"/>
  <c r="L434" i="44"/>
  <c r="H365" i="44"/>
  <c r="L239" i="44"/>
  <c r="H100" i="44"/>
  <c r="L262" i="44"/>
  <c r="L485" i="44"/>
  <c r="H288" i="44"/>
  <c r="H98" i="44"/>
  <c r="H403" i="44"/>
  <c r="L80" i="44"/>
  <c r="H372" i="44"/>
  <c r="L226" i="44"/>
  <c r="H40" i="44"/>
  <c r="L283" i="44"/>
  <c r="H409" i="44"/>
  <c r="L168" i="44"/>
  <c r="H375" i="44"/>
  <c r="L109" i="44"/>
  <c r="H474" i="44"/>
  <c r="L276" i="44"/>
  <c r="H111" i="44"/>
  <c r="L220" i="44"/>
  <c r="L208" i="44"/>
  <c r="L138" i="44"/>
  <c r="H457" i="44"/>
  <c r="L341" i="44"/>
  <c r="H304" i="44"/>
  <c r="L309" i="44"/>
  <c r="L85" i="44"/>
  <c r="L457" i="44"/>
  <c r="L23" i="44"/>
  <c r="H336" i="44"/>
  <c r="L411" i="44"/>
  <c r="H114" i="44"/>
  <c r="H448" i="44"/>
  <c r="H23" i="44"/>
  <c r="H133" i="44"/>
  <c r="H263" i="44"/>
  <c r="H428" i="44"/>
  <c r="L178" i="44"/>
  <c r="L424" i="44"/>
  <c r="H378" i="44"/>
  <c r="L446" i="44"/>
  <c r="H260" i="44"/>
  <c r="L129" i="44"/>
  <c r="H76" i="44"/>
  <c r="H198" i="44"/>
  <c r="L159" i="44"/>
  <c r="H412" i="44"/>
  <c r="H122" i="44"/>
  <c r="H89" i="44"/>
  <c r="L463" i="44"/>
  <c r="H399" i="44"/>
  <c r="H468" i="44"/>
  <c r="L197" i="44"/>
  <c r="H157" i="44"/>
  <c r="H333" i="44"/>
  <c r="H296" i="44"/>
  <c r="H249" i="44"/>
  <c r="L468" i="44"/>
  <c r="H243" i="44"/>
  <c r="H330" i="44"/>
  <c r="L83" i="44"/>
  <c r="L243" i="44"/>
  <c r="L222" i="44"/>
  <c r="L93" i="44"/>
  <c r="H125" i="44"/>
  <c r="L149" i="44"/>
  <c r="L398" i="44"/>
  <c r="L363" i="44"/>
  <c r="H479" i="44"/>
  <c r="L240" i="44"/>
  <c r="H81" i="44"/>
  <c r="L312" i="44"/>
  <c r="L372" i="44"/>
  <c r="H154" i="44"/>
  <c r="L119" i="44"/>
  <c r="L467" i="44"/>
  <c r="H124" i="44"/>
  <c r="L389" i="44"/>
  <c r="L367" i="44"/>
  <c r="H436" i="44"/>
  <c r="L170" i="44"/>
  <c r="L440" i="44"/>
  <c r="H402" i="44"/>
  <c r="L285" i="44"/>
  <c r="H95" i="44"/>
  <c r="H356" i="44"/>
  <c r="L18" i="44"/>
  <c r="H44" i="44"/>
  <c r="H228" i="44"/>
  <c r="H415" i="44"/>
  <c r="H176" i="44"/>
  <c r="H175" i="44"/>
  <c r="L56" i="44"/>
  <c r="L51" i="44"/>
  <c r="H394" i="44"/>
  <c r="L59" i="44"/>
  <c r="L211" i="44"/>
  <c r="H229" i="44"/>
  <c r="L379" i="44"/>
  <c r="H225" i="44"/>
  <c r="L187" i="44"/>
  <c r="L25" i="44"/>
  <c r="H464" i="44"/>
  <c r="H187" i="44"/>
  <c r="H50" i="44"/>
  <c r="L64" i="44"/>
  <c r="H493" i="44"/>
  <c r="H449" i="44"/>
  <c r="L213" i="44"/>
  <c r="L235" i="44"/>
  <c r="H369" i="44"/>
  <c r="H342" i="44"/>
  <c r="L337" i="44"/>
  <c r="L444" i="44"/>
  <c r="H371" i="44"/>
  <c r="L193" i="44"/>
  <c r="L416" i="44"/>
  <c r="L234" i="44"/>
  <c r="L19" i="44"/>
  <c r="H62" i="44"/>
  <c r="H195" i="44"/>
  <c r="H396" i="44"/>
  <c r="H417" i="44"/>
  <c r="H327" i="44"/>
  <c r="L452" i="44"/>
  <c r="H311" i="44"/>
  <c r="H377" i="44"/>
  <c r="H132" i="44"/>
  <c r="L496" i="44"/>
  <c r="L388" i="44"/>
  <c r="H83" i="44"/>
  <c r="H20" i="44"/>
  <c r="L143" i="44"/>
  <c r="H91" i="44"/>
  <c r="L287" i="44"/>
  <c r="L167" i="44"/>
  <c r="L20" i="44"/>
  <c r="H366" i="44"/>
  <c r="L268" i="44"/>
  <c r="H140" i="44"/>
  <c r="H107" i="44"/>
  <c r="H33" i="44"/>
  <c r="L118" i="44"/>
  <c r="L352" i="44"/>
  <c r="L325" i="44"/>
  <c r="L290" i="44"/>
  <c r="L140" i="44"/>
  <c r="L391" i="44"/>
  <c r="H321" i="44"/>
  <c r="L194" i="44"/>
  <c r="H57" i="44"/>
  <c r="L156" i="44"/>
  <c r="H471" i="44"/>
  <c r="H237" i="44"/>
  <c r="H268" i="44"/>
  <c r="L484" i="44"/>
  <c r="L134" i="44"/>
  <c r="H69" i="44"/>
  <c r="H180" i="44"/>
  <c r="H67" i="44"/>
  <c r="L218" i="44"/>
  <c r="H353" i="44"/>
  <c r="H337" i="44"/>
  <c r="H495" i="44"/>
  <c r="H80" i="44"/>
  <c r="H17" i="44"/>
  <c r="H343" i="44"/>
  <c r="H459" i="44"/>
  <c r="H205" i="44"/>
  <c r="L249" i="44"/>
  <c r="H319" i="44"/>
  <c r="L160" i="44"/>
  <c r="H339" i="44"/>
  <c r="H92" i="44"/>
  <c r="L131" i="44"/>
  <c r="L456" i="44"/>
  <c r="L439" i="44"/>
  <c r="L406" i="44"/>
  <c r="H309" i="44"/>
  <c r="H498" i="44"/>
  <c r="L185" i="44"/>
  <c r="H129" i="44"/>
  <c r="H419" i="44"/>
  <c r="L349" i="44"/>
  <c r="L481" i="44"/>
  <c r="H429" i="44"/>
  <c r="H358" i="44"/>
  <c r="L46" i="44"/>
  <c r="L210" i="44"/>
  <c r="H368" i="44"/>
  <c r="L336" i="44"/>
  <c r="H88" i="44"/>
  <c r="H166" i="44"/>
  <c r="L216" i="44"/>
  <c r="L258" i="44"/>
  <c r="H55" i="44"/>
  <c r="L230" i="44"/>
  <c r="H447" i="44"/>
  <c r="H294" i="44"/>
  <c r="H393" i="44"/>
  <c r="H362" i="44"/>
  <c r="L441" i="44"/>
  <c r="H142" i="44"/>
  <c r="H386" i="44"/>
  <c r="H42" i="44"/>
  <c r="L113" i="44"/>
  <c r="L482" i="44"/>
  <c r="H293" i="44"/>
  <c r="H363" i="44"/>
  <c r="L250" i="44"/>
  <c r="L397" i="44"/>
  <c r="L408" i="44"/>
  <c r="H426" i="44"/>
  <c r="H388" i="44"/>
  <c r="H253" i="44"/>
  <c r="L87" i="44"/>
  <c r="H416" i="44"/>
  <c r="L359" i="44"/>
  <c r="H26" i="44"/>
  <c r="L21" i="44"/>
  <c r="L378" i="44"/>
  <c r="H201" i="44"/>
  <c r="L49" i="44"/>
  <c r="L99" i="44"/>
  <c r="H334" i="44"/>
  <c r="H34" i="44"/>
  <c r="L490" i="44"/>
  <c r="L461" i="44"/>
  <c r="L296" i="44"/>
  <c r="H401" i="44"/>
  <c r="H103" i="44"/>
  <c r="H349" i="44"/>
  <c r="L353" i="44"/>
  <c r="H183" i="44"/>
  <c r="L275" i="44"/>
  <c r="H54" i="44"/>
  <c r="H451" i="44"/>
  <c r="L94" i="44"/>
  <c r="L330" i="44"/>
  <c r="L223" i="44"/>
  <c r="H271" i="44"/>
  <c r="L228" i="44"/>
  <c r="H236" i="44"/>
  <c r="H425" i="44"/>
  <c r="H190" i="44"/>
  <c r="H267" i="44"/>
  <c r="H308" i="44"/>
  <c r="L436" i="44"/>
  <c r="H441" i="44"/>
  <c r="H298" i="44"/>
  <c r="H461" i="44"/>
  <c r="H420" i="44"/>
  <c r="L28" i="44"/>
  <c r="H182" i="44"/>
  <c r="L225" i="44"/>
  <c r="H24" i="44"/>
  <c r="L188" i="44"/>
  <c r="L396" i="44"/>
  <c r="H11" i="44"/>
  <c r="L354" i="44"/>
  <c r="H446" i="44"/>
  <c r="L270" i="44"/>
  <c r="H32" i="44"/>
  <c r="L57" i="44"/>
  <c r="H284" i="44"/>
  <c r="H136" i="44"/>
  <c r="L241" i="44"/>
  <c r="H360" i="44"/>
  <c r="H483" i="44"/>
  <c r="L267" i="44"/>
  <c r="H248" i="44"/>
  <c r="H151" i="44"/>
  <c r="L428" i="44"/>
  <c r="L74" i="44"/>
  <c r="L252" i="44"/>
  <c r="L395" i="44"/>
  <c r="L12" i="44"/>
  <c r="L224" i="44"/>
  <c r="L364" i="44"/>
  <c r="L37" i="44"/>
  <c r="L54" i="44"/>
  <c r="H82" i="44"/>
  <c r="H278" i="44"/>
  <c r="L486" i="44"/>
  <c r="H326" i="44"/>
  <c r="L41" i="44"/>
  <c r="L334" i="44"/>
  <c r="L366" i="44"/>
  <c r="H150" i="44"/>
  <c r="L233" i="44"/>
  <c r="L15" i="44"/>
  <c r="H247" i="44"/>
  <c r="L300" i="44"/>
  <c r="L292" i="44"/>
  <c r="L60" i="44"/>
  <c r="L136" i="44"/>
  <c r="H174" i="44"/>
  <c r="L199" i="44"/>
  <c r="L417" i="44"/>
  <c r="L454" i="44"/>
  <c r="L31" i="44"/>
  <c r="H276" i="44"/>
  <c r="H134" i="44"/>
  <c r="L282" i="44"/>
  <c r="H56" i="44"/>
  <c r="L381" i="44"/>
  <c r="H162" i="44"/>
  <c r="H496" i="44"/>
  <c r="L338" i="44"/>
  <c r="H255" i="44"/>
  <c r="H227" i="44"/>
  <c r="H141" i="44"/>
  <c r="L269" i="44"/>
  <c r="L374" i="44"/>
  <c r="L356" i="44"/>
  <c r="L189" i="44"/>
  <c r="H355" i="44"/>
  <c r="H115" i="44"/>
  <c r="L246" i="44"/>
  <c r="L177" i="44"/>
  <c r="L141" i="44"/>
  <c r="H432" i="44"/>
  <c r="L174" i="44"/>
  <c r="H178" i="44"/>
  <c r="H315" i="44"/>
  <c r="H283" i="44"/>
  <c r="L317" i="44"/>
  <c r="L203" i="44"/>
  <c r="L450" i="44"/>
  <c r="H434" i="44"/>
  <c r="L70" i="44"/>
  <c r="L466" i="44"/>
  <c r="L475" i="44"/>
  <c r="L266" i="44"/>
  <c r="H202" i="44"/>
  <c r="L137" i="44"/>
  <c r="L289" i="44"/>
  <c r="H367" i="44"/>
  <c r="H287" i="44"/>
  <c r="H325" i="44"/>
  <c r="H405" i="44"/>
  <c r="L22" i="44"/>
  <c r="H212" i="44"/>
  <c r="H475" i="44"/>
  <c r="L103" i="44"/>
  <c r="L192" i="44"/>
  <c r="L152" i="44"/>
  <c r="L95" i="44"/>
  <c r="L273" i="44"/>
  <c r="H289" i="44"/>
  <c r="L13" i="44"/>
  <c r="H25" i="44"/>
  <c r="H41" i="44"/>
  <c r="H435" i="44"/>
  <c r="H179" i="44"/>
  <c r="L284" i="44"/>
  <c r="L314" i="44"/>
  <c r="L472" i="44"/>
  <c r="L470" i="44"/>
  <c r="L323" i="44"/>
  <c r="L132" i="44"/>
  <c r="H413" i="44"/>
  <c r="H226" i="44"/>
  <c r="H489" i="44"/>
  <c r="L123" i="44"/>
  <c r="H444" i="44"/>
  <c r="H192" i="44"/>
  <c r="L144" i="44"/>
  <c r="H199" i="44"/>
  <c r="H204" i="44"/>
  <c r="L449" i="44"/>
  <c r="H71" i="44"/>
  <c r="H439" i="44"/>
  <c r="H280" i="44"/>
  <c r="H351" i="44"/>
  <c r="L375" i="44"/>
  <c r="L437" i="44"/>
  <c r="L142" i="44"/>
  <c r="L460" i="44"/>
  <c r="L82" i="44"/>
  <c r="H123" i="44"/>
  <c r="L151" i="44"/>
  <c r="L371" i="44"/>
  <c r="L90" i="44"/>
  <c r="L281" i="44"/>
  <c r="L88" i="44"/>
  <c r="L63" i="44"/>
  <c r="L497" i="44"/>
  <c r="L98" i="44"/>
  <c r="L297" i="44"/>
  <c r="H477" i="44"/>
  <c r="L52" i="44"/>
  <c r="H99" i="44"/>
  <c r="L154" i="44"/>
  <c r="H200" i="44"/>
  <c r="H486" i="44"/>
  <c r="H138" i="44"/>
  <c r="L253" i="44"/>
  <c r="L157" i="44"/>
  <c r="H102" i="44"/>
  <c r="L27" i="44"/>
  <c r="L61" i="44"/>
  <c r="H113" i="44"/>
  <c r="L67" i="44"/>
  <c r="L421" i="44"/>
  <c r="H466" i="44"/>
  <c r="H455" i="44"/>
  <c r="H383" i="44"/>
  <c r="H350" i="44"/>
  <c r="L72" i="44"/>
  <c r="H418" i="44"/>
  <c r="H257" i="44"/>
  <c r="H329" i="44"/>
  <c r="L259" i="44"/>
  <c r="L263" i="44"/>
  <c r="H266" i="44"/>
  <c r="L148" i="44"/>
  <c r="H299" i="44"/>
  <c r="H18" i="44"/>
  <c r="H384" i="44"/>
  <c r="H120" i="44"/>
  <c r="H470" i="44"/>
  <c r="H233" i="44"/>
  <c r="L29" i="44"/>
  <c r="H312" i="44"/>
  <c r="H131" i="44"/>
  <c r="L425" i="44"/>
  <c r="L390" i="44"/>
  <c r="H206" i="44"/>
  <c r="H261" i="44"/>
  <c r="H234" i="44"/>
  <c r="H285" i="44"/>
  <c r="H171" i="44"/>
  <c r="L333" i="44"/>
  <c r="L288" i="44"/>
  <c r="H306" i="44"/>
  <c r="L476" i="44"/>
  <c r="L278" i="44"/>
  <c r="L315" i="44"/>
  <c r="K315" i="44" l="1"/>
  <c r="K278" i="44"/>
  <c r="K476" i="44"/>
  <c r="G306" i="44"/>
  <c r="K288" i="44"/>
  <c r="K333" i="44"/>
  <c r="G171" i="44"/>
  <c r="G285" i="44"/>
  <c r="G234" i="44"/>
  <c r="G261" i="44"/>
  <c r="G206" i="44"/>
  <c r="K390" i="44"/>
  <c r="K425" i="44"/>
  <c r="G131" i="44"/>
  <c r="G312" i="44"/>
  <c r="K29" i="44"/>
  <c r="G233" i="44"/>
  <c r="G470" i="44"/>
  <c r="G120" i="44"/>
  <c r="G384" i="44"/>
  <c r="G18" i="44"/>
  <c r="G299" i="44"/>
  <c r="K148" i="44"/>
  <c r="G266" i="44"/>
  <c r="K263" i="44"/>
  <c r="K259" i="44"/>
  <c r="G329" i="44"/>
  <c r="G257" i="44"/>
  <c r="G418" i="44"/>
  <c r="K72" i="44"/>
  <c r="G350" i="44"/>
  <c r="G383" i="44"/>
  <c r="G455" i="44"/>
  <c r="G466" i="44"/>
  <c r="K421" i="44"/>
  <c r="K67" i="44"/>
  <c r="G113" i="44"/>
  <c r="K61" i="44"/>
  <c r="K27" i="44"/>
  <c r="G102" i="44"/>
  <c r="K157" i="44"/>
  <c r="K253" i="44"/>
  <c r="G138" i="44"/>
  <c r="G486" i="44"/>
  <c r="G200" i="44"/>
  <c r="K154" i="44"/>
  <c r="G99" i="44"/>
  <c r="K52" i="44"/>
  <c r="G477" i="44"/>
  <c r="K297" i="44"/>
  <c r="K98" i="44"/>
  <c r="K497" i="44"/>
  <c r="K63" i="44"/>
  <c r="K88" i="44"/>
  <c r="K281" i="44"/>
  <c r="K90" i="44"/>
  <c r="K371" i="44"/>
  <c r="K151" i="44"/>
  <c r="G123" i="44"/>
  <c r="K82" i="44"/>
  <c r="K460" i="44"/>
  <c r="K142" i="44"/>
  <c r="K437" i="44"/>
  <c r="K375" i="44"/>
  <c r="G351" i="44"/>
  <c r="G280" i="44"/>
  <c r="G439" i="44"/>
  <c r="G71" i="44"/>
  <c r="K449" i="44"/>
  <c r="G204" i="44"/>
  <c r="G199" i="44"/>
  <c r="K144" i="44"/>
  <c r="G192" i="44"/>
  <c r="G444" i="44"/>
  <c r="K123" i="44"/>
  <c r="G489" i="44"/>
  <c r="G226" i="44"/>
  <c r="G413" i="44"/>
  <c r="K132" i="44"/>
  <c r="K323" i="44"/>
  <c r="K470" i="44"/>
  <c r="K472" i="44"/>
  <c r="K314" i="44"/>
  <c r="K284" i="44"/>
  <c r="G179" i="44"/>
  <c r="G435" i="44"/>
  <c r="G41" i="44"/>
  <c r="G25" i="44"/>
  <c r="K13" i="44"/>
  <c r="G289" i="44"/>
  <c r="K273" i="44"/>
  <c r="K95" i="44"/>
  <c r="K152" i="44"/>
  <c r="K192" i="44"/>
  <c r="K103" i="44"/>
  <c r="G475" i="44"/>
  <c r="G212" i="44"/>
  <c r="K22" i="44"/>
  <c r="G405" i="44"/>
  <c r="G325" i="44"/>
  <c r="G287" i="44"/>
  <c r="G367" i="44"/>
  <c r="K289" i="44"/>
  <c r="K137" i="44"/>
  <c r="G202" i="44"/>
  <c r="K266" i="44"/>
  <c r="K475" i="44"/>
  <c r="K466" i="44"/>
  <c r="K70" i="44"/>
  <c r="G434" i="44"/>
  <c r="K450" i="44"/>
  <c r="K203" i="44"/>
  <c r="K317" i="44"/>
  <c r="G283" i="44"/>
  <c r="G315" i="44"/>
  <c r="G178" i="44"/>
  <c r="K174" i="44"/>
  <c r="G432" i="44"/>
  <c r="K141" i="44"/>
  <c r="K177" i="44"/>
  <c r="K246" i="44"/>
  <c r="G115" i="44"/>
  <c r="G355" i="44"/>
  <c r="K189" i="44"/>
  <c r="K356" i="44"/>
  <c r="K374" i="44"/>
  <c r="K269" i="44"/>
  <c r="G141" i="44"/>
  <c r="G227" i="44"/>
  <c r="G255" i="44"/>
  <c r="K338" i="44"/>
  <c r="G496" i="44"/>
  <c r="G162" i="44"/>
  <c r="K381" i="44"/>
  <c r="G56" i="44"/>
  <c r="K282" i="44"/>
  <c r="G134" i="44"/>
  <c r="G276" i="44"/>
  <c r="K31" i="44"/>
  <c r="K454" i="44"/>
  <c r="K417" i="44"/>
  <c r="K199" i="44"/>
  <c r="G174" i="44"/>
  <c r="K136" i="44"/>
  <c r="K60" i="44"/>
  <c r="K292" i="44"/>
  <c r="K300" i="44"/>
  <c r="G247" i="44"/>
  <c r="K15" i="44"/>
  <c r="K233" i="44"/>
  <c r="G150" i="44"/>
  <c r="K366" i="44"/>
  <c r="K334" i="44"/>
  <c r="K41" i="44"/>
  <c r="G326" i="44"/>
  <c r="K486" i="44"/>
  <c r="G278" i="44"/>
  <c r="G82" i="44"/>
  <c r="K54" i="44"/>
  <c r="K37" i="44"/>
  <c r="K364" i="44"/>
  <c r="K224" i="44"/>
  <c r="K12" i="44"/>
  <c r="K395" i="44"/>
  <c r="K252" i="44"/>
  <c r="K74" i="44"/>
  <c r="K428" i="44"/>
  <c r="G151" i="44"/>
  <c r="G248" i="44"/>
  <c r="K267" i="44"/>
  <c r="G483" i="44"/>
  <c r="G360" i="44"/>
  <c r="K241" i="44"/>
  <c r="G136" i="44"/>
  <c r="G284" i="44"/>
  <c r="K57" i="44"/>
  <c r="G32" i="44"/>
  <c r="K270" i="44"/>
  <c r="G446" i="44"/>
  <c r="K354" i="44"/>
  <c r="G11" i="44"/>
  <c r="K396" i="44"/>
  <c r="K188" i="44"/>
  <c r="G24" i="44"/>
  <c r="K225" i="44"/>
  <c r="G182" i="44"/>
  <c r="K28" i="44"/>
  <c r="G420" i="44"/>
  <c r="G461" i="44"/>
  <c r="G298" i="44"/>
  <c r="G441" i="44"/>
  <c r="K436" i="44"/>
  <c r="G308" i="44"/>
  <c r="G267" i="44"/>
  <c r="G190" i="44"/>
  <c r="G425" i="44"/>
  <c r="G236" i="44"/>
  <c r="K228" i="44"/>
  <c r="G271" i="44"/>
  <c r="K223" i="44"/>
  <c r="K330" i="44"/>
  <c r="K94" i="44"/>
  <c r="G451" i="44"/>
  <c r="G54" i="44"/>
  <c r="K275" i="44"/>
  <c r="G183" i="44"/>
  <c r="K353" i="44"/>
  <c r="G349" i="44"/>
  <c r="G103" i="44"/>
  <c r="G401" i="44"/>
  <c r="K296" i="44"/>
  <c r="K461" i="44"/>
  <c r="K490" i="44"/>
  <c r="G34" i="44"/>
  <c r="G334" i="44"/>
  <c r="K99" i="44"/>
  <c r="K49" i="44"/>
  <c r="G201" i="44"/>
  <c r="K378" i="44"/>
  <c r="K21" i="44"/>
  <c r="G26" i="44"/>
  <c r="K359" i="44"/>
  <c r="G416" i="44"/>
  <c r="K87" i="44"/>
  <c r="G253" i="44"/>
  <c r="G388" i="44"/>
  <c r="G426" i="44"/>
  <c r="K408" i="44"/>
  <c r="K397" i="44"/>
  <c r="K250" i="44"/>
  <c r="G363" i="44"/>
  <c r="G293" i="44"/>
  <c r="K482" i="44"/>
  <c r="K113" i="44"/>
  <c r="G42" i="44"/>
  <c r="G386" i="44"/>
  <c r="G142" i="44"/>
  <c r="K441" i="44"/>
  <c r="G362" i="44"/>
  <c r="G393" i="44"/>
  <c r="G294" i="44"/>
  <c r="G447" i="44"/>
  <c r="K230" i="44"/>
  <c r="G55" i="44"/>
  <c r="K258" i="44"/>
  <c r="K216" i="44"/>
  <c r="G166" i="44"/>
  <c r="G88" i="44"/>
  <c r="K336" i="44"/>
  <c r="G368" i="44"/>
  <c r="K210" i="44"/>
  <c r="K46" i="44"/>
  <c r="G358" i="44"/>
  <c r="G429" i="44"/>
  <c r="K481" i="44"/>
  <c r="K349" i="44"/>
  <c r="G419" i="44"/>
  <c r="G129" i="44"/>
  <c r="K185" i="44"/>
  <c r="G498" i="44"/>
  <c r="G309" i="44"/>
  <c r="K406" i="44"/>
  <c r="K439" i="44"/>
  <c r="K456" i="44"/>
  <c r="K131" i="44"/>
  <c r="G92" i="44"/>
  <c r="G339" i="44"/>
  <c r="K160" i="44"/>
  <c r="G319" i="44"/>
  <c r="K249" i="44"/>
  <c r="G205" i="44"/>
  <c r="G459" i="44"/>
  <c r="G343" i="44"/>
  <c r="G17" i="44"/>
  <c r="G80" i="44"/>
  <c r="G495" i="44"/>
  <c r="G337" i="44"/>
  <c r="G353" i="44"/>
  <c r="K218" i="44"/>
  <c r="G67" i="44"/>
  <c r="G180" i="44"/>
  <c r="G69" i="44"/>
  <c r="K134" i="44"/>
  <c r="K484" i="44"/>
  <c r="G268" i="44"/>
  <c r="G237" i="44"/>
  <c r="G471" i="44"/>
  <c r="K156" i="44"/>
  <c r="G57" i="44"/>
  <c r="K194" i="44"/>
  <c r="G321" i="44"/>
  <c r="K391" i="44"/>
  <c r="K140" i="44"/>
  <c r="K290" i="44"/>
  <c r="K325" i="44"/>
  <c r="K352" i="44"/>
  <c r="K118" i="44"/>
  <c r="G33" i="44"/>
  <c r="G107" i="44"/>
  <c r="G140" i="44"/>
  <c r="K268" i="44"/>
  <c r="G366" i="44"/>
  <c r="K20" i="44"/>
  <c r="K167" i="44"/>
  <c r="K287" i="44"/>
  <c r="G91" i="44"/>
  <c r="K143" i="44"/>
  <c r="G20" i="44"/>
  <c r="G83" i="44"/>
  <c r="K388" i="44"/>
  <c r="K496" i="44"/>
  <c r="G132" i="44"/>
  <c r="G377" i="44"/>
  <c r="G311" i="44"/>
  <c r="K452" i="44"/>
  <c r="G327" i="44"/>
  <c r="G417" i="44"/>
  <c r="G396" i="44"/>
  <c r="G195" i="44"/>
  <c r="G62" i="44"/>
  <c r="K19" i="44"/>
  <c r="K234" i="44"/>
  <c r="K416" i="44"/>
  <c r="K193" i="44"/>
  <c r="G371" i="44"/>
  <c r="K444" i="44"/>
  <c r="K337" i="44"/>
  <c r="G342" i="44"/>
  <c r="G369" i="44"/>
  <c r="K235" i="44"/>
  <c r="K213" i="44"/>
  <c r="G449" i="44"/>
  <c r="G493" i="44"/>
  <c r="K64" i="44"/>
  <c r="G50" i="44"/>
  <c r="G187" i="44"/>
  <c r="G464" i="44"/>
  <c r="K25" i="44"/>
  <c r="K187" i="44"/>
  <c r="G225" i="44"/>
  <c r="K379" i="44"/>
  <c r="G229" i="44"/>
  <c r="K211" i="44"/>
  <c r="K59" i="44"/>
  <c r="G394" i="44"/>
  <c r="K51" i="44"/>
  <c r="K56" i="44"/>
  <c r="G175" i="44"/>
  <c r="G176" i="44"/>
  <c r="G415" i="44"/>
  <c r="G228" i="44"/>
  <c r="G44" i="44"/>
  <c r="K18" i="44"/>
  <c r="G356" i="44"/>
  <c r="G95" i="44"/>
  <c r="K285" i="44"/>
  <c r="G402" i="44"/>
  <c r="K440" i="44"/>
  <c r="K170" i="44"/>
  <c r="G436" i="44"/>
  <c r="K367" i="44"/>
  <c r="K389" i="44"/>
  <c r="G124" i="44"/>
  <c r="K467" i="44"/>
  <c r="K119" i="44"/>
  <c r="G154" i="44"/>
  <c r="K372" i="44"/>
  <c r="K312" i="44"/>
  <c r="G81" i="44"/>
  <c r="K240" i="44"/>
  <c r="G479" i="44"/>
  <c r="K363" i="44"/>
  <c r="K398" i="44"/>
  <c r="K149" i="44"/>
  <c r="G125" i="44"/>
  <c r="K93" i="44"/>
  <c r="K222" i="44"/>
  <c r="K243" i="44"/>
  <c r="K83" i="44"/>
  <c r="G330" i="44"/>
  <c r="G243" i="44"/>
  <c r="K468" i="44"/>
  <c r="G249" i="44"/>
  <c r="G296" i="44"/>
  <c r="G333" i="44"/>
  <c r="G157" i="44"/>
  <c r="K197" i="44"/>
  <c r="G468" i="44"/>
  <c r="G399" i="44"/>
  <c r="K463" i="44"/>
  <c r="G89" i="44"/>
  <c r="G122" i="44"/>
  <c r="G412" i="44"/>
  <c r="K159" i="44"/>
  <c r="G198" i="44"/>
  <c r="G76" i="44"/>
  <c r="K129" i="44"/>
  <c r="G260" i="44"/>
  <c r="K446" i="44"/>
  <c r="G378" i="44"/>
  <c r="K424" i="44"/>
  <c r="K178" i="44"/>
  <c r="G428" i="44"/>
  <c r="G263" i="44"/>
  <c r="G133" i="44"/>
  <c r="G23" i="44"/>
  <c r="G448" i="44"/>
  <c r="G114" i="44"/>
  <c r="K411" i="44"/>
  <c r="G336" i="44"/>
  <c r="K23" i="44"/>
  <c r="K457" i="44"/>
  <c r="K85" i="44"/>
  <c r="K309" i="44"/>
  <c r="G304" i="44"/>
  <c r="K341" i="44"/>
  <c r="G457" i="44"/>
  <c r="K138" i="44"/>
  <c r="K208" i="44"/>
  <c r="K220" i="44"/>
  <c r="G111" i="44"/>
  <c r="K276" i="44"/>
  <c r="G474" i="44"/>
  <c r="K109" i="44"/>
  <c r="G375" i="44"/>
  <c r="K168" i="44"/>
  <c r="G409" i="44"/>
  <c r="K283" i="44"/>
  <c r="G40" i="44"/>
  <c r="K226" i="44"/>
  <c r="G372" i="44"/>
  <c r="K80" i="44"/>
  <c r="G403" i="44"/>
  <c r="G98" i="44"/>
  <c r="G288" i="44"/>
  <c r="K485" i="44"/>
  <c r="K262" i="44"/>
  <c r="G100" i="44"/>
  <c r="K239" i="44"/>
  <c r="G365" i="44"/>
  <c r="K434" i="44"/>
  <c r="G347" i="44"/>
  <c r="K301" i="44"/>
  <c r="K45" i="44"/>
  <c r="G220" i="44"/>
  <c r="G158" i="44"/>
  <c r="K455" i="44"/>
  <c r="G77" i="44"/>
  <c r="G65" i="44"/>
  <c r="K362" i="44"/>
  <c r="G172" i="44"/>
  <c r="G357" i="44"/>
  <c r="G96" i="44"/>
  <c r="G424" i="44"/>
  <c r="G52" i="44"/>
  <c r="K24" i="44"/>
  <c r="K108" i="44"/>
  <c r="K348" i="44"/>
  <c r="K383" i="44"/>
  <c r="K357" i="44"/>
  <c r="G322" i="44"/>
  <c r="K355" i="44"/>
  <c r="G387" i="44"/>
  <c r="G370" i="44"/>
  <c r="G209" i="44"/>
  <c r="K430" i="44"/>
  <c r="K474" i="44"/>
  <c r="K146" i="44"/>
  <c r="G181" i="44"/>
  <c r="K340" i="44"/>
  <c r="G251" i="44"/>
  <c r="G84" i="44"/>
  <c r="G374" i="44"/>
  <c r="G380" i="44"/>
  <c r="K32" i="44"/>
  <c r="G484" i="44"/>
  <c r="G45" i="44"/>
  <c r="G167" i="44"/>
  <c r="G427" i="44"/>
  <c r="K121" i="44"/>
  <c r="G72" i="44"/>
  <c r="G79" i="44"/>
  <c r="G87" i="44"/>
  <c r="G488" i="44"/>
  <c r="G422" i="44"/>
  <c r="K198" i="44"/>
  <c r="K89" i="44"/>
  <c r="G382" i="44"/>
  <c r="K332" i="44"/>
  <c r="G63" i="44"/>
  <c r="G213" i="44"/>
  <c r="G259" i="44"/>
  <c r="G381" i="44"/>
  <c r="G433" i="44"/>
  <c r="K164" i="44"/>
  <c r="K403" i="44"/>
  <c r="G239" i="44"/>
  <c r="G423" i="44"/>
  <c r="G216" i="44"/>
  <c r="K304" i="44"/>
  <c r="G169" i="44"/>
  <c r="K401" i="44"/>
  <c r="K33" i="44"/>
  <c r="G94" i="44"/>
  <c r="K102" i="44"/>
  <c r="G153" i="44"/>
  <c r="G244" i="44"/>
  <c r="K311" i="44"/>
  <c r="G385" i="44"/>
  <c r="G48" i="44"/>
  <c r="K183" i="44"/>
  <c r="K499" i="44"/>
  <c r="G345" i="44"/>
  <c r="K158" i="44"/>
  <c r="G116" i="44"/>
  <c r="K206" i="44"/>
  <c r="K445" i="44"/>
  <c r="K232" i="44"/>
  <c r="G324" i="44"/>
  <c r="G86" i="44"/>
  <c r="K382" i="44"/>
  <c r="G170" i="44"/>
  <c r="G121" i="44"/>
  <c r="G292" i="44"/>
  <c r="K43" i="44"/>
  <c r="K369" i="44"/>
  <c r="K100" i="44"/>
  <c r="G361" i="44"/>
  <c r="K55" i="44"/>
  <c r="K316" i="44"/>
  <c r="G75" i="44"/>
  <c r="K345" i="44"/>
  <c r="G458" i="44"/>
  <c r="K274" i="44"/>
  <c r="G490" i="44"/>
  <c r="K126" i="44"/>
  <c r="K58" i="44"/>
  <c r="G191" i="44"/>
  <c r="K191" i="44"/>
  <c r="K473" i="44"/>
  <c r="K204" i="44"/>
  <c r="K370" i="44"/>
  <c r="K291" i="44"/>
  <c r="G51" i="44"/>
  <c r="K180" i="44"/>
  <c r="K124" i="44"/>
  <c r="G90" i="44"/>
  <c r="G37" i="44"/>
  <c r="K161" i="44"/>
  <c r="K318" i="44"/>
  <c r="K101" i="44"/>
  <c r="G453" i="44"/>
  <c r="K245" i="44"/>
  <c r="G269" i="44"/>
  <c r="K227" i="44"/>
  <c r="G130" i="44"/>
  <c r="G391" i="44"/>
  <c r="G119" i="44"/>
  <c r="G421" i="44"/>
  <c r="K394" i="44"/>
  <c r="G313" i="44"/>
  <c r="G66" i="44"/>
  <c r="G395" i="44"/>
  <c r="K489" i="44"/>
  <c r="G221" i="44"/>
  <c r="K248" i="44"/>
  <c r="K478" i="44"/>
  <c r="G218" i="44"/>
  <c r="G110" i="44"/>
  <c r="K368" i="44"/>
  <c r="K36" i="44"/>
  <c r="K429" i="44"/>
  <c r="G197" i="44"/>
  <c r="G185" i="44"/>
  <c r="K459" i="44"/>
  <c r="K351" i="44"/>
  <c r="G85" i="44"/>
  <c r="G241" i="44"/>
  <c r="G164" i="44"/>
  <c r="K155" i="44"/>
  <c r="G492" i="44"/>
  <c r="K256" i="44"/>
  <c r="G108" i="44"/>
  <c r="G61" i="44"/>
  <c r="G210" i="44"/>
  <c r="G128" i="44"/>
  <c r="G173" i="44"/>
  <c r="G452" i="44"/>
  <c r="K207" i="44"/>
  <c r="G485" i="44"/>
  <c r="G16" i="44"/>
  <c r="G222" i="44"/>
  <c r="G207" i="44"/>
  <c r="K75" i="44"/>
  <c r="K294" i="44"/>
  <c r="K415" i="44"/>
  <c r="K251" i="44"/>
  <c r="G463" i="44"/>
  <c r="G314" i="44"/>
  <c r="G430" i="44"/>
  <c r="K81" i="44"/>
  <c r="G22" i="44"/>
  <c r="K271" i="44"/>
  <c r="G270" i="44"/>
  <c r="G59" i="44"/>
  <c r="G286" i="44"/>
  <c r="K120" i="44"/>
  <c r="G359" i="44"/>
  <c r="G137" i="44"/>
  <c r="K343" i="44"/>
  <c r="K360" i="44"/>
  <c r="G148" i="44"/>
  <c r="K344" i="44"/>
  <c r="G149" i="44"/>
  <c r="K173" i="44"/>
  <c r="G46" i="44"/>
  <c r="G335" i="44"/>
  <c r="K410" i="44"/>
  <c r="K62" i="44"/>
  <c r="G215" i="44"/>
  <c r="G13" i="44"/>
  <c r="G310" i="44"/>
  <c r="K462" i="44"/>
  <c r="G156" i="44"/>
  <c r="K65" i="44"/>
  <c r="K163" i="44"/>
  <c r="K14" i="44"/>
  <c r="K172" i="44"/>
  <c r="K500" i="44"/>
  <c r="G437" i="44"/>
  <c r="K310" i="44"/>
  <c r="G323" i="44"/>
  <c r="K47" i="44"/>
  <c r="K73" i="44"/>
  <c r="G456" i="44"/>
  <c r="G106" i="44"/>
  <c r="K412" i="44"/>
  <c r="K298" i="44"/>
  <c r="K453" i="44"/>
  <c r="G70" i="44"/>
  <c r="G373" i="44"/>
  <c r="K380" i="44"/>
  <c r="G242" i="44"/>
  <c r="G64" i="44"/>
  <c r="K30" i="44"/>
  <c r="K42" i="44"/>
  <c r="K135" i="44"/>
  <c r="G29" i="44"/>
  <c r="K322" i="44"/>
  <c r="G163" i="44"/>
  <c r="K107" i="44"/>
  <c r="K17" i="44"/>
  <c r="G305" i="44"/>
  <c r="K260" i="44"/>
  <c r="K229" i="44"/>
  <c r="G258" i="44"/>
  <c r="G494" i="44"/>
  <c r="G264" i="44"/>
  <c r="G223" i="44"/>
  <c r="G238" i="44"/>
  <c r="K286" i="44"/>
  <c r="K195" i="44"/>
  <c r="G442" i="44"/>
  <c r="K77" i="44"/>
  <c r="K215" i="44"/>
  <c r="G318" i="44"/>
  <c r="K464" i="44"/>
  <c r="G126" i="44"/>
  <c r="K219" i="44"/>
  <c r="G438" i="44"/>
  <c r="G36" i="44"/>
  <c r="K66" i="44"/>
  <c r="K68" i="44"/>
  <c r="G14" i="44"/>
  <c r="G184" i="44"/>
  <c r="K38" i="44"/>
  <c r="K34" i="44"/>
  <c r="K479" i="44"/>
  <c r="K153" i="44"/>
  <c r="G332" i="44"/>
  <c r="K116" i="44"/>
  <c r="K279" i="44"/>
  <c r="K400" i="44"/>
  <c r="G165" i="44"/>
  <c r="K321" i="44"/>
  <c r="K418" i="44"/>
  <c r="K480" i="44"/>
  <c r="G127" i="44"/>
  <c r="G252" i="44"/>
  <c r="G472" i="44"/>
  <c r="G404" i="44"/>
  <c r="K171" i="44"/>
  <c r="G186" i="44"/>
  <c r="K494" i="44"/>
  <c r="G53" i="44"/>
  <c r="K166" i="44"/>
  <c r="G431" i="44"/>
  <c r="K329" i="44"/>
  <c r="G211" i="44"/>
  <c r="G346" i="44"/>
  <c r="K402" i="44"/>
  <c r="K237" i="44"/>
  <c r="K96" i="44"/>
  <c r="K11" i="44"/>
  <c r="G177" i="44"/>
  <c r="K483" i="44"/>
  <c r="G240" i="44"/>
  <c r="G282" i="44"/>
  <c r="K40" i="44"/>
  <c r="G407" i="44"/>
  <c r="K447" i="44"/>
  <c r="K293" i="44"/>
  <c r="K451" i="44"/>
  <c r="K442" i="44"/>
  <c r="K44" i="44"/>
  <c r="K335" i="44"/>
  <c r="K393" i="44"/>
  <c r="G15" i="44"/>
  <c r="G397" i="44"/>
  <c r="K130" i="44"/>
  <c r="G28" i="44"/>
  <c r="G60" i="44"/>
  <c r="G316" i="44"/>
  <c r="K175" i="44"/>
  <c r="K422" i="44"/>
  <c r="G275" i="44"/>
  <c r="K139" i="44"/>
  <c r="K221" i="44"/>
  <c r="G97" i="44"/>
  <c r="K150" i="44"/>
  <c r="K327" i="44"/>
  <c r="K125" i="44"/>
  <c r="G473" i="44"/>
  <c r="K105" i="44"/>
  <c r="K272" i="44"/>
  <c r="K111" i="44"/>
  <c r="K413" i="44"/>
  <c r="G392" i="44"/>
  <c r="G74" i="44"/>
  <c r="G168" i="44"/>
  <c r="K313" i="44"/>
  <c r="K277" i="44"/>
  <c r="G135" i="44"/>
  <c r="G445" i="44"/>
  <c r="K407" i="44"/>
  <c r="K458" i="44"/>
  <c r="G454" i="44"/>
  <c r="G364" i="44"/>
  <c r="K264" i="44"/>
  <c r="G27" i="44"/>
  <c r="G376" i="44"/>
  <c r="G208" i="44"/>
  <c r="K91" i="44"/>
  <c r="G203" i="44"/>
  <c r="K84" i="44"/>
  <c r="K200" i="44"/>
  <c r="G217" i="44"/>
  <c r="K205" i="44"/>
  <c r="K405" i="44"/>
  <c r="K491" i="44"/>
  <c r="G411" i="44"/>
  <c r="G232" i="44"/>
  <c r="G300" i="44"/>
  <c r="G109" i="44"/>
  <c r="G93" i="44"/>
  <c r="G112" i="44"/>
  <c r="K186" i="44"/>
  <c r="G465" i="44"/>
  <c r="G73" i="44"/>
  <c r="K433" i="44"/>
  <c r="K254" i="44"/>
  <c r="G491" i="44"/>
  <c r="K414" i="44"/>
  <c r="K423" i="44"/>
  <c r="K342" i="44"/>
  <c r="K386" i="44"/>
  <c r="G143" i="44"/>
  <c r="K110" i="44"/>
  <c r="K319" i="44"/>
  <c r="G224" i="44"/>
  <c r="G379" i="44"/>
  <c r="G117" i="44"/>
  <c r="G328" i="44"/>
  <c r="K306" i="44"/>
  <c r="G35" i="44"/>
  <c r="K295" i="44"/>
  <c r="K498" i="44"/>
  <c r="K78" i="44"/>
  <c r="K238" i="44"/>
  <c r="G410" i="44"/>
  <c r="K420" i="44"/>
  <c r="G467" i="44"/>
  <c r="K387" i="44"/>
  <c r="K212" i="44"/>
  <c r="K469" i="44"/>
  <c r="K426" i="44"/>
  <c r="K303" i="44"/>
  <c r="K48" i="44"/>
  <c r="K495" i="44"/>
  <c r="G295" i="44"/>
  <c r="G487" i="44"/>
  <c r="K79" i="44"/>
  <c r="K432" i="44"/>
  <c r="K307" i="44"/>
  <c r="K471" i="44"/>
  <c r="K443" i="44"/>
  <c r="K53" i="44"/>
  <c r="K39" i="44"/>
  <c r="K399" i="44"/>
  <c r="K265" i="44"/>
  <c r="G12" i="44"/>
  <c r="K209" i="44"/>
  <c r="G352" i="44"/>
  <c r="G155" i="44"/>
  <c r="K115" i="44"/>
  <c r="K376" i="44"/>
  <c r="G254" i="44"/>
  <c r="G189" i="44"/>
  <c r="K261" i="44"/>
  <c r="K328" i="44"/>
  <c r="G476" i="44"/>
  <c r="K435" i="44"/>
  <c r="G30" i="44"/>
  <c r="G147" i="44"/>
  <c r="G291" i="44"/>
  <c r="G152" i="44"/>
  <c r="K331" i="44"/>
  <c r="K377" i="44"/>
  <c r="K409" i="44"/>
  <c r="K236" i="44"/>
  <c r="G443" i="44"/>
  <c r="K214" i="44"/>
  <c r="K133" i="44"/>
  <c r="K117" i="44"/>
  <c r="G78" i="44"/>
  <c r="K419" i="44"/>
  <c r="G39" i="44"/>
  <c r="K179" i="44"/>
  <c r="G31" i="44"/>
  <c r="G481" i="44"/>
  <c r="K487" i="44"/>
  <c r="G101" i="44"/>
  <c r="K184" i="44"/>
  <c r="G159" i="44"/>
  <c r="K299" i="44"/>
  <c r="G272" i="44"/>
  <c r="K404" i="44"/>
  <c r="G21" i="44"/>
  <c r="K350" i="44"/>
  <c r="K347" i="44"/>
  <c r="G307" i="44"/>
  <c r="K308" i="44"/>
  <c r="K302" i="44"/>
  <c r="G19" i="44"/>
  <c r="G390" i="44"/>
  <c r="K492" i="44"/>
  <c r="G256" i="44"/>
  <c r="K201" i="44"/>
  <c r="G279" i="44"/>
  <c r="G354" i="44"/>
  <c r="K112" i="44"/>
  <c r="G235" i="44"/>
  <c r="G340" i="44"/>
  <c r="G231" i="44"/>
  <c r="G290" i="44"/>
  <c r="G500" i="44"/>
  <c r="K438" i="44"/>
  <c r="K122" i="44"/>
  <c r="K431" i="44"/>
  <c r="K493" i="44"/>
  <c r="G68" i="44"/>
  <c r="G230" i="44"/>
  <c r="G139" i="44"/>
  <c r="G47" i="44"/>
  <c r="K255" i="44"/>
  <c r="G49" i="44"/>
  <c r="G462" i="44"/>
  <c r="G38" i="44"/>
  <c r="G262" i="44"/>
  <c r="K477" i="44"/>
  <c r="K147" i="44"/>
  <c r="K202" i="44"/>
  <c r="K16" i="44"/>
  <c r="K114" i="44"/>
  <c r="G301" i="44"/>
  <c r="K373" i="44"/>
  <c r="K162" i="44"/>
  <c r="K488" i="44"/>
  <c r="G160" i="44"/>
  <c r="G277" i="44"/>
  <c r="G58" i="44"/>
  <c r="G281" i="44"/>
  <c r="K326" i="44"/>
  <c r="G341" i="44"/>
  <c r="K217" i="44"/>
  <c r="K384" i="44"/>
  <c r="K257" i="44"/>
  <c r="K196" i="44"/>
  <c r="K385" i="44"/>
  <c r="K50" i="44"/>
  <c r="G460" i="44"/>
  <c r="G440" i="44"/>
  <c r="K97" i="44"/>
  <c r="G497" i="44"/>
  <c r="K104" i="44"/>
  <c r="G317" i="44"/>
  <c r="G188" i="44"/>
  <c r="G193" i="44"/>
  <c r="G214" i="44"/>
  <c r="G469" i="44"/>
  <c r="G196" i="44"/>
  <c r="K305" i="44"/>
  <c r="G499" i="44"/>
  <c r="K145" i="44"/>
  <c r="G302" i="44"/>
  <c r="G265" i="44"/>
  <c r="G480" i="44"/>
  <c r="K465" i="44"/>
  <c r="K280" i="44"/>
  <c r="G161" i="44"/>
  <c r="K106" i="44"/>
  <c r="K358" i="44"/>
  <c r="K165" i="44"/>
  <c r="G246" i="44"/>
  <c r="G118" i="44"/>
  <c r="K242" i="44"/>
  <c r="G297" i="44"/>
  <c r="K181" i="44"/>
  <c r="K320" i="44"/>
  <c r="K346" i="44"/>
  <c r="G450" i="44"/>
  <c r="G398" i="44"/>
  <c r="K190" i="44"/>
  <c r="K324" i="44"/>
  <c r="G273" i="44"/>
  <c r="K35" i="44"/>
  <c r="G331" i="44"/>
  <c r="K127" i="44"/>
  <c r="K247" i="44"/>
  <c r="G274" i="44"/>
  <c r="K71" i="44"/>
  <c r="G482" i="44"/>
  <c r="G338" i="44"/>
  <c r="G250" i="44"/>
  <c r="G145" i="44"/>
  <c r="G389" i="44"/>
  <c r="G303" i="44"/>
  <c r="G104" i="44"/>
  <c r="K392" i="44"/>
  <c r="K76" i="44"/>
  <c r="K448" i="44"/>
  <c r="K361" i="44"/>
  <c r="K182" i="44"/>
  <c r="G406" i="44"/>
  <c r="K69" i="44"/>
  <c r="G400" i="44"/>
  <c r="K231" i="44"/>
  <c r="G194" i="44"/>
  <c r="G43" i="44"/>
  <c r="K365" i="44"/>
  <c r="K169" i="44"/>
  <c r="G344" i="44"/>
  <c r="G408" i="44"/>
  <c r="G478" i="44"/>
  <c r="K176" i="44"/>
  <c r="K339" i="44"/>
  <c r="K26" i="44"/>
  <c r="G146" i="44"/>
  <c r="G245" i="44"/>
  <c r="K244" i="44"/>
  <c r="K128" i="44"/>
  <c r="G348" i="44"/>
  <c r="K427" i="44"/>
  <c r="K86" i="44"/>
  <c r="G144" i="44"/>
  <c r="G219" i="44"/>
  <c r="G320" i="44"/>
  <c r="G105" i="44"/>
  <c r="K92" i="44"/>
  <c r="G414" i="44"/>
  <c r="J324" i="44" l="1"/>
  <c r="J335" i="44"/>
  <c r="J297" i="44"/>
  <c r="J265" i="44"/>
  <c r="J359" i="44"/>
  <c r="J216" i="44"/>
  <c r="J320" i="44"/>
  <c r="J212" i="44"/>
  <c r="J410" i="44"/>
  <c r="J427" i="44"/>
  <c r="J221" i="44"/>
  <c r="J381" i="44"/>
  <c r="J491" i="44"/>
  <c r="J199" i="44"/>
  <c r="J202" i="44"/>
  <c r="J319" i="44"/>
  <c r="J332" i="44"/>
  <c r="J30" i="44"/>
  <c r="J130" i="44"/>
  <c r="J231" i="44"/>
  <c r="J353" i="44"/>
  <c r="J278" i="44"/>
  <c r="J69" i="44"/>
  <c r="J115" i="44"/>
  <c r="J86" i="44"/>
  <c r="J448" i="44"/>
  <c r="J408" i="44"/>
  <c r="J333" i="44"/>
  <c r="J250" i="44"/>
  <c r="J401" i="44"/>
  <c r="J44" i="44"/>
  <c r="J41" i="44"/>
  <c r="J123" i="44"/>
  <c r="J189" i="44"/>
  <c r="J403" i="44"/>
  <c r="J495" i="44"/>
  <c r="J304" i="44"/>
  <c r="J382" i="44"/>
  <c r="J239" i="44"/>
  <c r="J444" i="44"/>
  <c r="J428" i="44"/>
  <c r="J234" i="44"/>
  <c r="J32" i="44"/>
  <c r="J65" i="44"/>
  <c r="J248" i="44"/>
  <c r="J94" i="44"/>
  <c r="J206" i="44"/>
  <c r="J393" i="44"/>
  <c r="J230" i="44"/>
  <c r="J46" i="44"/>
  <c r="J493" i="44"/>
  <c r="J137" i="44"/>
  <c r="J274" i="44"/>
  <c r="J253" i="44"/>
  <c r="J406" i="44"/>
  <c r="J122" i="44"/>
  <c r="J81" i="44"/>
  <c r="J429" i="44"/>
  <c r="J271" i="44"/>
  <c r="J197" i="44"/>
  <c r="J292" i="44"/>
  <c r="J87" i="44"/>
  <c r="J376" i="44"/>
  <c r="J28" i="44"/>
  <c r="J341" i="44"/>
  <c r="J425" i="44"/>
  <c r="J284" i="44"/>
  <c r="J20" i="44"/>
  <c r="J49" i="44"/>
  <c r="J290" i="44"/>
  <c r="J364" i="44"/>
  <c r="J484" i="44"/>
  <c r="J147" i="44"/>
  <c r="J463" i="44"/>
  <c r="J378" i="44"/>
  <c r="J156" i="44"/>
  <c r="J200" i="44"/>
  <c r="J295" i="44"/>
  <c r="J492" i="44"/>
  <c r="J255" i="44"/>
  <c r="J119" i="44"/>
  <c r="J468" i="44"/>
  <c r="J344" i="44"/>
  <c r="J188" i="44"/>
  <c r="J299" i="44"/>
  <c r="J445" i="44"/>
  <c r="J136" i="44"/>
  <c r="J124" i="44"/>
  <c r="J168" i="44"/>
  <c r="J91" i="44"/>
  <c r="J238" i="44"/>
  <c r="J40" i="44"/>
  <c r="J270" i="44"/>
  <c r="J16" i="44"/>
  <c r="J456" i="44"/>
  <c r="J82" i="44"/>
  <c r="J182" i="44"/>
  <c r="J203" i="44"/>
  <c r="J450" i="44"/>
  <c r="J340" i="44"/>
  <c r="J118" i="44"/>
  <c r="J480" i="44"/>
  <c r="J107" i="44"/>
  <c r="J33" i="44"/>
  <c r="J59" i="44"/>
  <c r="J263" i="44"/>
  <c r="J262" i="44"/>
  <c r="J268" i="44"/>
  <c r="J261" i="44"/>
  <c r="J165" i="44"/>
  <c r="J453" i="44"/>
  <c r="J380" i="44"/>
  <c r="J321" i="44"/>
  <c r="J159" i="44"/>
  <c r="J178" i="44"/>
  <c r="J256" i="44"/>
  <c r="J472" i="44"/>
  <c r="J434" i="44"/>
  <c r="J451" i="44"/>
  <c r="J76" i="44"/>
  <c r="J449" i="44"/>
  <c r="J57" i="44"/>
  <c r="J205" i="44"/>
  <c r="J60" i="44"/>
  <c r="J379" i="44"/>
  <c r="J222" i="44"/>
  <c r="J298" i="44"/>
  <c r="J442" i="44"/>
  <c r="J138" i="44"/>
  <c r="J367" i="44"/>
  <c r="J54" i="44"/>
  <c r="J366" i="44"/>
  <c r="J358" i="44"/>
  <c r="J97" i="44"/>
  <c r="J48" i="44"/>
  <c r="J489" i="44"/>
  <c r="J281" i="44"/>
  <c r="J235" i="44"/>
  <c r="J392" i="44"/>
  <c r="J225" i="44"/>
  <c r="J167" i="44"/>
  <c r="J322" i="44"/>
  <c r="J207" i="44"/>
  <c r="J143" i="44"/>
  <c r="J195" i="44"/>
  <c r="J486" i="44"/>
  <c r="J171" i="44"/>
  <c r="J131" i="44"/>
  <c r="J288" i="44"/>
  <c r="J193" i="44"/>
  <c r="J438" i="44"/>
  <c r="J287" i="44"/>
  <c r="J432" i="44"/>
  <c r="J273" i="44"/>
  <c r="J361" i="44"/>
  <c r="J63" i="44"/>
  <c r="J34" i="44"/>
  <c r="J36" i="44"/>
  <c r="J170" i="44"/>
  <c r="J101" i="44"/>
  <c r="J75" i="44"/>
  <c r="J283" i="44"/>
  <c r="J267" i="44"/>
  <c r="J488" i="44"/>
  <c r="J464" i="44"/>
  <c r="J108" i="44"/>
  <c r="J311" i="44"/>
  <c r="J327" i="44"/>
  <c r="J240" i="44"/>
  <c r="J204" i="44"/>
  <c r="J31" i="44"/>
  <c r="J360" i="44"/>
  <c r="J411" i="44"/>
  <c r="J310" i="44"/>
  <c r="J211" i="44"/>
  <c r="J80" i="44"/>
  <c r="J386" i="44"/>
  <c r="J391" i="44"/>
  <c r="J258" i="44"/>
  <c r="J84" i="44"/>
  <c r="J421" i="44"/>
  <c r="J169" i="44"/>
  <c r="J296" i="44"/>
  <c r="J249" i="44"/>
  <c r="J181" i="44"/>
  <c r="J139" i="44"/>
  <c r="J24" i="44"/>
  <c r="J155" i="44"/>
  <c r="J404" i="44"/>
  <c r="J447" i="44"/>
  <c r="J377" i="44"/>
  <c r="J459" i="44"/>
  <c r="J198" i="44"/>
  <c r="J276" i="44"/>
  <c r="J252" i="44"/>
  <c r="J460" i="44"/>
  <c r="J457" i="44"/>
  <c r="J407" i="44"/>
  <c r="J330" i="44"/>
  <c r="J402" i="44"/>
  <c r="J243" i="44"/>
  <c r="J394" i="44"/>
  <c r="J461" i="44"/>
  <c r="J62" i="44"/>
  <c r="J232" i="44"/>
  <c r="J183" i="44"/>
  <c r="J145" i="44"/>
  <c r="J223" i="44"/>
  <c r="J11" i="44"/>
  <c r="J157" i="44"/>
  <c r="J64" i="44"/>
  <c r="J220" i="44"/>
  <c r="J446" i="44"/>
  <c r="J90" i="44"/>
  <c r="J23" i="44"/>
  <c r="J237" i="44"/>
  <c r="J365" i="44"/>
  <c r="J26" i="44"/>
  <c r="J152" i="44"/>
  <c r="J413" i="44"/>
  <c r="J190" i="44"/>
  <c r="J368" i="44"/>
  <c r="J467" i="44"/>
  <c r="J342" i="44"/>
  <c r="J29" i="44"/>
  <c r="J423" i="44"/>
  <c r="J98" i="44"/>
  <c r="J146" i="44"/>
  <c r="J385" i="44"/>
  <c r="J58" i="44"/>
  <c r="J74" i="44"/>
  <c r="J39" i="44"/>
  <c r="J490" i="44"/>
  <c r="J336" i="44"/>
  <c r="J163" i="44"/>
  <c r="J419" i="44"/>
  <c r="J21" i="44"/>
  <c r="J430" i="44"/>
  <c r="J431" i="44"/>
  <c r="J125" i="44"/>
  <c r="J357" i="44"/>
  <c r="J275" i="44"/>
  <c r="J433" i="44"/>
  <c r="J400" i="44"/>
  <c r="J113" i="44"/>
  <c r="J417" i="44"/>
  <c r="J458" i="44"/>
  <c r="J355" i="44"/>
  <c r="J53" i="44"/>
  <c r="J426" i="44"/>
  <c r="J104" i="44"/>
  <c r="J194" i="44"/>
  <c r="J177" i="44"/>
  <c r="J277" i="44"/>
  <c r="J149" i="44"/>
  <c r="J160" i="44"/>
  <c r="J412" i="44"/>
  <c r="J89" i="44"/>
  <c r="J140" i="44"/>
  <c r="J172" i="44"/>
  <c r="J142" i="44"/>
  <c r="J334" i="44"/>
  <c r="J127" i="44"/>
  <c r="J150" i="44"/>
  <c r="J264" i="44"/>
  <c r="J282" i="44"/>
  <c r="J241" i="44"/>
  <c r="J15" i="44"/>
  <c r="J192" i="44"/>
  <c r="J487" i="44"/>
  <c r="J73" i="44"/>
  <c r="J300" i="44"/>
  <c r="J154" i="44"/>
  <c r="J497" i="44"/>
  <c r="J184" i="44"/>
  <c r="J308" i="44"/>
  <c r="J469" i="44"/>
  <c r="J471" i="44"/>
  <c r="J452" i="44"/>
  <c r="J19" i="44"/>
  <c r="J244" i="44"/>
  <c r="J121" i="44"/>
  <c r="J326" i="44"/>
  <c r="J79" i="44"/>
  <c r="J158" i="44"/>
  <c r="J106" i="44"/>
  <c r="J187" i="44"/>
  <c r="J331" i="44"/>
  <c r="J67" i="44"/>
  <c r="J348" i="44"/>
  <c r="J405" i="44"/>
  <c r="J500" i="44"/>
  <c r="J51" i="44"/>
  <c r="J174" i="44"/>
  <c r="J120" i="44"/>
  <c r="J226" i="44"/>
  <c r="J293" i="44"/>
  <c r="J17" i="44"/>
  <c r="J395" i="44"/>
  <c r="J132" i="44"/>
  <c r="J455" i="44"/>
  <c r="J339" i="44"/>
  <c r="J233" i="44"/>
  <c r="J374" i="44"/>
  <c r="J135" i="44"/>
  <c r="J482" i="44"/>
  <c r="J103" i="44"/>
  <c r="J375" i="44"/>
  <c r="J280" i="44"/>
  <c r="J214" i="44"/>
  <c r="J337" i="44"/>
  <c r="J129" i="44"/>
  <c r="J196" i="44"/>
  <c r="J318" i="44"/>
  <c r="J441" i="44"/>
  <c r="J144" i="44"/>
  <c r="J418" i="44"/>
  <c r="J242" i="44"/>
  <c r="J328" i="44"/>
  <c r="J246" i="44"/>
  <c r="J454" i="44"/>
  <c r="J286" i="44"/>
  <c r="J498" i="44"/>
  <c r="J349" i="44"/>
  <c r="J396" i="44"/>
  <c r="J485" i="44"/>
  <c r="J306" i="44"/>
  <c r="J346" i="44"/>
  <c r="J440" i="44"/>
  <c r="J71" i="44"/>
  <c r="J173" i="44"/>
  <c r="J245" i="44"/>
  <c r="J474" i="44"/>
  <c r="J128" i="44"/>
  <c r="J166" i="44"/>
  <c r="J56" i="44"/>
  <c r="J370" i="44"/>
  <c r="J116" i="44"/>
  <c r="J215" i="44"/>
  <c r="J301" i="44"/>
  <c r="J133" i="44"/>
  <c r="J186" i="44"/>
  <c r="J465" i="44"/>
  <c r="J114" i="44"/>
  <c r="J390" i="44"/>
  <c r="J52" i="44"/>
  <c r="J70" i="44"/>
  <c r="J338" i="44"/>
  <c r="J100" i="44"/>
  <c r="J219" i="44"/>
  <c r="J210" i="44"/>
  <c r="J153" i="44"/>
  <c r="J462" i="44"/>
  <c r="J83" i="44"/>
  <c r="J369" i="44"/>
  <c r="J105" i="44"/>
  <c r="J409" i="44"/>
  <c r="J478" i="44"/>
  <c r="J371" i="44"/>
  <c r="J363" i="44"/>
  <c r="J109" i="44"/>
  <c r="J499" i="44"/>
  <c r="J420" i="44"/>
  <c r="J289" i="44"/>
  <c r="J37" i="44"/>
  <c r="J99" i="44"/>
  <c r="J414" i="44"/>
  <c r="J254" i="44"/>
  <c r="J141" i="44"/>
  <c r="J208" i="44"/>
  <c r="J309" i="44"/>
  <c r="J112" i="44"/>
  <c r="J313" i="44"/>
  <c r="J470" i="44"/>
  <c r="J325" i="44"/>
  <c r="J148" i="44"/>
  <c r="J356" i="44"/>
  <c r="J161" i="44"/>
  <c r="J251" i="44"/>
  <c r="J134" i="44"/>
  <c r="J191" i="44"/>
  <c r="J302" i="44"/>
  <c r="J93" i="44"/>
  <c r="J424" i="44"/>
  <c r="J477" i="44"/>
  <c r="J362" i="44"/>
  <c r="J85" i="44"/>
  <c r="J47" i="44"/>
  <c r="J305" i="44"/>
  <c r="J257" i="44"/>
  <c r="J164" i="44"/>
  <c r="J43" i="44"/>
  <c r="J61" i="44"/>
  <c r="J224" i="44"/>
  <c r="J279" i="44"/>
  <c r="J179" i="44"/>
  <c r="J399" i="44"/>
  <c r="J66" i="44"/>
  <c r="J201" i="44"/>
  <c r="J437" i="44"/>
  <c r="J372" i="44"/>
  <c r="J291" i="44"/>
  <c r="J269" i="44"/>
  <c r="J72" i="44"/>
  <c r="J68" i="44"/>
  <c r="J473" i="44"/>
  <c r="J102" i="44"/>
  <c r="J312" i="44"/>
  <c r="J315" i="44"/>
  <c r="J12" i="44"/>
  <c r="J398" i="44"/>
  <c r="J117" i="44"/>
  <c r="J176" i="44"/>
  <c r="J416" i="44"/>
  <c r="J422" i="44"/>
  <c r="J25" i="44"/>
  <c r="J77" i="44"/>
  <c r="J397" i="44"/>
  <c r="J13" i="44"/>
  <c r="J22" i="44"/>
  <c r="J45" i="44"/>
  <c r="J494" i="44"/>
  <c r="J435" i="44"/>
  <c r="J228" i="44"/>
  <c r="J95" i="44"/>
  <c r="J92" i="44"/>
  <c r="J260" i="44"/>
  <c r="J317" i="44"/>
  <c r="J42" i="44"/>
  <c r="J38" i="44"/>
  <c r="J388" i="44"/>
  <c r="J14" i="44"/>
  <c r="J96" i="44"/>
  <c r="J483" i="44"/>
  <c r="J229" i="44"/>
  <c r="J343" i="44"/>
  <c r="J354" i="44"/>
  <c r="J151" i="44"/>
  <c r="J213" i="44"/>
  <c r="J209" i="44"/>
  <c r="J50" i="44"/>
  <c r="J415" i="44"/>
  <c r="J110" i="44"/>
  <c r="J314" i="44"/>
  <c r="J285" i="44"/>
  <c r="J227" i="44"/>
  <c r="J389" i="44"/>
  <c r="J126" i="44"/>
  <c r="J266" i="44"/>
  <c r="J175" i="44"/>
  <c r="J466" i="44"/>
  <c r="J185" i="44"/>
  <c r="J476" i="44"/>
  <c r="J236" i="44"/>
  <c r="J475" i="44"/>
  <c r="J479" i="44"/>
  <c r="J436" i="44"/>
  <c r="J259" i="44"/>
  <c r="J272" i="44"/>
  <c r="J78" i="44"/>
  <c r="J383" i="44"/>
  <c r="J373" i="44"/>
  <c r="J111" i="44"/>
  <c r="J180" i="44"/>
  <c r="J387" i="44"/>
  <c r="J345" i="44"/>
  <c r="J162" i="44"/>
  <c r="J347" i="44"/>
  <c r="J18" i="44"/>
  <c r="J307" i="44"/>
  <c r="J218" i="44"/>
  <c r="J247" i="44"/>
  <c r="J323" i="44"/>
  <c r="J350" i="44"/>
  <c r="J443" i="44"/>
  <c r="J496" i="44"/>
  <c r="J352" i="44"/>
  <c r="J351" i="44"/>
  <c r="J316" i="44"/>
  <c r="J481" i="44"/>
  <c r="J55" i="44"/>
  <c r="J384" i="44"/>
  <c r="J35" i="44"/>
  <c r="J303" i="44"/>
  <c r="J27" i="44"/>
  <c r="J329" i="44"/>
  <c r="J88" i="44"/>
  <c r="J439" i="44"/>
  <c r="J217" i="44"/>
  <c r="J294" i="44"/>
  <c r="F201" i="44"/>
  <c r="F295" i="44"/>
  <c r="F344" i="44"/>
  <c r="F369" i="44"/>
  <c r="F361" i="44"/>
  <c r="F498" i="44"/>
  <c r="F167" i="44"/>
  <c r="F403" i="44"/>
  <c r="F32" i="44"/>
  <c r="F396" i="44"/>
  <c r="F437" i="44"/>
  <c r="F125" i="44"/>
  <c r="F86" i="44"/>
  <c r="F19" i="44"/>
  <c r="F217" i="44"/>
  <c r="F479" i="44"/>
  <c r="F89" i="44"/>
  <c r="F226" i="44"/>
  <c r="F40" i="44"/>
  <c r="F35" i="44"/>
  <c r="F188" i="44"/>
  <c r="F24" i="44"/>
  <c r="F291" i="44"/>
  <c r="F325" i="44"/>
  <c r="F25" i="44"/>
  <c r="F68" i="44"/>
  <c r="F337" i="44"/>
  <c r="F120" i="44"/>
  <c r="F218" i="44"/>
  <c r="F494" i="44"/>
  <c r="F237" i="44"/>
  <c r="F114" i="44"/>
  <c r="F289" i="44"/>
  <c r="F184" i="44"/>
  <c r="F84" i="44"/>
  <c r="F63" i="44"/>
  <c r="F77" i="44"/>
  <c r="F221" i="44"/>
  <c r="F229" i="44"/>
  <c r="F70" i="44"/>
  <c r="F78" i="44"/>
  <c r="F249" i="44"/>
  <c r="F300" i="44"/>
  <c r="F14" i="44"/>
  <c r="F45" i="44"/>
  <c r="F213" i="44"/>
  <c r="F59" i="44"/>
  <c r="F355" i="44"/>
  <c r="F255" i="44"/>
  <c r="F61" i="44"/>
  <c r="F359" i="44"/>
  <c r="F466" i="44"/>
  <c r="F269" i="44"/>
  <c r="F345" i="44"/>
  <c r="F422" i="44"/>
  <c r="F394" i="44"/>
  <c r="F286" i="44"/>
  <c r="F128" i="44"/>
  <c r="F97" i="44"/>
  <c r="F360" i="44"/>
  <c r="F481" i="44"/>
  <c r="F165" i="44"/>
  <c r="F54" i="44"/>
  <c r="F140" i="44"/>
  <c r="F487" i="44"/>
  <c r="F354" i="44"/>
  <c r="F374" i="44"/>
  <c r="F496" i="44"/>
  <c r="F37" i="44"/>
  <c r="F499" i="44"/>
  <c r="F182" i="44"/>
  <c r="F192" i="44"/>
  <c r="F129" i="44"/>
  <c r="F22" i="44"/>
  <c r="F134" i="44"/>
  <c r="F157" i="44"/>
  <c r="F392" i="44"/>
  <c r="F159" i="44"/>
  <c r="F372" i="44"/>
  <c r="F67" i="44"/>
  <c r="F181" i="44"/>
  <c r="F278" i="44"/>
  <c r="F92" i="44"/>
  <c r="F381" i="44"/>
  <c r="F413" i="44"/>
  <c r="F459" i="44"/>
  <c r="F320" i="44"/>
  <c r="F30" i="44"/>
  <c r="F12" i="44"/>
  <c r="F26" i="44"/>
  <c r="F117" i="44"/>
  <c r="F83" i="44"/>
  <c r="F58" i="44"/>
  <c r="F178" i="44"/>
  <c r="F174" i="44"/>
  <c r="F423" i="44"/>
  <c r="F301" i="44"/>
  <c r="F338" i="44"/>
  <c r="F38" i="44"/>
  <c r="F139" i="44"/>
  <c r="F207" i="44"/>
  <c r="F382" i="44"/>
  <c r="F170" i="44"/>
  <c r="F490" i="44"/>
  <c r="F215" i="44"/>
  <c r="F322" i="44"/>
  <c r="F105" i="44"/>
  <c r="F288" i="44"/>
  <c r="F358" i="44"/>
  <c r="F380" i="44"/>
  <c r="F461" i="44"/>
  <c r="F187" i="44"/>
  <c r="F342" i="44"/>
  <c r="F335" i="44"/>
  <c r="F356" i="44"/>
  <c r="F252" i="44"/>
  <c r="F483" i="44"/>
  <c r="F164" i="44"/>
  <c r="F277" i="44"/>
  <c r="F470" i="44"/>
  <c r="F326" i="44"/>
  <c r="F258" i="44"/>
  <c r="F235" i="44"/>
  <c r="F53" i="44"/>
  <c r="F341" i="44"/>
  <c r="F385" i="44"/>
  <c r="F405" i="44"/>
  <c r="F332" i="44"/>
  <c r="F17" i="44"/>
  <c r="F453" i="44"/>
  <c r="F340" i="44"/>
  <c r="F281" i="44"/>
  <c r="F377" i="44"/>
  <c r="F312" i="44"/>
  <c r="F307" i="44"/>
  <c r="F44" i="44"/>
  <c r="F107" i="44"/>
  <c r="F484" i="44"/>
  <c r="F454" i="44"/>
  <c r="F214" i="44"/>
  <c r="F244" i="44"/>
  <c r="F62" i="44"/>
  <c r="F55" i="44"/>
  <c r="F112" i="44"/>
  <c r="F294" i="44"/>
  <c r="F240" i="44"/>
  <c r="F283" i="44"/>
  <c r="F284" i="44"/>
  <c r="F130" i="44"/>
  <c r="F190" i="44"/>
  <c r="F321" i="44"/>
  <c r="F253" i="44"/>
  <c r="F404" i="44"/>
  <c r="F219" i="44"/>
  <c r="F317" i="44"/>
  <c r="F113" i="44"/>
  <c r="F148" i="44"/>
  <c r="F64" i="44"/>
  <c r="F348" i="44"/>
  <c r="F447" i="44"/>
  <c r="F121" i="44"/>
  <c r="F352" i="44"/>
  <c r="F94" i="44"/>
  <c r="F208" i="44"/>
  <c r="F254" i="44"/>
  <c r="F50" i="44"/>
  <c r="F323" i="44"/>
  <c r="F315" i="44"/>
  <c r="F477" i="44"/>
  <c r="F274" i="44"/>
  <c r="F393" i="44"/>
  <c r="F500" i="44"/>
  <c r="F146" i="44"/>
  <c r="F261" i="44"/>
  <c r="F424" i="44"/>
  <c r="F100" i="44"/>
  <c r="F43" i="44"/>
  <c r="F357" i="44"/>
  <c r="F327" i="44"/>
  <c r="F251" i="44"/>
  <c r="F485" i="44"/>
  <c r="F197" i="44"/>
  <c r="F15" i="44"/>
  <c r="F227" i="44"/>
  <c r="F469" i="44"/>
  <c r="F206" i="44"/>
  <c r="F51" i="44"/>
  <c r="F194" i="44"/>
  <c r="F123" i="44"/>
  <c r="F158" i="44"/>
  <c r="F401" i="44"/>
  <c r="F449" i="44"/>
  <c r="F362" i="44"/>
  <c r="F136" i="44"/>
  <c r="F402" i="44"/>
  <c r="F154" i="44"/>
  <c r="F36" i="44"/>
  <c r="F267" i="44"/>
  <c r="F124" i="44"/>
  <c r="F131" i="44"/>
  <c r="F72" i="44"/>
  <c r="F98" i="44"/>
  <c r="F106" i="44"/>
  <c r="F430" i="44"/>
  <c r="F224" i="44"/>
  <c r="F373" i="44"/>
  <c r="F150" i="44"/>
  <c r="F103" i="44"/>
  <c r="F376" i="44"/>
  <c r="F242" i="44"/>
  <c r="F80" i="44"/>
  <c r="F93" i="44"/>
  <c r="F431" i="44"/>
  <c r="F95" i="44"/>
  <c r="F397" i="44"/>
  <c r="F71" i="44"/>
  <c r="F309" i="44"/>
  <c r="F104" i="44"/>
  <c r="F46" i="44"/>
  <c r="F458" i="44"/>
  <c r="F143" i="44"/>
  <c r="F173" i="44"/>
  <c r="F81" i="44"/>
  <c r="F31" i="44"/>
  <c r="F287" i="44"/>
  <c r="F69" i="44"/>
  <c r="F162" i="44"/>
  <c r="F366" i="44"/>
  <c r="F363" i="44"/>
  <c r="F65" i="44"/>
  <c r="F443" i="44"/>
  <c r="F387" i="44"/>
  <c r="F109" i="44"/>
  <c r="F155" i="44"/>
  <c r="F99" i="44"/>
  <c r="F102" i="44"/>
  <c r="F153" i="44"/>
  <c r="F383" i="44"/>
  <c r="F171" i="44"/>
  <c r="F368" i="44"/>
  <c r="F299" i="44"/>
  <c r="F467" i="44"/>
  <c r="F74" i="44"/>
  <c r="F250" i="44"/>
  <c r="F39" i="44"/>
  <c r="F273" i="44"/>
  <c r="F205" i="44"/>
  <c r="F425" i="44"/>
  <c r="F386" i="44"/>
  <c r="F111" i="44"/>
  <c r="F247" i="44"/>
  <c r="F298" i="44"/>
  <c r="F297" i="44"/>
  <c r="F163" i="44"/>
  <c r="F353" i="44"/>
  <c r="F419" i="44"/>
  <c r="F292" i="44"/>
  <c r="F310" i="44"/>
  <c r="F185" i="44"/>
  <c r="F52" i="44"/>
  <c r="F147" i="44"/>
  <c r="F115" i="44"/>
  <c r="F329" i="44"/>
  <c r="F339" i="44"/>
  <c r="F141" i="44"/>
  <c r="F256" i="44"/>
  <c r="F126" i="44"/>
  <c r="F211" i="44"/>
  <c r="F305" i="44"/>
  <c r="F476" i="44"/>
  <c r="F34" i="44"/>
  <c r="F232" i="44"/>
  <c r="F87" i="44"/>
  <c r="F489" i="44"/>
  <c r="F457" i="44"/>
  <c r="F160" i="44"/>
  <c r="F328" i="44"/>
  <c r="F161" i="44"/>
  <c r="F444" i="44"/>
  <c r="F176" i="44"/>
  <c r="F212" i="44"/>
  <c r="F365" i="44"/>
  <c r="F473" i="44"/>
  <c r="F241" i="44"/>
  <c r="F191" i="44"/>
  <c r="F243" i="44"/>
  <c r="F56" i="44"/>
  <c r="F475" i="44"/>
  <c r="F116" i="44"/>
  <c r="F492" i="44"/>
  <c r="F351" i="44"/>
  <c r="F464" i="44"/>
  <c r="F303" i="44"/>
  <c r="F41" i="44"/>
  <c r="F57" i="44"/>
  <c r="F202" i="44"/>
  <c r="F186" i="44"/>
  <c r="F142" i="44"/>
  <c r="F280" i="44"/>
  <c r="F210" i="44"/>
  <c r="F343" i="44"/>
  <c r="F265" i="44"/>
  <c r="F495" i="44"/>
  <c r="F166" i="44"/>
  <c r="F275" i="44"/>
  <c r="F270" i="44"/>
  <c r="F145" i="44"/>
  <c r="F23" i="44"/>
  <c r="F451" i="44"/>
  <c r="F85" i="44"/>
  <c r="F478" i="44"/>
  <c r="F379" i="44"/>
  <c r="F450" i="44"/>
  <c r="F414" i="44"/>
  <c r="F411" i="44"/>
  <c r="F462" i="44"/>
  <c r="F429" i="44"/>
  <c r="F33" i="44"/>
  <c r="F439" i="44"/>
  <c r="F66" i="44"/>
  <c r="F230" i="44"/>
  <c r="F16" i="44"/>
  <c r="F42" i="44"/>
  <c r="F47" i="44"/>
  <c r="F82" i="44"/>
  <c r="F209" i="44"/>
  <c r="F204" i="44"/>
  <c r="F488" i="44"/>
  <c r="F183" i="44"/>
  <c r="F108" i="44"/>
  <c r="F318" i="44"/>
  <c r="F228" i="44"/>
  <c r="F223" i="44"/>
  <c r="F406" i="44"/>
  <c r="F384" i="44"/>
  <c r="F149" i="44"/>
  <c r="F432" i="44"/>
  <c r="F29" i="44"/>
  <c r="F172" i="44"/>
  <c r="F75" i="44"/>
  <c r="F293" i="44"/>
  <c r="F272" i="44"/>
  <c r="F127" i="44"/>
  <c r="F151" i="44"/>
  <c r="F400" i="44"/>
  <c r="F220" i="44"/>
  <c r="F60" i="44"/>
  <c r="F48" i="44"/>
  <c r="F408" i="44"/>
  <c r="F91" i="44"/>
  <c r="F266" i="44"/>
  <c r="F460" i="44"/>
  <c r="F313" i="44"/>
  <c r="F304" i="44"/>
  <c r="F390" i="44"/>
  <c r="F119" i="44"/>
  <c r="F169" i="44"/>
  <c r="F456" i="44"/>
  <c r="F438" i="44"/>
  <c r="F435" i="44"/>
  <c r="F472" i="44"/>
  <c r="F364" i="44"/>
  <c r="F290" i="44"/>
  <c r="F199" i="44"/>
  <c r="F233" i="44"/>
  <c r="F480" i="44"/>
  <c r="F334" i="44"/>
  <c r="F302" i="44"/>
  <c r="F468" i="44"/>
  <c r="F238" i="44"/>
  <c r="F375" i="44"/>
  <c r="F180" i="44"/>
  <c r="F156" i="44"/>
  <c r="F239" i="44"/>
  <c r="F448" i="44"/>
  <c r="F248" i="44"/>
  <c r="F349" i="44"/>
  <c r="F279" i="44"/>
  <c r="F378" i="44"/>
  <c r="F440" i="44"/>
  <c r="F135" i="44"/>
  <c r="F76" i="44"/>
  <c r="F421" i="44"/>
  <c r="F225" i="44"/>
  <c r="F133" i="44"/>
  <c r="F282" i="44"/>
  <c r="F122" i="44"/>
  <c r="F415" i="44"/>
  <c r="F388" i="44"/>
  <c r="F11" i="44"/>
  <c r="F79" i="44"/>
  <c r="F18" i="44"/>
  <c r="F311" i="44"/>
  <c r="F324" i="44"/>
  <c r="F246" i="44"/>
  <c r="F367" i="44"/>
  <c r="F398" i="44"/>
  <c r="F296" i="44"/>
  <c r="F308" i="44"/>
  <c r="F409" i="44"/>
  <c r="F193" i="44"/>
  <c r="F482" i="44"/>
  <c r="F465" i="44"/>
  <c r="F189" i="44"/>
  <c r="F179" i="44"/>
  <c r="F410" i="44"/>
  <c r="F371" i="44"/>
  <c r="F137" i="44"/>
  <c r="F271" i="44"/>
  <c r="F474" i="44"/>
  <c r="F407" i="44"/>
  <c r="F200" i="44"/>
  <c r="F236" i="44"/>
  <c r="F452" i="44"/>
  <c r="F264" i="44"/>
  <c r="F49" i="44"/>
  <c r="F198" i="44"/>
  <c r="F428" i="44"/>
  <c r="F73" i="44"/>
  <c r="F88" i="44"/>
  <c r="F27" i="44"/>
  <c r="F168" i="44"/>
  <c r="F331" i="44"/>
  <c r="F138" i="44"/>
  <c r="F420" i="44"/>
  <c r="F389" i="44"/>
  <c r="F442" i="44"/>
  <c r="F314" i="44"/>
  <c r="F96" i="44"/>
  <c r="F370" i="44"/>
  <c r="F262" i="44"/>
  <c r="F90" i="44"/>
  <c r="F28" i="44"/>
  <c r="F412" i="44"/>
  <c r="F132" i="44"/>
  <c r="F195" i="44"/>
  <c r="F285" i="44"/>
  <c r="F257" i="44"/>
  <c r="F471" i="44"/>
  <c r="F177" i="44"/>
  <c r="F426" i="44"/>
  <c r="F21" i="44"/>
  <c r="F336" i="44"/>
  <c r="F268" i="44"/>
  <c r="F395" i="44"/>
  <c r="F101" i="44"/>
  <c r="F259" i="44"/>
  <c r="F347" i="44"/>
  <c r="F13" i="44"/>
  <c r="F436" i="44"/>
  <c r="F350" i="44"/>
  <c r="F434" i="44"/>
  <c r="F330" i="44"/>
  <c r="F491" i="44"/>
  <c r="F222" i="44"/>
  <c r="F203" i="44"/>
  <c r="F333" i="44"/>
  <c r="F497" i="44"/>
  <c r="F263" i="44"/>
  <c r="F319" i="44"/>
  <c r="F276" i="44"/>
  <c r="F486" i="44"/>
  <c r="F463" i="44"/>
  <c r="F416" i="44"/>
  <c r="F306" i="44"/>
  <c r="F234" i="44"/>
  <c r="F196" i="44"/>
  <c r="F455" i="44"/>
  <c r="F418" i="44"/>
  <c r="F20" i="44"/>
  <c r="F118" i="44"/>
  <c r="F152" i="44"/>
  <c r="F493" i="44"/>
  <c r="F144" i="44"/>
  <c r="F446" i="44"/>
  <c r="F427" i="44"/>
  <c r="F245" i="44"/>
  <c r="F110" i="44"/>
  <c r="F175" i="44"/>
  <c r="F216" i="44"/>
  <c r="F417" i="44"/>
  <c r="F445" i="44"/>
  <c r="F231" i="44"/>
  <c r="F399" i="44"/>
  <c r="F391" i="44"/>
  <c r="F433" i="44"/>
  <c r="F260" i="44"/>
  <c r="F346" i="44"/>
  <c r="F316" i="44"/>
  <c r="F441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Sok Bin</author>
  </authors>
  <commentList>
    <comment ref="Z83" authorId="0" shapeId="0" xr:uid="{A1680828-7CA5-4E7B-8ACE-1EA3FE4748F3}">
      <text>
        <r>
          <rPr>
            <sz val="9"/>
            <color indexed="81"/>
            <rFont val="Tahoma"/>
            <family val="2"/>
          </rPr>
          <t>WARNING!_x000D_
INSUFICIENT POWER TO ACCOMODATE BATTERY RECHARGE LOAD!_x000D_
ADJUST BATTERY RECHARGE RATE OR INCREASE RECTIFIER CAPACITY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Sok Bin</author>
  </authors>
  <commentList>
    <comment ref="Z83" authorId="0" shapeId="0" xr:uid="{20D55D97-ACAF-4F79-82A1-0793CCA1AA59}">
      <text>
        <r>
          <rPr>
            <sz val="9"/>
            <color indexed="81"/>
            <rFont val="Tahoma"/>
            <family val="2"/>
          </rPr>
          <t>WARNING!_x000D_
INSUFICIENT POWER TO ACCOMODATE BATTERY RECHARGE LOAD!_x000D_
ADJUST BATTERY RECHARGE RATE OR INCREASE RECTIFIER CAPACITY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Sok Bin</author>
  </authors>
  <commentList>
    <comment ref="Z83" authorId="0" shapeId="0" xr:uid="{36C95E91-8B5F-4DD4-A421-FC10AF8EDA64}">
      <text>
        <r>
          <rPr>
            <sz val="9"/>
            <color indexed="81"/>
            <rFont val="Tahoma"/>
            <family val="2"/>
          </rPr>
          <t>WARNING!_x000D_
INSUFICIENT POWER TO ACCOMODATE BATTERY RECHARGE LOAD!_x000D_
ADJUST BATTERY RECHARGE RATE OR INCREASE RECTIFIER CAPACITY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Sok Bin</author>
  </authors>
  <commentList>
    <comment ref="Z83" authorId="0" shapeId="0" xr:uid="{D8A776A9-A57B-4939-B614-67A25DADF16D}">
      <text>
        <r>
          <rPr>
            <sz val="9"/>
            <color indexed="81"/>
            <rFont val="Tahoma"/>
            <family val="2"/>
          </rPr>
          <t>WARNING!_x000D_
INSUFICIENT POWER TO ACCOMODATE BATTERY RECHARGE LOAD!_x000D_
ADJUST BATTERY RECHARGE RATE OR INCREASE RECTIFIER CAPACITY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Sok Bin</author>
  </authors>
  <commentList>
    <comment ref="Z83" authorId="0" shapeId="0" xr:uid="{1B3DFA6D-9B72-4C7B-B035-0FFF7D57CA9A}">
      <text>
        <r>
          <rPr>
            <sz val="9"/>
            <color indexed="81"/>
            <rFont val="Tahoma"/>
            <family val="2"/>
          </rPr>
          <t>WARNING!_x000D_
INSUFICIENT POWER TO ACCOMODATE BATTERY RECHARGE LOAD!_x000D_
ADJUST BATTERY RECHARGE RATE OR INCREASE RECTIFIER CAPACITY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<sst xmlns="http://schemas.openxmlformats.org/spreadsheetml/2006/main" count="5882" uniqueCount="1722">
  <si>
    <t>SITE_WAID</t>
  </si>
  <si>
    <t>SITE_HOST_OP</t>
  </si>
  <si>
    <t>SITE_NUMBER</t>
  </si>
  <si>
    <t>SITE_NAME</t>
  </si>
  <si>
    <t>SITE_STATE</t>
  </si>
  <si>
    <t>SITE_JV_ID</t>
  </si>
  <si>
    <t>SITE_PDT_REVISION</t>
  </si>
  <si>
    <t>SITE_PDT_REVISION_DATE</t>
  </si>
  <si>
    <t>SM_SUPPLY_AUTHORITY</t>
  </si>
  <si>
    <t>SM_SUPPLY_TYPE</t>
  </si>
  <si>
    <t>SM_AUTHORITY_ASSET_NO</t>
  </si>
  <si>
    <t>SM_SUBSTATION_ID</t>
  </si>
  <si>
    <t>SM_TRANSFORMER_CAPACITY</t>
  </si>
  <si>
    <t>SM_CABLE_SIZE</t>
  </si>
  <si>
    <t>SM_CABLE_LENGTH</t>
  </si>
  <si>
    <t>SM_CABLE_CCC_A</t>
  </si>
  <si>
    <t>SM_POA_RD</t>
  </si>
  <si>
    <t>CM_POA_RD</t>
  </si>
  <si>
    <t>SM_SPD_TYPE</t>
  </si>
  <si>
    <t>SM_SPD_RATING_A</t>
  </si>
  <si>
    <t>SM_SPD_CURVE_TYPE</t>
  </si>
  <si>
    <t>NORMAL_OPERATING_SITE_LOAD_W</t>
  </si>
  <si>
    <t>PEAK_OPERATING_SITE_LOAD_W</t>
  </si>
  <si>
    <t>PWR_CONTRAINTS</t>
  </si>
  <si>
    <t>PWR_MITIGATION_PLAN</t>
  </si>
  <si>
    <t>PWR_UPGRADE_VIABILITY</t>
  </si>
  <si>
    <t>PWR_PVA_AVAILABILITY</t>
  </si>
  <si>
    <t>PWR_CURRENT_AVAIL</t>
  </si>
  <si>
    <t>PWR_STEPBACK_REQ</t>
  </si>
  <si>
    <t>PWR_STEPBACK_PRP_VAL_A_PH</t>
  </si>
  <si>
    <t>PWR_STEPBACK_DURATION</t>
  </si>
  <si>
    <t>PWR_STEPBACK_REVISIT_DATE</t>
  </si>
  <si>
    <t>MSB_LOCATION</t>
  </si>
  <si>
    <t>MSB_TYPE</t>
  </si>
  <si>
    <t>MSB_SUPPLY_TYPE</t>
  </si>
  <si>
    <t>MSB_MAIN_SWITCH_TYPE</t>
  </si>
  <si>
    <t>MSB_MAIN_SWITCH_RATING_A</t>
  </si>
  <si>
    <t>MSB_MAIN_SWITCH_CURVE_TYPE</t>
  </si>
  <si>
    <t>IEB_LOCATION</t>
  </si>
  <si>
    <t>IEB_ISO_TYPE</t>
  </si>
  <si>
    <t>IEB_ISO_RATING_A</t>
  </si>
  <si>
    <t>IEB_ISO_CURVE_TYPE</t>
  </si>
  <si>
    <t>IEB_COS_RATING_A</t>
  </si>
  <si>
    <t>IEB_SM_CABLE_SIZE</t>
  </si>
  <si>
    <t>IEB_SM_CABLE_LENGTH</t>
  </si>
  <si>
    <t>IEB_SM_CABLE_CCC_A</t>
  </si>
  <si>
    <t>IEB_AIRCON1_MCB_Rating_A</t>
  </si>
  <si>
    <t>IEB_AIRCON2_MCB_Rating_A</t>
  </si>
  <si>
    <t>IEB_AIRCON3_MCB_Rating_A</t>
  </si>
  <si>
    <t>IEB_PSU1_MCB_Rating_A</t>
  </si>
  <si>
    <t>IEB_PSU2_MCB_Rating_A</t>
  </si>
  <si>
    <t>IEB_PSU3_MCB_Rating_A</t>
  </si>
  <si>
    <t>IEB_GEN_INLET_AVAILABILITY</t>
  </si>
  <si>
    <t>IEB_GEN_INLET_TYPE</t>
  </si>
  <si>
    <t>IEB_GEN_INLET_SUPPLY_TYPE</t>
  </si>
  <si>
    <t>IEB_GEN_INLET_LOCATION</t>
  </si>
  <si>
    <t>IEB_GEN_DEPLOYMENT_LOCATION</t>
  </si>
  <si>
    <t>IEB_GEN_LEAD_LENGTH</t>
  </si>
  <si>
    <t>IEB_GEN_TSM_DETAILS</t>
  </si>
  <si>
    <t>IDB_ISO_TYPE</t>
  </si>
  <si>
    <t>IDB_ISO_RATING_A</t>
  </si>
  <si>
    <t>IDB_ISO_CURVE_TYPE</t>
  </si>
  <si>
    <t>IDB_AIRCON1_MCB_Rating_A</t>
  </si>
  <si>
    <t>IDB_AIRCON2_MCB_Rating_A</t>
  </si>
  <si>
    <t>IDB_AIRCON3_MCB_Rating_A</t>
  </si>
  <si>
    <t>IDB_PSU1_MCB_Rating_A</t>
  </si>
  <si>
    <t>IDB_PSU2_MCB_Rating_A</t>
  </si>
  <si>
    <t>IDB_PSU3_MCB_Rating_A</t>
  </si>
  <si>
    <t>IDB_CHANGE_OVER_SWITCH_RATING_A</t>
  </si>
  <si>
    <t>PERM_GEN_OWNER</t>
  </si>
  <si>
    <t>PERM_GEN_MAKE</t>
  </si>
  <si>
    <t>PERM_GEN_MODEL</t>
  </si>
  <si>
    <t>PERM_GEN_TYPE</t>
  </si>
  <si>
    <t>PERM_GEN_KVA</t>
  </si>
  <si>
    <t>PERM_GEN_FUEL_CAP</t>
  </si>
  <si>
    <t>PERM_GEN_LOC</t>
  </si>
  <si>
    <t>PSU1_NAME</t>
  </si>
  <si>
    <t>PSU1_ASSIGNED_CARRIER</t>
  </si>
  <si>
    <t>PSU1_PSU_MODEL</t>
  </si>
  <si>
    <t>PSU1_RECTIFIER_TYPE</t>
  </si>
  <si>
    <t>PSU1_RECTIFIERS_DEPLOYED</t>
  </si>
  <si>
    <t>PSU1_RECTIFIER_RECHARGE_RATE</t>
  </si>
  <si>
    <t>PSU1_BANK1_BATT_MODEL</t>
  </si>
  <si>
    <t>PSU1_BANK1_STRING_COUNT</t>
  </si>
  <si>
    <t>PSU1_HYBRID_POWER</t>
  </si>
  <si>
    <t>PSU1_DESIGN_BBT</t>
  </si>
  <si>
    <t>PSU1_DESIGN_BBT_SON</t>
  </si>
  <si>
    <t>PSU1_POWER_LIMIT</t>
  </si>
  <si>
    <t>PSU1_PLBC_USAGE</t>
  </si>
  <si>
    <t>PSU1_PLBC_HRS</t>
  </si>
  <si>
    <t>PSU1_PLBC_PERFORMANCE</t>
  </si>
  <si>
    <t>PSU1_DC_EQUIPMENT_LOAD_W</t>
  </si>
  <si>
    <t>PSU1_DC_EQUIPMENT_LOAD_PEAK_W</t>
  </si>
  <si>
    <t>PSU2_NAME</t>
  </si>
  <si>
    <t>PSU2_ASSIGNED_CARRIER</t>
  </si>
  <si>
    <t>PSU2_PSU_MODEL</t>
  </si>
  <si>
    <t>PSU2_RECTIFIER_TYPE</t>
  </si>
  <si>
    <t>PSU2_RECTIFIERS_DEPLOYED</t>
  </si>
  <si>
    <t>PSU2_RECTIFIER_RECHARGE_RATE</t>
  </si>
  <si>
    <t>PSU2_BANK1_BATT_MODEL</t>
  </si>
  <si>
    <t>PSU2_BANK1_STRING_COUNT</t>
  </si>
  <si>
    <t>PSU2_HYBRID_POWER</t>
  </si>
  <si>
    <t>PSU2_DESIGN_BBT</t>
  </si>
  <si>
    <t>PSU2_DESIGN_BBT_SON</t>
  </si>
  <si>
    <t>PSU2_POWER_LIMIT</t>
  </si>
  <si>
    <t>PSU2_PLBC_USAGE</t>
  </si>
  <si>
    <t>PSU2_PLBC_HRS</t>
  </si>
  <si>
    <t>PSU2_PLBC_PERFORMANCE</t>
  </si>
  <si>
    <t>PSU2_DC_EQUIPMENT_LOAD_W</t>
  </si>
  <si>
    <t>PSU2_DC_EQUIPMENT_LOAD_PEAK_W</t>
  </si>
  <si>
    <t>PSU3_NAME</t>
  </si>
  <si>
    <t>PSU3_ASSIGNED_CARRIER</t>
  </si>
  <si>
    <t>PSU3_PSU_MODEL</t>
  </si>
  <si>
    <t>PSU3_RECTIFIER_TYPE</t>
  </si>
  <si>
    <t>PSU3_RECTIFIERS_DEPLOYED</t>
  </si>
  <si>
    <t>PSU3_RECTIFIER_RECHARGE_RATE</t>
  </si>
  <si>
    <t>PSU3_BANK1_BATT_MODEL</t>
  </si>
  <si>
    <t>PSU3_BANK1_STRING_COUNT</t>
  </si>
  <si>
    <t>PSU3_HYBRID_POWER</t>
  </si>
  <si>
    <t>PSU3_DESIGN_BBT</t>
  </si>
  <si>
    <t>PSU3_DESIGN_BBT_SON</t>
  </si>
  <si>
    <t>PSU3_POWER_LIMIT</t>
  </si>
  <si>
    <t>PSU3_PLBC_USAGE</t>
  </si>
  <si>
    <t>PSU3_PLBC_HRS</t>
  </si>
  <si>
    <t>PSU3_PLBC_PERFORMANCE</t>
  </si>
  <si>
    <t>PSU3_DC_EQUIPMENT_LOAD_W</t>
  </si>
  <si>
    <t>PSU3_DC_EQUIPMENT_LOAD_PEAK_W</t>
  </si>
  <si>
    <t>CPX_MODEL</t>
  </si>
  <si>
    <t>CPX_BATTERY_MODEL</t>
  </si>
  <si>
    <t>COOLING_ENC_TYPE</t>
  </si>
  <si>
    <t>COOLING_SOL</t>
  </si>
  <si>
    <t>COOLING_TOTAL_BAY</t>
  </si>
  <si>
    <t>COOLING_ECO_FAN_MODEL</t>
  </si>
  <si>
    <t>COOLING_ECO_FAN_AC_DC</t>
  </si>
  <si>
    <t>COOLING_ECO_FAN_CAP</t>
  </si>
  <si>
    <t>COOLING_AC_1_MODEL</t>
  </si>
  <si>
    <t>COOLING_AC_1_AC_DC</t>
  </si>
  <si>
    <t>COOLING_AC_1_CAP</t>
  </si>
  <si>
    <t>COOLING_AC_2_MODEL</t>
  </si>
  <si>
    <t>COOLING_AC_2_AC_DC</t>
  </si>
  <si>
    <t>COOLING_AC_2_CAP</t>
  </si>
  <si>
    <t>COOLING_AC_3_MODEL</t>
  </si>
  <si>
    <t>COOLING_AC_3_AC_DC</t>
  </si>
  <si>
    <t>COOLING_AC_3_CAP</t>
  </si>
  <si>
    <t>COOLING_AC_4_MODEL</t>
  </si>
  <si>
    <t>COOLING_AC_4_AC_DC</t>
  </si>
  <si>
    <t>COOLING_AC_4_CAP</t>
  </si>
  <si>
    <t>COOLING_ENC_HEAT_LOAD_TOT</t>
  </si>
  <si>
    <t>COOLING_AC_CAP_TOT</t>
  </si>
  <si>
    <t>COOLING_FREE_AIR_CAP_TOT</t>
  </si>
  <si>
    <t>COOLING_LOAD_DC_TOT</t>
  </si>
  <si>
    <t>DASHBOARD</t>
  </si>
  <si>
    <t>Ver</t>
  </si>
  <si>
    <t>SITE DETAILS</t>
  </si>
  <si>
    <t>WAID</t>
  </si>
  <si>
    <t>DESIGN GUIDELINES</t>
  </si>
  <si>
    <t>Host Operator</t>
  </si>
  <si>
    <t>OPTUS</t>
  </si>
  <si>
    <t></t>
  </si>
  <si>
    <t>EXISTING POWER DESIGN</t>
  </si>
  <si>
    <t>Site Number</t>
  </si>
  <si>
    <t>H8097</t>
  </si>
  <si>
    <t>EXISTING DEMAND</t>
  </si>
  <si>
    <t>Site Name</t>
  </si>
  <si>
    <t>AUSTINS FERRY</t>
  </si>
  <si>
    <t>State</t>
  </si>
  <si>
    <t>TAS</t>
  </si>
  <si>
    <t>POWER CALCULATOR</t>
  </si>
  <si>
    <t>Site Priority</t>
  </si>
  <si>
    <t>High</t>
  </si>
  <si>
    <t>PLBC CALCULATOR</t>
  </si>
  <si>
    <t>Transmission Hub</t>
  </si>
  <si>
    <t>No</t>
  </si>
  <si>
    <t>VD CALCULATOR</t>
  </si>
  <si>
    <t>JV Site ID</t>
  </si>
  <si>
    <t>JH3038</t>
  </si>
  <si>
    <t>PROPOSED POWER DESIGN</t>
  </si>
  <si>
    <t>Site Condition</t>
  </si>
  <si>
    <t>Site Upgrade</t>
  </si>
  <si>
    <t>AOP Program</t>
  </si>
  <si>
    <t>eJV 5G Upgrade OHOB</t>
  </si>
  <si>
    <t>AOP Subprogram</t>
  </si>
  <si>
    <t>DOCUMENT CONTROL</t>
  </si>
  <si>
    <t>PDT REVISION</t>
  </si>
  <si>
    <t>Revision</t>
  </si>
  <si>
    <t>A</t>
  </si>
  <si>
    <t>Date</t>
  </si>
  <si>
    <t>Description</t>
  </si>
  <si>
    <t>First version</t>
  </si>
  <si>
    <t>Power design guidelines and strategies</t>
  </si>
  <si>
    <t>CALCULATOR GUIDELINES</t>
  </si>
  <si>
    <t>l</t>
  </si>
  <si>
    <t>Use PDT calculator to review Proposed design and validate the proposal. The PDT will perform some checks and provide a error log.</t>
  </si>
  <si>
    <t xml:space="preserve">The following guidelines will cover most scenarios found in the Optus network. Escalate sites that have power arrangements fall outsides the scenarios cover in this Guideline. </t>
  </si>
  <si>
    <t>AC POWER STRATEGY</t>
  </si>
  <si>
    <t>GENERAL</t>
  </si>
  <si>
    <t>The below upgrade strategies are to be followed where it is economically not feasible or the power upgrade cost is rejected by Optus.</t>
  </si>
  <si>
    <t>Estimated costs for relevant AC Power upgrade works must still be submitted along side fall back solution</t>
  </si>
  <si>
    <t>OPTUS ONLY</t>
  </si>
  <si>
    <t>If existing AC mains supply meets the "MAXIMUM DESIGN LOAD", no upgrade is required.</t>
  </si>
  <si>
    <t xml:space="preserve">Where "MAXIMUM DESIGN LOAD" exceeds existing AC mains supply, then refer to "OPERATING + COOLING DEMAND" loads and if less than AC mains limit, </t>
  </si>
  <si>
    <t>then trial if PLBC can be implemented for the site. Escalate to Optus for approval.</t>
  </si>
  <si>
    <t xml:space="preserve">When using "OPERATING + COOLING DEMAND" loads with PLBC as the design strategy, and this solution fails, then refer to "COOLING UPGRADE/DOWNGRADE" strategy and implement in design. </t>
  </si>
  <si>
    <t>Escalate to Optus for approval.</t>
  </si>
  <si>
    <t>JOINT VENTURE</t>
  </si>
  <si>
    <t xml:space="preserve">When using "OPERATING + COOLING DEMAND" loads with PLBC as the design strategy and this solution fails, then refer to "COOLING UPGRADE/DOWNGRADE" strategy and implement in design. </t>
  </si>
  <si>
    <t>PLBC IMPLIMENTATION STRATEGY</t>
  </si>
  <si>
    <t>PLBC can assist in providing the required power to a site when AC mains is limited and upgrade is not feasible.</t>
  </si>
  <si>
    <t>The Optus PDT Calculator, PLBC Calc tab must be used to determine if the PLBC design limit is acceptable.</t>
  </si>
  <si>
    <r>
      <t>The Optus Standard "</t>
    </r>
    <r>
      <rPr>
        <b/>
        <sz val="11"/>
        <color theme="1"/>
        <rFont val="Calibri"/>
        <family val="2"/>
        <scheme val="minor"/>
      </rPr>
      <t>PLBC Enables Sites Standard Operating Procedure</t>
    </r>
    <r>
      <rPr>
        <sz val="11"/>
        <color theme="1"/>
        <rFont val="Calibri"/>
        <family val="2"/>
        <scheme val="minor"/>
      </rPr>
      <t>" must be followed to implement PLBC including:</t>
    </r>
  </si>
  <si>
    <t>○</t>
  </si>
  <si>
    <t xml:space="preserve"> Drawing Updates, Labelling Requirements and Database Update Requirements must be met. </t>
  </si>
  <si>
    <t>Number of Rectifiers should be over specified to create redundancy, minimum for a PSU that serves one Operator is 6, and for a shared / joint PSU, the minimum is 9.</t>
  </si>
  <si>
    <r>
      <t>Refer to "</t>
    </r>
    <r>
      <rPr>
        <b/>
        <sz val="11"/>
        <color theme="1"/>
        <rFont val="Calibri"/>
        <family val="2"/>
        <scheme val="minor"/>
      </rPr>
      <t>PSU Parameters &amp; Commissioning Guidelines"</t>
    </r>
    <r>
      <rPr>
        <sz val="11"/>
        <color theme="1"/>
        <rFont val="Calibri"/>
        <family val="2"/>
        <scheme val="minor"/>
      </rPr>
      <t xml:space="preserve"> for instructions how to activate PLBC.</t>
    </r>
  </si>
  <si>
    <t>PLBC LEVEL 1 - Risk Mitigation</t>
  </si>
  <si>
    <t>PDT "MAXIMUM DESIGN LOAD PEAK" value fails existing AC power supply, however, "OPERATING + COOLING DEMAND PEAK" value passes.</t>
  </si>
  <si>
    <t>PLBC "BATTERY CPACITY USAGE" indicates 0%</t>
  </si>
  <si>
    <t>No increase to battery strings (500Ah) in PLBC design.</t>
  </si>
  <si>
    <t>PLBC is enabled to mitigate risk of potential overload and tripping of MCB.</t>
  </si>
  <si>
    <t>Optus technical approval required.</t>
  </si>
  <si>
    <t>PLBC LEVEL 2 - Power Upgrade Mitigation</t>
  </si>
  <si>
    <t>PDT "MAXIMUM DESIGN LOAD  PEAK" value fails existing AC power supply</t>
  </si>
  <si>
    <t>PLBC "BATTERY CAPCITY USAGE" indicates &lt; 15%</t>
  </si>
  <si>
    <t>Increase to battery strings in PLBC design to accommodate PLBC usage.</t>
  </si>
  <si>
    <t>PLBC LEVEL 3 - Power Upgrade Not Feasible</t>
  </si>
  <si>
    <t>PDT "MAXIMUM DESIGN LOAD PEAK" value fails existing AC power supply</t>
  </si>
  <si>
    <t>PLBC "BATTERY CAPACITY USAGE" indicates &gt; 15%</t>
  </si>
  <si>
    <t>Note, 100Ah lithium batteries are more commonly available from Optus Warehouse, however, 150Ah lithium batteries can also be used if have been forecasted for applicable sites.</t>
  </si>
  <si>
    <t>Cooling upgrade/downgrade maybe required</t>
  </si>
  <si>
    <t>Load reduction assumptions maybe required</t>
  </si>
  <si>
    <t>Limit factor adjustment may be required</t>
  </si>
  <si>
    <t>PSU UPGRADE STRATEGY</t>
  </si>
  <si>
    <t>The following End of Life (EOL) legacy PSU's, including dedicated transmission PSU, must be decommissioned and replaced.</t>
  </si>
  <si>
    <t>Eltek Flatpack 1</t>
  </si>
  <si>
    <t>Hawker</t>
  </si>
  <si>
    <t>Invensys</t>
  </si>
  <si>
    <t>Huawei PSUs where;</t>
  </si>
  <si>
    <t>- additional Huawei rectifiers are required the Huawei PSU needs to be swapped out as Huawei rectifies are no longer available.</t>
  </si>
  <si>
    <t xml:space="preserve">- additional Huawei rectifiers are not required, however, the PSU is located within a Huawei PSU rack (in shelters) and the existing lead acid batteries </t>
  </si>
  <si>
    <t xml:space="preserve">  are ELO and require swapping to Lithium batteries, the whole PSU and rack is to be swapped</t>
  </si>
  <si>
    <t>- additional rectifiers are not required and exiting lead acid batteries are being retained, the Huawei PSU should be retained.</t>
  </si>
  <si>
    <t>Rectifier capacity must be increased or decreased in increments of 3 units, to ensure DC load phase balancing.</t>
  </si>
  <si>
    <t>N.B: Where 1P 230V AC supply is exists, the above is not applicable, expand as required.</t>
  </si>
  <si>
    <t>BATTERY UPGRADE</t>
  </si>
  <si>
    <t>Minimum of 500AH must be achieved per operator</t>
  </si>
  <si>
    <t>Existing VRLA batteries greater than 5 Years of age, must be replaced to Lithium Ion</t>
  </si>
  <si>
    <t>N.B: Lithium batteries are not permitted in Telstra Exchanges, use VRLA</t>
  </si>
  <si>
    <t>N.B: Some building owners will not allow Lithium batteries, use VRLA, refer to lessor agreement</t>
  </si>
  <si>
    <t>Lithium-Ion batteries must be installed if PLBC Level 2 or Level 3, is to used.</t>
  </si>
  <si>
    <t>If existing PSU capacity is 16kW or more, no upgrade is required unless indicated by the PDT.</t>
  </si>
  <si>
    <t>If existing PSU capacity is less than 18kW, PSU must be upgraded to a minimum of 18kW capacity per operator.</t>
  </si>
  <si>
    <t>COOLING UPGRADE/DOWNGRADE STRATEGY</t>
  </si>
  <si>
    <t xml:space="preserve">Cooling upgrade/downgrade can be used to reduce overall power consumption/reservation of a site, </t>
  </si>
  <si>
    <t xml:space="preserve">subject to heat load confirming air con downgrade will still provide adequate cooling. </t>
  </si>
  <si>
    <t>COOLING LEVEL 1</t>
  </si>
  <si>
    <t>EPROM Upgrade can be used on 1P 230V sites to convert air con run operation so that only 1 air cons runs at a time.</t>
  </si>
  <si>
    <t>Requires Optus approval</t>
  </si>
  <si>
    <t>COOLING LEVEL 2</t>
  </si>
  <si>
    <t>Existing A/C stacker system is converted to DC Cooling solution, HRUAC 4kW (for space constrained) shelters or</t>
  </si>
  <si>
    <t xml:space="preserve">4kW DC Split System </t>
  </si>
  <si>
    <t>EPROM VERISONS</t>
  </si>
  <si>
    <t>TBC - 1</t>
  </si>
  <si>
    <t>TBC - 2</t>
  </si>
  <si>
    <t>TBC - 3</t>
  </si>
  <si>
    <t>STANDARD DC AIR CONS</t>
  </si>
  <si>
    <t>HUA RUI 4kW DC RAC (HRUC A 040/N/E/D) - Preferred DC air con. Available from EnerSys (Part No. VAX0238). Fits in same space as 3 x L600P air cons, in stacker frame. Check cooling capacity is adequate.</t>
  </si>
  <si>
    <t>Envicool 4kW DC Split System  - Use for larger rooms. Available from Enersys (Part no. VAX0140). Note indoor control box size, 355 h x 355 w x 120 d, need to be mounted somewhere in shelter. Check cooling capacity is adequate.</t>
  </si>
  <si>
    <t>Existing mains power design</t>
  </si>
  <si>
    <t>00. AC POWER SUPPLY DETAILS</t>
  </si>
  <si>
    <t>Has a PVA been completed?</t>
  </si>
  <si>
    <t>Yes</t>
  </si>
  <si>
    <t>00.01 Service Supply Details</t>
  </si>
  <si>
    <t>Supply Authority</t>
  </si>
  <si>
    <t>Tas Networks - 132 004</t>
  </si>
  <si>
    <t>Supply Type</t>
  </si>
  <si>
    <t>3P 415V</t>
  </si>
  <si>
    <t>Pillar Number /ID / Authority Asset No.</t>
  </si>
  <si>
    <t xml:space="preserve">PID 100544 </t>
  </si>
  <si>
    <t>Substation Number / ID</t>
  </si>
  <si>
    <t xml:space="preserve">T20 0037 </t>
  </si>
  <si>
    <t>Transformer / Substation Capacity (kVA)</t>
  </si>
  <si>
    <t xml:space="preserve">315kVA  </t>
  </si>
  <si>
    <t>00.02. Service Mains Cable Details</t>
  </si>
  <si>
    <t>Size (mm2) / Type / Arrangement</t>
  </si>
  <si>
    <t xml:space="preserve">4 Core 95mm2 Aluminium  </t>
  </si>
  <si>
    <t>Length (m)</t>
  </si>
  <si>
    <t>CCC (A)</t>
  </si>
  <si>
    <t>148A</t>
  </si>
  <si>
    <t>00.03. (SPD) Service Protection Device Details</t>
  </si>
  <si>
    <t>SPD Type</t>
  </si>
  <si>
    <t>MCCB</t>
  </si>
  <si>
    <t>Rating (A)</t>
  </si>
  <si>
    <t>Curve Type</t>
  </si>
  <si>
    <t>C Curve</t>
  </si>
  <si>
    <t>00.04. Service Mains Point of Attachment (POA) Details / Service Mains Route Details</t>
  </si>
  <si>
    <t>Optus submain fed from the multi meter board on Telstra compound to the Optus shelter via UG 
conduit.</t>
  </si>
  <si>
    <t>00.05. Consumer Mains Route Details</t>
  </si>
  <si>
    <t>Consumer main fed from POLE PID 100544  to the multi meter board via Turret 904120 &amp; 2 x pit in UG conduit</t>
  </si>
  <si>
    <t>01. (MSB) MAIN SWITCH BOARD</t>
  </si>
  <si>
    <t>01.01. MSB Details</t>
  </si>
  <si>
    <t>MSB Location</t>
  </si>
  <si>
    <t>Free Standing (Leasor Compound)</t>
  </si>
  <si>
    <t>MSB Form / Type</t>
  </si>
  <si>
    <t>Free Standing GMP</t>
  </si>
  <si>
    <t>01.02. Optus Mains Switch Details</t>
  </si>
  <si>
    <t>Switch Type</t>
  </si>
  <si>
    <t>MCB</t>
  </si>
  <si>
    <t>02. (SMSB) SUB MAINS SWITCHBOARD</t>
  </si>
  <si>
    <t>(IEB) ISOLATION ENCLOSURE BOX</t>
  </si>
  <si>
    <t>02.01. SMSB Details</t>
  </si>
  <si>
    <t>SMSB Location</t>
  </si>
  <si>
    <t>Optus Enclosure Wall</t>
  </si>
  <si>
    <t>02.02. Optus Mains Isolation Switch Details</t>
  </si>
  <si>
    <t>02.03. Optus Sub-Mains Cable Details</t>
  </si>
  <si>
    <t>16mm XLPE</t>
  </si>
  <si>
    <t>02.04. IEB Load MCB Details</t>
  </si>
  <si>
    <t>A/C 1 CB Rating (A)</t>
  </si>
  <si>
    <t>A/C 2 CB Rating (A)</t>
  </si>
  <si>
    <t>A/C 3 CB Rating (A)</t>
  </si>
  <si>
    <t>PSU 1 CB Rating (A)</t>
  </si>
  <si>
    <t>PSU 2 CB Rating (A)</t>
  </si>
  <si>
    <t>PSU 3 CB Rating (A)</t>
  </si>
  <si>
    <t>02.05. Backup Generator Inlet Details</t>
  </si>
  <si>
    <t>Generator Change Over Switch Rating (A)</t>
  </si>
  <si>
    <t>Inlet Connection Type</t>
  </si>
  <si>
    <t>Clipsal or Compatible</t>
  </si>
  <si>
    <t>Inlet Location</t>
  </si>
  <si>
    <t>On enclosure wall</t>
  </si>
  <si>
    <t>*Other Inlet Location</t>
  </si>
  <si>
    <t>NA</t>
  </si>
  <si>
    <t>Genset Deployment Zone/Location</t>
  </si>
  <si>
    <t>Near inlet in compound</t>
  </si>
  <si>
    <t>Genset Lead Length (Inlet to Zone/Loc.) (m)</t>
  </si>
  <si>
    <t>Genset Traffic &amp; Safety Management Details</t>
  </si>
  <si>
    <t>NR</t>
  </si>
  <si>
    <t>(IDB) INTERNAL DISTRIBUTION BOARD</t>
  </si>
  <si>
    <t>02.07. IDB Mains Isolation Switch Details</t>
  </si>
  <si>
    <t>02.08. IDB Load MCB Details</t>
  </si>
  <si>
    <t>03. PERMANENT GENERATOR AVAILABILITY</t>
  </si>
  <si>
    <t>03.01. Permanent Generator Details</t>
  </si>
  <si>
    <t>Owner</t>
  </si>
  <si>
    <t>Make</t>
  </si>
  <si>
    <t>Model</t>
  </si>
  <si>
    <t>Type</t>
  </si>
  <si>
    <t>Capacity (kVA)</t>
  </si>
  <si>
    <t>Fuel Capacity (L)</t>
  </si>
  <si>
    <t>Generator Location</t>
  </si>
  <si>
    <t>End of Page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</si>
  <si>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</si>
  <si>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Proposed demand calculations</t>
  </si>
  <si>
    <t>DC EQUIPMENT LOADS</t>
  </si>
  <si>
    <t>HOST OPTR</t>
  </si>
  <si>
    <t>PSU 1</t>
  </si>
  <si>
    <t>ENABLED</t>
  </si>
  <si>
    <t>OPERATOR</t>
  </si>
  <si>
    <t>VODAFONE</t>
  </si>
  <si>
    <t>PSU 2</t>
  </si>
  <si>
    <t>PSU 3</t>
  </si>
  <si>
    <t>DISABLED</t>
  </si>
  <si>
    <t>SON</t>
  </si>
  <si>
    <t>eNB Equipment</t>
  </si>
  <si>
    <t>LOC.</t>
  </si>
  <si>
    <t>QTY</t>
  </si>
  <si>
    <t>NORMAL</t>
  </si>
  <si>
    <t>PEAK</t>
  </si>
  <si>
    <t>RRU4480 B28/B8 - 07+09[4*60]</t>
  </si>
  <si>
    <t>Ext.</t>
  </si>
  <si>
    <t>AHPB B28 - 700[2*80]</t>
  </si>
  <si>
    <t>RRU4466 B3/B1/B7 - 18+21+26[4*60/60/40]</t>
  </si>
  <si>
    <t>AHCA B5 - 850[2*60]</t>
  </si>
  <si>
    <t>AIR3268 B78Y - 3500[32TRx]200w</t>
  </si>
  <si>
    <t>AHEGG B3/B1 - 18+21[4*60/60]</t>
  </si>
  <si>
    <t>BBU6672</t>
  </si>
  <si>
    <t>Int.</t>
  </si>
  <si>
    <t>AVQL N78 - 3500[64TRx]320w</t>
  </si>
  <si>
    <t>AMID</t>
  </si>
  <si>
    <t>ASIM</t>
  </si>
  <si>
    <t>ABIP</t>
  </si>
  <si>
    <t>SUB TOTAL</t>
  </si>
  <si>
    <t>Watts (W)</t>
  </si>
  <si>
    <t>Amps DC (A)</t>
  </si>
  <si>
    <t>Transmission Equipment</t>
  </si>
  <si>
    <t>VR4 2+0</t>
  </si>
  <si>
    <t>Cisco NCS540</t>
  </si>
  <si>
    <t>Nokia 7250 IXR-e</t>
  </si>
  <si>
    <t>PSU DETAILS</t>
  </si>
  <si>
    <t>VERTIV 7100 [31.5kW] IDU</t>
  </si>
  <si>
    <t>CPU</t>
  </si>
  <si>
    <t>L1</t>
  </si>
  <si>
    <t>L2</t>
  </si>
  <si>
    <t>L3</t>
  </si>
  <si>
    <t>PSU Selection &amp; Configuration</t>
  </si>
  <si>
    <t>Deployment Status</t>
  </si>
  <si>
    <t>New</t>
  </si>
  <si>
    <t>PSU Model</t>
  </si>
  <si>
    <t>Rectifier Type</t>
  </si>
  <si>
    <t>VERTIV R48-3000e3 [HE 3k]</t>
  </si>
  <si>
    <t>PSU CB Size (A AC)</t>
  </si>
  <si>
    <t>Battery Recharge Rate (A DC)</t>
  </si>
  <si>
    <t>PSU Rectifier Slot Configuration</t>
  </si>
  <si>
    <t>Enabled</t>
  </si>
  <si>
    <t>Blank</t>
  </si>
  <si>
    <t>Battery Selection &amp; Configuration</t>
  </si>
  <si>
    <t>Battery Model</t>
  </si>
  <si>
    <t>LFeLi-48100ZN</t>
  </si>
  <si>
    <t>LPFG12-100S</t>
  </si>
  <si>
    <t>Battery String(s)</t>
  </si>
  <si>
    <t>Hybrid Battery Config</t>
  </si>
  <si>
    <t>PSU SUMMARY</t>
  </si>
  <si>
    <t>PSU Solution Details</t>
  </si>
  <si>
    <t>PSU Name</t>
  </si>
  <si>
    <t>PSU-1-O</t>
  </si>
  <si>
    <t>PSU-1-V</t>
  </si>
  <si>
    <t>PSU Capacity</t>
  </si>
  <si>
    <t>Watts</t>
  </si>
  <si>
    <t>Rectifiers Configured</t>
  </si>
  <si>
    <t>Unit(s)</t>
  </si>
  <si>
    <t>Recharge Load</t>
  </si>
  <si>
    <t>Available Recharge Capacity</t>
  </si>
  <si>
    <t>Total Normal DC Load</t>
  </si>
  <si>
    <t>Total Peak DC Load</t>
  </si>
  <si>
    <t>Battery Solution Details</t>
  </si>
  <si>
    <t>Expected BBT</t>
  </si>
  <si>
    <t>Hrs</t>
  </si>
  <si>
    <t>(SON Enabled) Expected BBT</t>
  </si>
  <si>
    <t>CPX DETAILS</t>
  </si>
  <si>
    <t>CPX Details</t>
  </si>
  <si>
    <t>CPX Unit</t>
  </si>
  <si>
    <t>LEGACY/VOS SHELTER &amp; ODU COOLING DETAILS</t>
  </si>
  <si>
    <t>Enclosure Details</t>
  </si>
  <si>
    <t>ERROR NOTES</t>
  </si>
  <si>
    <t>Enclosure Type</t>
  </si>
  <si>
    <t>ICS ODC</t>
  </si>
  <si>
    <t>IF A/C Capacity is OK, Free Air Cooling Capacity error can be ignored</t>
  </si>
  <si>
    <t>Cooling Solution</t>
  </si>
  <si>
    <t>Free Air</t>
  </si>
  <si>
    <t>Total Cabinet Bay(s)</t>
  </si>
  <si>
    <t>PWR Type</t>
  </si>
  <si>
    <t>Cooling Cap (W)</t>
  </si>
  <si>
    <t>Operating PWR (W)</t>
  </si>
  <si>
    <t>Inrush PWR (W)</t>
  </si>
  <si>
    <t>Eco-Fan - L1</t>
  </si>
  <si>
    <t>Air conditioner 1 - L1</t>
  </si>
  <si>
    <t>Air conditioner 2 - L2</t>
  </si>
  <si>
    <t>Air conditioner 3 - L3</t>
  </si>
  <si>
    <t>Air conditioner 4 - L1</t>
  </si>
  <si>
    <t>COOLING SUMMARY</t>
  </si>
  <si>
    <t>Enclosure Heat Load (W)</t>
  </si>
  <si>
    <t>Enclosure Heat Loads Include the Following:</t>
  </si>
  <si>
    <t>A/C Cooling Cap (Operating)</t>
  </si>
  <si>
    <t>Internal Equipment Heat Load</t>
  </si>
  <si>
    <t>Free Air Cooling Cap</t>
  </si>
  <si>
    <t>PSU Rectifier Heat Load</t>
  </si>
  <si>
    <t>Cooling Load (DC)</t>
  </si>
  <si>
    <t>This calculator currently does not support ZoneCool Shelter cooling calculations</t>
  </si>
  <si>
    <t>AC POWER DEMAND SUMMARY</t>
  </si>
  <si>
    <t>3P</t>
  </si>
  <si>
    <t>1P</t>
  </si>
  <si>
    <t>DEFINITIONS</t>
  </si>
  <si>
    <t>AC</t>
  </si>
  <si>
    <t>OPERATING DEMAND</t>
  </si>
  <si>
    <t>W</t>
  </si>
  <si>
    <t>Operating Demand - Represents equipment load only.</t>
  </si>
  <si>
    <t>A AC</t>
  </si>
  <si>
    <t>Operating + Cooling Demand - Represents the equipment load and the designed cooling solution load</t>
  </si>
  <si>
    <t>Maximum Design Load - Is calculated from the following criteria which includes situational</t>
  </si>
  <si>
    <t>OPERATING + COOLING DEMAND</t>
  </si>
  <si>
    <t>circumstances, including the following:</t>
  </si>
  <si>
    <t>DC Equipment Load, Normal &amp; Peak</t>
  </si>
  <si>
    <t>Cooling Load (Operating)</t>
  </si>
  <si>
    <t>Full Battery Recharge Rate</t>
  </si>
  <si>
    <t>MAXIMUM DESIGN LOAD</t>
  </si>
  <si>
    <t>Load Reservation for nominal amount for GPO &amp; Lights</t>
  </si>
  <si>
    <t>Losses - AC Power Summary includes rectifier losses indicated by the manufacturers</t>
  </si>
  <si>
    <t>efficiency rating</t>
  </si>
  <si>
    <t>MAINS ISOLATOR CHECK</t>
  </si>
  <si>
    <t>MCB CHECK</t>
  </si>
  <si>
    <t>PLBC DESIGN</t>
  </si>
  <si>
    <t>Existing</t>
  </si>
  <si>
    <t>Proposed</t>
  </si>
  <si>
    <t>Supply</t>
  </si>
  <si>
    <t>SERVICE MAINS SPD (A AC)</t>
  </si>
  <si>
    <t>OPTUS SUB MAINS SPD @ IEB (A AC)</t>
  </si>
  <si>
    <t>OPTUS MAINS ISO CB @ IEB (A AC)</t>
  </si>
  <si>
    <t xml:space="preserve"> </t>
  </si>
  <si>
    <t>AC POWER SUMARY</t>
  </si>
  <si>
    <t>OPTUS AC MAINS CAPACITY 
(A AC)</t>
  </si>
  <si>
    <t>EXISTING</t>
  </si>
  <si>
    <t>PROPOSED</t>
  </si>
  <si>
    <t>SUPPLY</t>
  </si>
  <si>
    <t>OPTUS MAXIMUM AC DESIGN LOAD 
(A AC)</t>
  </si>
  <si>
    <t>OPTUS SITE AC MAINS LIMIT 
USING PLBC &amp; AIR CON 
(A AC)</t>
  </si>
  <si>
    <t>Proposed mains power design</t>
  </si>
  <si>
    <t>Existing Details</t>
  </si>
  <si>
    <t>Proposed Details</t>
  </si>
  <si>
    <t>DESIGN NOTES</t>
  </si>
  <si>
    <t>NC - NO CHANGE</t>
  </si>
  <si>
    <t>This will automatically import existing data to the proposed section.</t>
  </si>
  <si>
    <t>Updating the fields will untick the field and high light the change.</t>
  </si>
  <si>
    <t>02.07. IDB Isolation Switch Details</t>
  </si>
  <si>
    <t>Switch Rating (A)</t>
  </si>
  <si>
    <t>MCB Curve Type</t>
  </si>
  <si>
    <t>02.08. MCB Details</t>
  </si>
  <si>
    <t>PSU DEPLOYMENT SUMMARY (PROPOSED)</t>
  </si>
  <si>
    <t>OK</t>
  </si>
  <si>
    <t>18000W</t>
  </si>
  <si>
    <t/>
  </si>
  <si>
    <t>6 + 3 Future</t>
  </si>
  <si>
    <t>PLBC DETAILS (PROPOSED)</t>
  </si>
  <si>
    <t>Proposed Mains Limit</t>
  </si>
  <si>
    <t>Enable PLBC Calculations</t>
  </si>
  <si>
    <t>PSU Limiting Parameters</t>
  </si>
  <si>
    <t>LIMIT</t>
  </si>
  <si>
    <t>VERTIV (A AC)</t>
  </si>
  <si>
    <t>ELTEK (A DC)</t>
  </si>
  <si>
    <t>HUAWEI (W)</t>
  </si>
  <si>
    <t>CPX DETAILS (PROPOSED)</t>
  </si>
  <si>
    <t>COOLING SUMMARY (PROPOSED)</t>
  </si>
  <si>
    <t>POWER CONTRAINT/PLAN/NOTES</t>
  </si>
  <si>
    <t>Power Constraints Summary</t>
  </si>
  <si>
    <t>Summarise AC upgrade restrictions and reasons to not progress</t>
  </si>
  <si>
    <t>Mitigation Plan Summary</t>
  </si>
  <si>
    <t>Summarise AC Upgrade mitigation proposal</t>
  </si>
  <si>
    <t>AC Upgrade Viability</t>
  </si>
  <si>
    <t>New PVA Conducted</t>
  </si>
  <si>
    <t>PROPOSAL REVIEW/VERIFICATION/APPROVAL</t>
  </si>
  <si>
    <t xml:space="preserve">The following proposal has been reviewed and verified by an electrical engineer, or an Optus Technical SME. </t>
  </si>
  <si>
    <t>Active PLBC solution requires Optus Technical SME to verify the solution.</t>
  </si>
  <si>
    <t>Name</t>
  </si>
  <si>
    <t>SARAVANAN S</t>
  </si>
  <si>
    <t>Company</t>
  </si>
  <si>
    <t>ALL TELECOS</t>
  </si>
  <si>
    <t>VERIFICATION SUMMARY</t>
  </si>
  <si>
    <t>VERIFICATION PASS</t>
  </si>
  <si>
    <t>Date: 18/09/2025 3:49:14 PM</t>
  </si>
  <si>
    <t xml:space="preserve">WAID: </t>
  </si>
  <si>
    <t>Site Number: H8097</t>
  </si>
  <si>
    <t>Site Name: AUSTINS FERRY</t>
  </si>
  <si>
    <t>The design has passed the technical verification checks.</t>
  </si>
  <si>
    <t>Existing demand calculations (NR for Optus proposal)</t>
  </si>
  <si>
    <t>ELTEK FP2 [24kW] IDU</t>
  </si>
  <si>
    <t>HUAWEI TPC600R [18kW] IDU</t>
  </si>
  <si>
    <t>SOLAR</t>
  </si>
  <si>
    <t>ELTEK FP2 [HE 3K]</t>
  </si>
  <si>
    <t>Disabled</t>
  </si>
  <si>
    <t>Maximum Design Load - Represents the optimal design criteria which includes situational</t>
  </si>
  <si>
    <t>DC Equipment Load</t>
  </si>
  <si>
    <t>Load Reservation: GPO</t>
  </si>
  <si>
    <t>Load Reservation: Lights</t>
  </si>
  <si>
    <t>Load Reservation: Full Battery Recharge Rate</t>
  </si>
  <si>
    <t>ADMIN</t>
  </si>
  <si>
    <t>OPTUS DEVLOPER MODE</t>
  </si>
  <si>
    <t>Enter the password to unlock all the configuration forms.</t>
  </si>
  <si>
    <t>Password</t>
  </si>
  <si>
    <t>CONFIGURATION PAGES</t>
  </si>
  <si>
    <t>NAME</t>
  </si>
  <si>
    <t>DESCRIPTION</t>
  </si>
  <si>
    <t>SIDE MENU CONFIG</t>
  </si>
  <si>
    <t>Application side menu configuration</t>
  </si>
  <si>
    <t>AC MAINS DETAILS DROP DOWN LIST</t>
  </si>
  <si>
    <t>Drop down options for calculator</t>
  </si>
  <si>
    <t>VDC CONFIG</t>
  </si>
  <si>
    <t>CALCULATOR DROP DOWN LIST</t>
  </si>
  <si>
    <t>DEFAULT VALUES CONFIG</t>
  </si>
  <si>
    <t>Default Values Config Table</t>
  </si>
  <si>
    <t>RECTIFIER CONFIG STANDARDS</t>
  </si>
  <si>
    <t>PSU rectifier slot options</t>
  </si>
  <si>
    <t>RAN EQUIPMENT POWER DB</t>
  </si>
  <si>
    <t>RAN Equipment Power Database</t>
  </si>
  <si>
    <t>TRANSMISSION EQUIPMENT POWER DB</t>
  </si>
  <si>
    <t>TX Equipment Power Database</t>
  </si>
  <si>
    <t>BATTERY DB</t>
  </si>
  <si>
    <t>Battery Database</t>
  </si>
  <si>
    <t>PSU DB</t>
  </si>
  <si>
    <t>PSU Database</t>
  </si>
  <si>
    <t>COOLING SOLUTIONS DB</t>
  </si>
  <si>
    <t>Cooling Solutions DB</t>
  </si>
  <si>
    <t>CPX DB</t>
  </si>
  <si>
    <t>CPX Database</t>
  </si>
  <si>
    <t>AS3008/2010 TABLE 30</t>
  </si>
  <si>
    <t>AS3008/2010 TABLE 35</t>
  </si>
  <si>
    <t>RECTIFIER DB</t>
  </si>
  <si>
    <t>PSU Rectifier Database</t>
  </si>
  <si>
    <t>AC SUMMARY WORKSHEET (EXISTING DEMAND)</t>
  </si>
  <si>
    <t>Power phase allocation breakdown worksheet for PSU</t>
  </si>
  <si>
    <t>AC SUMMARY WORKSHEET</t>
  </si>
  <si>
    <t>BATTERY BACKUP WORKSHEET</t>
  </si>
  <si>
    <t>PROPOSED DESIGN VERIFICATION</t>
  </si>
  <si>
    <t>DYNAMIC EQUIPMENT LIST WORKSHEET</t>
  </si>
  <si>
    <t>Internal worksheet for Dynamic Equipment Search function (DO NOT ALTER)</t>
  </si>
  <si>
    <t>DYNAMIC LIST COOLING OPTION WORKSHEET</t>
  </si>
  <si>
    <t>UNIT TYPE</t>
  </si>
  <si>
    <t>Peak load battery compensation calculator</t>
  </si>
  <si>
    <t>POWER INPUT DETAILS</t>
  </si>
  <si>
    <t>AC Mains Limit (A AC)</t>
  </si>
  <si>
    <t>Limit must be lower or equal to smallest MCB size in the circuit. Review all proposed MCB</t>
  </si>
  <si>
    <t>AC Phase(s)</t>
  </si>
  <si>
    <t>Proposed Solar Input Details</t>
  </si>
  <si>
    <t>DEFAULT VALUES</t>
  </si>
  <si>
    <t>Solar Hours</t>
  </si>
  <si>
    <t>Panel QTY</t>
  </si>
  <si>
    <t>Panel Power Rating (W)</t>
  </si>
  <si>
    <t>Effective Solar Harvest</t>
  </si>
  <si>
    <t>Proposed PLBC Implementation</t>
  </si>
  <si>
    <t>IMPLEMENTATION NOTES</t>
  </si>
  <si>
    <t>Temporary/Permanent</t>
  </si>
  <si>
    <t>Permanent</t>
  </si>
  <si>
    <t>"Temporary" or "Permanent" PLBC. E.g. Temporary PLBC limits applied until AC mains, DC air con upgrade completed</t>
  </si>
  <si>
    <t>Next PLBC Review Date</t>
  </si>
  <si>
    <t>If PLBC Implementation is temporary, provide PLBC review date.</t>
  </si>
  <si>
    <t>PLBC Reviewed Site</t>
  </si>
  <si>
    <t>Is this PDT populated due to PLBC review from temporary implementation?</t>
  </si>
  <si>
    <t>AC LOAD RESERVATIONS</t>
  </si>
  <si>
    <t>Air Conditioner Demand Details</t>
  </si>
  <si>
    <t>Inrush Power (W)</t>
  </si>
  <si>
    <t>Inrush Power - Maximum current draw specified in the air conditioner data sheet.</t>
  </si>
  <si>
    <t>Inrush Power can be adjust to Operational Power and utilise the AS3000 over current rule of 1.25% in extreme cases (Optus SME only)</t>
  </si>
  <si>
    <t>Assume QTY 3x A/C for power reservation for 3 phase connection regardless of actual A/C count.</t>
  </si>
  <si>
    <t>PLBC DESIGN PARAMETERS</t>
  </si>
  <si>
    <t>PSU Available Power Allocation</t>
  </si>
  <si>
    <t>Allocated</t>
  </si>
  <si>
    <t>PSU1</t>
  </si>
  <si>
    <t>PSU2</t>
  </si>
  <si>
    <t>PSU3</t>
  </si>
  <si>
    <t xml:space="preserve">Users are to allocate % available across enabled PSU and Operators. Host Operator PSU (PSU1) </t>
  </si>
  <si>
    <t>RF TRAFFIC USAGE ALLOCATION</t>
  </si>
  <si>
    <t>incurs any DC cooling demands and should maintain additional power allocation where feasible</t>
  </si>
  <si>
    <t>OFF PEAK Traffic Time (hrs) - 6 (Values can only be adjusted by Optus only)</t>
  </si>
  <si>
    <t>Single PSU consolidation is recommended for extremely limited sites</t>
  </si>
  <si>
    <t>NORMAL Traffic Time (hrs) - 12 (Values can only be adjusted by Optus only)</t>
  </si>
  <si>
    <t>Battery Capacity Design</t>
  </si>
  <si>
    <t>PEAK Traffic Time (hrs) - 6 (Values can only be adjusted by Optus only)</t>
  </si>
  <si>
    <t>Ahrs</t>
  </si>
  <si>
    <t>Update battery capacity in Calculator to reflect PLBC requirements.</t>
  </si>
  <si>
    <t>RF Traffic Usage Allocation (Optus SME Only)</t>
  </si>
  <si>
    <t>hrs</t>
  </si>
  <si>
    <t>OFF PEAK</t>
  </si>
  <si>
    <t>Load Reduction &amp; PLBC Limit Factor (Optus SME Only)</t>
  </si>
  <si>
    <t>LOAD REDUCTION &amp; PLBC LIMIT FACTOR</t>
  </si>
  <si>
    <t>%</t>
  </si>
  <si>
    <t>US LIMIT.F</t>
  </si>
  <si>
    <t>Load Reduction should only be used in extreme circumstances and additional data logging or traffic profile</t>
  </si>
  <si>
    <t>NORMAL Traffic Load - Default 100% (Values can only be adjusted by Optus only)</t>
  </si>
  <si>
    <t>trends have been identified for reduction assumptions. Requires escalation to Optus</t>
  </si>
  <si>
    <t>PEAK Traffic Load - Default 100% (Values can only be adjusted by Optus only)</t>
  </si>
  <si>
    <t>PLBC Limit Factor - Applies to the set PLBC Limit value and how much it is derated by</t>
  </si>
  <si>
    <t>LIMIT FACTOR - Default 98% (Values can only be adjusted by Optus only, where upstream breaker is larger then limit)</t>
  </si>
  <si>
    <t>PLBC LIMITS &amp; USAGE SUMMARY</t>
  </si>
  <si>
    <t>Rectifier Limit vs Power Demand</t>
  </si>
  <si>
    <t>PSU 1 - LOAD (W)</t>
  </si>
  <si>
    <t>PSU 2 - LOAD (W)</t>
  </si>
  <si>
    <t>PSU 3 - LOAD (W)</t>
  </si>
  <si>
    <t>RL</t>
  </si>
  <si>
    <t>LIMIT (W) = AC Mains Limit (W) - AC load Reservations</t>
  </si>
  <si>
    <t>E - PSU has been enabled in the calculator.</t>
  </si>
  <si>
    <t>D - PSU has been disabled in the calculator.</t>
  </si>
  <si>
    <t>NR - Not Required</t>
  </si>
  <si>
    <t>PLBC Battery Capacity Usage During Peak Time</t>
  </si>
  <si>
    <t>RECHARGE RISK INDICATOR - Indicates the Risk of available power to replenish used battery capacity.</t>
  </si>
  <si>
    <t>USAGE</t>
  </si>
  <si>
    <t>AVAIL.</t>
  </si>
  <si>
    <t>The higher the better.</t>
  </si>
  <si>
    <t>Ah</t>
  </si>
  <si>
    <t>PP - Per Phase</t>
  </si>
  <si>
    <t>RL - Rectifier Load</t>
  </si>
  <si>
    <t>Recharge Capacity over Normal and Off Peak Times</t>
  </si>
  <si>
    <t>PWR Source</t>
  </si>
  <si>
    <t>MAINS</t>
  </si>
  <si>
    <t>Battery usage must have a minimum of 300 Ah reservation for backup</t>
  </si>
  <si>
    <t>If the calculated PLBC limit is higher than the PSU capacity, PLBC is not required</t>
  </si>
  <si>
    <t>TOTAL</t>
  </si>
  <si>
    <t>Battery capacity usage calculates the draw of power above the PLBC limit during peak times</t>
  </si>
  <si>
    <t>Recharge Capacity - Calculates total power used vs available recharge capacity</t>
  </si>
  <si>
    <t>over normal and off peak times</t>
  </si>
  <si>
    <t>&lt; 0%</t>
  </si>
  <si>
    <t>Not enough power to recharged used battery capacity</t>
  </si>
  <si>
    <t>PLBC Summary</t>
  </si>
  <si>
    <t>0% &lt; 15%</t>
  </si>
  <si>
    <t>Just enough power to replace used battery capacity</t>
  </si>
  <si>
    <r>
      <t xml:space="preserve">Limit Set (A AC /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Calibri"/>
        <family val="2"/>
        <scheme val="minor"/>
      </rPr>
      <t>)</t>
    </r>
  </si>
  <si>
    <t>&gt; 15%</t>
  </si>
  <si>
    <t>Acceptable power to replace used battery capacity</t>
  </si>
  <si>
    <r>
      <t xml:space="preserve">PSU 1 - AC Limit (A AC / </t>
    </r>
    <r>
      <rPr>
        <sz val="10"/>
        <color theme="1"/>
        <rFont val="Symbol"/>
        <family val="1"/>
        <charset val="2"/>
      </rPr>
      <t>f)</t>
    </r>
  </si>
  <si>
    <r>
      <t xml:space="preserve">PSU 2 - AC Limit (PP) (A AC /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Calibri"/>
        <family val="2"/>
        <scheme val="minor"/>
      </rPr>
      <t>)</t>
    </r>
  </si>
  <si>
    <r>
      <t xml:space="preserve">PSU 3 - AC Limit (PP) (A AC /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Calibri"/>
        <family val="2"/>
        <scheme val="minor"/>
      </rPr>
      <t>)</t>
    </r>
  </si>
  <si>
    <r>
      <t xml:space="preserve">A/C Reservation (PP) (A AC /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Calibri"/>
        <family val="2"/>
        <scheme val="minor"/>
      </rPr>
      <t>)</t>
    </r>
  </si>
  <si>
    <r>
      <t xml:space="preserve">Sum of Limits (PP) (A AC /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Calibri"/>
        <family val="2"/>
        <scheme val="minor"/>
      </rPr>
      <t>)</t>
    </r>
  </si>
  <si>
    <t>PSU CONFIGURATION PARAMATERS</t>
  </si>
  <si>
    <t xml:space="preserve">Vertiv limits are based on rectifiers installed. After establishing PLBC settings, </t>
  </si>
  <si>
    <t>VERTIV (A AC) PER RECTIFIER</t>
  </si>
  <si>
    <t>re-check rectifier numbers are correct and then re-check all calculations where</t>
  </si>
  <si>
    <t>ELTEK (A DC) FOR SYSTEM</t>
  </si>
  <si>
    <t xml:space="preserve">the number of rectifiers are adjusted. </t>
  </si>
  <si>
    <r>
      <rPr>
        <b/>
        <u/>
        <sz val="10"/>
        <color theme="0" tint="-0.499984740745262"/>
        <rFont val="Calibri"/>
        <family val="2"/>
        <scheme val="minor"/>
      </rPr>
      <t>AC Limits must be to one decimal place accuracy.</t>
    </r>
    <r>
      <rPr>
        <sz val="10"/>
        <color theme="0" tint="-0.499984740745262"/>
        <rFont val="Calibri"/>
        <family val="2"/>
        <scheme val="minor"/>
      </rPr>
      <t xml:space="preserve"> Deviation from this can result in failure.</t>
    </r>
  </si>
  <si>
    <t>PSU PARAMATERS CALCULATION</t>
  </si>
  <si>
    <t>AC Current limit is calculated at 230V</t>
  </si>
  <si>
    <t>DC Current limit is calculated at 53.5V</t>
  </si>
  <si>
    <t>Voltage drop calculator</t>
  </si>
  <si>
    <t>DESIGN INPUT PARAMETERS</t>
  </si>
  <si>
    <t>DC Load and Cable Size</t>
  </si>
  <si>
    <t>Conductor Temp ℃</t>
  </si>
  <si>
    <t>When reviewing Voltage drop, ensure MCB size is correctly sized.</t>
  </si>
  <si>
    <t>DC Cable Size (mm²)</t>
  </si>
  <si>
    <t>The maximum distance requires both Voltage and Current to be in the "Green"</t>
  </si>
  <si>
    <t>MCB Size (A)</t>
  </si>
  <si>
    <t>Voltage drop is dimensioned at "BLVD". Escalate to Optus where sites are at the margin area.</t>
  </si>
  <si>
    <t>Load (W)</t>
  </si>
  <si>
    <t>VOLTAGE DROP TABLE</t>
  </si>
  <si>
    <t>Distance &amp; Voltage Drop</t>
  </si>
  <si>
    <t>Distance (m)</t>
  </si>
  <si>
    <t>VD [BLVD]</t>
  </si>
  <si>
    <t>VD [NORMAL]</t>
  </si>
  <si>
    <t>VD [BOOST]</t>
  </si>
  <si>
    <t>Voltage &amp; Current</t>
  </si>
  <si>
    <t>V @ E [BLVD]</t>
  </si>
  <si>
    <t>A DC @ CB [BLVD]</t>
  </si>
  <si>
    <t>V @ E [NORMAL]</t>
  </si>
  <si>
    <t>A DC @ CB [NORMAL]</t>
  </si>
  <si>
    <t>V @ E [BOOST]</t>
  </si>
  <si>
    <t>A DC @ CB [BOOST]</t>
  </si>
  <si>
    <t>EQUIPMENT SEARCH</t>
  </si>
  <si>
    <t>AZ</t>
  </si>
  <si>
    <t>NOTES</t>
  </si>
  <si>
    <t>[BLVD] Battery Backup Supply. The PSU is operating at battery backup voltage supply of 45.5V</t>
  </si>
  <si>
    <t>[NORMAL] Normal PSU Supply. The PSU is operating at the float voltage of 53.5V</t>
  </si>
  <si>
    <t>[BOOST] Voltage supply from a DCDC Converter boosting the voltage supply to 56V</t>
  </si>
  <si>
    <t>Dual DC Feed Cable size equivalent: 2*6mm² = 10mm², 2*10mm² = 16mm²</t>
  </si>
  <si>
    <t xml:space="preserve">The cable volt drop calculator uses the resistance Rc from Table 35 in AS/NZS 3008 at 75°C </t>
  </si>
  <si>
    <t>Reactance values Xc are from Table 30 in AS/NZS 3008 for multi-core, PVC circular conductors</t>
  </si>
  <si>
    <t>Power is sourced from PDT DB</t>
  </si>
  <si>
    <t>Voltage Drop Calculation Methodology</t>
  </si>
  <si>
    <t>I = Load current</t>
  </si>
  <si>
    <t>L = distance</t>
  </si>
  <si>
    <t>R_𝑐 = is the wire resistance in 𝝮/km</t>
  </si>
  <si>
    <t>DOCUMENT CHANGE LOG</t>
  </si>
  <si>
    <t>VER</t>
  </si>
  <si>
    <t>DATE</t>
  </si>
  <si>
    <t>BY</t>
  </si>
  <si>
    <t>UAT Release</t>
  </si>
  <si>
    <t>First Release Draft</t>
  </si>
  <si>
    <t>Stuart Leslie</t>
  </si>
  <si>
    <t>Sok Bin</t>
  </si>
  <si>
    <t>Bugfix: verification passes when not enough information was provided</t>
  </si>
  <si>
    <t>Feature Request: Added Save to PDF function for proposal report.</t>
  </si>
  <si>
    <t>Updated "Main Isolator Check" algorithm and formatting</t>
  </si>
  <si>
    <t>Bugfix: side menu build function incorrectly applying to DB sheets</t>
  </si>
  <si>
    <t>Feature Request: Added Default values for Generator Inlet Details</t>
  </si>
  <si>
    <t>Added Optional Existing Demand Calc for Applicable application requirements</t>
  </si>
  <si>
    <t>Updated mains details advice notice</t>
  </si>
  <si>
    <t>Updated document formatting</t>
  </si>
  <si>
    <t>Added Optus technical SME PLBC verification function</t>
  </si>
  <si>
    <t>Bugfix: Clearing proposal report error</t>
  </si>
  <si>
    <t>Updated CB list</t>
  </si>
  <si>
    <t xml:space="preserve">Added Limit Factor adjustment </t>
  </si>
  <si>
    <t>Updated clear function in existing mains details when selecting no for PVA.</t>
  </si>
  <si>
    <t>Added additional blank field checks</t>
  </si>
  <si>
    <t>Bugfix: Verification Error</t>
  </si>
  <si>
    <t>Function Add: Disabled formatting copy when migrating data from other calculators.</t>
  </si>
  <si>
    <t>Bugfix: Isolator CB Verification always fails</t>
  </si>
  <si>
    <t>Guideline updates</t>
  </si>
  <si>
    <t>Minor text/design notes updates</t>
  </si>
  <si>
    <t>Adjusted GPO + Lights loading</t>
  </si>
  <si>
    <t>Minor text/design notes updates &amp; guideline updates.</t>
  </si>
  <si>
    <t>Bugfix: When PSU 2 and 3 not selected causes no AC summary. Guideline wording update</t>
  </si>
  <si>
    <t>Michael van der Lit</t>
  </si>
  <si>
    <t>Bugfix: Operating Power not showing in PLBC calculator. Power reservation now shows up Operating &amp; In-rush</t>
  </si>
  <si>
    <t>FY25 Equip added</t>
  </si>
  <si>
    <t xml:space="preserve">Bug Sheet Name PRPSD-SOL’ Typo Corrected </t>
  </si>
  <si>
    <t>Tass Diakos</t>
  </si>
  <si>
    <t xml:space="preserve">Proposed Power Design Bug Corrected </t>
  </si>
  <si>
    <t>RRU6626 4-port power figures added. Calc now has values for 6p and 4p configurations.</t>
  </si>
  <si>
    <t>FY26 Equipment added</t>
  </si>
  <si>
    <t>Brendon Giang</t>
  </si>
  <si>
    <t>Updated Dashboard - Introduced revision details to capture PDT iterations for same site</t>
  </si>
  <si>
    <t>Updated PLBC-CALC. Added details to capture PLBC implementation type and ETA for review</t>
  </si>
  <si>
    <t>Updated Equipment</t>
  </si>
  <si>
    <t>Fixed calculation for available recharge capacity; did not consider DC cooling load for PSU1</t>
  </si>
  <si>
    <t>Fixed bug where RRU6626 was marked as SON</t>
  </si>
  <si>
    <t>VARIANT</t>
  </si>
  <si>
    <t>ALIAS</t>
  </si>
  <si>
    <t>TYPE</t>
  </si>
  <si>
    <t>MANUFACTURER</t>
  </si>
  <si>
    <t>OPTUS
NORMAL LOAD (W)</t>
  </si>
  <si>
    <t>OPTUS
PEAK LOAD (W)</t>
  </si>
  <si>
    <t>OEM 
NORMAL LOAD (W)</t>
  </si>
  <si>
    <t>OEM 
PEAK LOAD (W)</t>
  </si>
  <si>
    <t>Alcatel 1642</t>
  </si>
  <si>
    <t>Alcatel 1662</t>
  </si>
  <si>
    <t>Aviat MSR Radio</t>
  </si>
  <si>
    <t>Ceragon 1500HP</t>
  </si>
  <si>
    <t>Ceragon IP10 4+0 Indoor</t>
  </si>
  <si>
    <t>Ceragon IP10 10+0 split</t>
  </si>
  <si>
    <t>Ceragon IP10 2+0 Split</t>
  </si>
  <si>
    <t>Ceragon IP10 3+0 Split</t>
  </si>
  <si>
    <t>Ceragon IP10 6+0 Indoor</t>
  </si>
  <si>
    <t>Ceragon IP10 8+0 Indoor</t>
  </si>
  <si>
    <t>Ceragon IP10 10+0 Indoor</t>
  </si>
  <si>
    <t>Ceragon IP10 4+0 Split</t>
  </si>
  <si>
    <t>Ceragon IP10 6+0 Split</t>
  </si>
  <si>
    <t>Ceragon IP10 8+0 Split</t>
  </si>
  <si>
    <t>Ceragon T-MARC switch 3208H</t>
  </si>
  <si>
    <t>R6675 Router</t>
  </si>
  <si>
    <t>Ericsson Mini-Link E</t>
  </si>
  <si>
    <t>Ericsson Mini-Link TN 6P</t>
  </si>
  <si>
    <t>FBX (Hubs for STM4)</t>
  </si>
  <si>
    <t>Cisco ASR903</t>
  </si>
  <si>
    <t>FNTE - E1 Interface</t>
  </si>
  <si>
    <t>Fujitsu FLM150E-E1 Interface</t>
  </si>
  <si>
    <t>Huawei ATN-910B</t>
  </si>
  <si>
    <t>Huawei ATN-905</t>
  </si>
  <si>
    <t>Huawei ATN-950</t>
  </si>
  <si>
    <t>Huawei ATN-910C</t>
  </si>
  <si>
    <t>Huawei CX600</t>
  </si>
  <si>
    <t>Quidway S3300</t>
  </si>
  <si>
    <t>MNI 1+0 Radio</t>
  </si>
  <si>
    <t>None</t>
  </si>
  <si>
    <t>Nortel OM1400 (Hub)</t>
  </si>
  <si>
    <t>NSN 1+0 flexihopper</t>
  </si>
  <si>
    <t>NSN 1+1 flexihopper</t>
  </si>
  <si>
    <t>NSN DMR Radio</t>
  </si>
  <si>
    <t>Satellite Gear</t>
  </si>
  <si>
    <t>VR4 1+0</t>
  </si>
  <si>
    <t>VR10 3+0</t>
  </si>
  <si>
    <t>VR10 4+0</t>
  </si>
  <si>
    <t>VR10 multi-directions (6 slots used)</t>
  </si>
  <si>
    <t>VR10 multi-directions (8 slots used)</t>
  </si>
  <si>
    <t>EXAD</t>
  </si>
  <si>
    <t>iXA-HC</t>
  </si>
  <si>
    <t>Ceragon IP20N 1+0 (IDU)</t>
  </si>
  <si>
    <t>Ceragon IP20N 2+0 (IDU)</t>
  </si>
  <si>
    <t>Ceragon IP20N 3+0 (IDU)</t>
  </si>
  <si>
    <t>Ceragon IP20N 4+0 (IDU)</t>
  </si>
  <si>
    <t>Ceragon IP20N 5+0 (IDU)</t>
  </si>
  <si>
    <t>Ceragon IP20N 6+0 (IDU)</t>
  </si>
  <si>
    <t>Ceragon RFU-C (ODU)</t>
  </si>
  <si>
    <t>Ceragon RFU-HP (ODU)</t>
  </si>
  <si>
    <t>Ceragon RFU-D (ODU)</t>
  </si>
  <si>
    <t>Ceragon RFU-D-HP (ODU)</t>
  </si>
  <si>
    <t>Ceragon IP-50E (all outdoor)</t>
  </si>
  <si>
    <t>Ceragon IP-20C-HP (all outdoor)</t>
  </si>
  <si>
    <t>AH</t>
  </si>
  <si>
    <t>Recommened Recharge Rate</t>
  </si>
  <si>
    <t>Min Recharge Rate</t>
  </si>
  <si>
    <t>Maximum Recharge Rate</t>
  </si>
  <si>
    <t>BBT Quality Rate</t>
  </si>
  <si>
    <t>Width</t>
  </si>
  <si>
    <t>NOT REQUIRED</t>
  </si>
  <si>
    <t>LI-ION</t>
  </si>
  <si>
    <t>LEOCH</t>
  </si>
  <si>
    <t>LFeLi-48150ZN</t>
  </si>
  <si>
    <t>CF48100T-3U</t>
  </si>
  <si>
    <t>COSLIGHT</t>
  </si>
  <si>
    <t>AGM</t>
  </si>
  <si>
    <t>LPFG12-100HS</t>
  </si>
  <si>
    <t>LPFG12-190HS</t>
  </si>
  <si>
    <t>PLH100FT</t>
  </si>
  <si>
    <t>PLH210FT</t>
  </si>
  <si>
    <t>12FIT100</t>
  </si>
  <si>
    <t>12NDT190</t>
  </si>
  <si>
    <t>AG12v100</t>
  </si>
  <si>
    <t>NARADA</t>
  </si>
  <si>
    <t>ZBM2</t>
  </si>
  <si>
    <t>CHEM</t>
  </si>
  <si>
    <t>REDFLOW</t>
  </si>
  <si>
    <t>POLARIUM SLB48</t>
  </si>
  <si>
    <t>POLARIUM</t>
  </si>
  <si>
    <t>DEFAULT SETTINGS DATA</t>
  </si>
  <si>
    <t>RECITIFER CAPACITY</t>
  </si>
  <si>
    <t>RECTIFIER TYPE SUPPORT</t>
  </si>
  <si>
    <t>RECTIFIER MODEL SUPPORT</t>
  </si>
  <si>
    <t>RECOMMENDED MCB (A)</t>
  </si>
  <si>
    <t>CONTROLLER SUPPORT</t>
  </si>
  <si>
    <t>Rect. Deployed</t>
  </si>
  <si>
    <t>Rect. Recharge Limit</t>
  </si>
  <si>
    <t>Battery Model Bank 1</t>
  </si>
  <si>
    <t>Strings Deployed</t>
  </si>
  <si>
    <t>Hybrid</t>
  </si>
  <si>
    <t>Netsure 731 A91</t>
  </si>
  <si>
    <t>RM;SA</t>
  </si>
  <si>
    <t>VERTIV</t>
  </si>
  <si>
    <t>7100 SERIES -48V DC;3P＋N＋PE/380-415Vac;Priority Load (BLVD): 8 x 63A, 1 x 10A,Non-Priority load (LLVD): 6 x 125A, 5 x 63A</t>
  </si>
  <si>
    <t>3000;3500</t>
  </si>
  <si>
    <t>R48-3500e3;R48-3000e3</t>
  </si>
  <si>
    <t>M830B</t>
  </si>
  <si>
    <t>VERTIV 7100 [31.5kW] ODU</t>
  </si>
  <si>
    <t>Netsure 531 A31</t>
  </si>
  <si>
    <t>VERTIV 5100 [6kW]</t>
  </si>
  <si>
    <t>RM</t>
  </si>
  <si>
    <t>R48-2000e3</t>
  </si>
  <si>
    <t>M221S;M830B</t>
  </si>
  <si>
    <t>TPC600R-NCA1</t>
  </si>
  <si>
    <t>SA</t>
  </si>
  <si>
    <t>R4850G1;R4850G2</t>
  </si>
  <si>
    <t>SMU02B</t>
  </si>
  <si>
    <t>3000;2000</t>
  </si>
  <si>
    <t>FLATPACK2-HE3K;FLATPACK2-HE2K</t>
  </si>
  <si>
    <t>ELTEK FP2 [24kW] ODC</t>
  </si>
  <si>
    <t>ELTEK FP2 [36kW] IDU</t>
  </si>
  <si>
    <t>Flatpack 2 HE 3K</t>
  </si>
  <si>
    <t>ELTEK FP2 [16kW] IDU</t>
  </si>
  <si>
    <t>FLATPACK2-HE2K;FLATPACK2-2K</t>
  </si>
  <si>
    <t>ELTEK FP2 [16kW] ODC</t>
  </si>
  <si>
    <t>ELTEK FP1 [9kW] IDU</t>
  </si>
  <si>
    <t>ELTEK T36 [36kW] IDU</t>
  </si>
  <si>
    <t>FLATPACK2-HE3K</t>
  </si>
  <si>
    <t>ELTEK T36 [36kW] ODC</t>
  </si>
  <si>
    <t>INVENSYS IDU (Legacy)</t>
  </si>
  <si>
    <t>DPR 2000B</t>
  </si>
  <si>
    <t>HAWKER IDU (Legacy)</t>
  </si>
  <si>
    <t>ODU</t>
  </si>
  <si>
    <t>DPR 1000B-48</t>
  </si>
  <si>
    <t>ELTEK (1kW) ODR</t>
  </si>
  <si>
    <t>ELTEK (2kW) ODR</t>
  </si>
  <si>
    <t>UNKNOWN PSU</t>
  </si>
  <si>
    <t>OEM 
NORMAL LOAD @ 45% (W)</t>
  </si>
  <si>
    <t>OEM 
PEAK LOAD 55-60% (W)</t>
  </si>
  <si>
    <t>OEM
STDBY LOAD (W)</t>
  </si>
  <si>
    <t>OEM
POWER LOAD @ 55% (W)</t>
  </si>
  <si>
    <t>OEM
LOAD @ 75% (W)</t>
  </si>
  <si>
    <t>OEM
LOAD @ 100% (W)</t>
  </si>
  <si>
    <t xml:space="preserve">OEM Pwr ETSI Avg (W) </t>
  </si>
  <si>
    <t>FMU</t>
  </si>
  <si>
    <t>FAN</t>
  </si>
  <si>
    <t>HUAWEI</t>
  </si>
  <si>
    <t>Rack Fan Module</t>
  </si>
  <si>
    <t>EMUA</t>
  </si>
  <si>
    <t>ALARM</t>
  </si>
  <si>
    <t>Alarm Expansion Module</t>
  </si>
  <si>
    <t>EMUB</t>
  </si>
  <si>
    <t>BBU3910</t>
  </si>
  <si>
    <t>BBU</t>
  </si>
  <si>
    <t>Chassis + 2xUPEU + 1xFAN</t>
  </si>
  <si>
    <t>BBU5900</t>
  </si>
  <si>
    <t>Chassis + 2xUPEUD-02 + 1xFAN</t>
  </si>
  <si>
    <t>GTMU</t>
  </si>
  <si>
    <t>CARD</t>
  </si>
  <si>
    <t>Transmission / Processing Card</t>
  </si>
  <si>
    <t>WMPTb1</t>
  </si>
  <si>
    <t>UTRP9</t>
  </si>
  <si>
    <t>UMPTa1</t>
  </si>
  <si>
    <t>UMPTb1</t>
  </si>
  <si>
    <t>UMPTb2</t>
  </si>
  <si>
    <t>UMPTe2</t>
  </si>
  <si>
    <t>WBBPd2</t>
  </si>
  <si>
    <t>RF Base Band Processing Card</t>
  </si>
  <si>
    <t>WBBPd3</t>
  </si>
  <si>
    <t>WBBPf4</t>
  </si>
  <si>
    <t>LBBPd2</t>
  </si>
  <si>
    <t>UBBPd4</t>
  </si>
  <si>
    <t>UBBPd6</t>
  </si>
  <si>
    <t>UBBPe4</t>
  </si>
  <si>
    <t>UBBPe5</t>
  </si>
  <si>
    <t>UBBPe6</t>
  </si>
  <si>
    <t>LRFUe B28</t>
  </si>
  <si>
    <t>700[2*40]</t>
  </si>
  <si>
    <t>RFU</t>
  </si>
  <si>
    <t>MRFU B5</t>
  </si>
  <si>
    <t>850[2*40]</t>
  </si>
  <si>
    <t>MRFUd B5</t>
  </si>
  <si>
    <t>MRFU B8</t>
  </si>
  <si>
    <t>900[2*40]</t>
  </si>
  <si>
    <t>MRFUv2 B8</t>
  </si>
  <si>
    <t>900[2*20]</t>
  </si>
  <si>
    <t>MRFUd B8</t>
  </si>
  <si>
    <t>900[2*60]</t>
  </si>
  <si>
    <t>MRFUd B3</t>
  </si>
  <si>
    <t>1800[2*60]</t>
  </si>
  <si>
    <t>WRFU B1</t>
  </si>
  <si>
    <t>2100[2*40]</t>
  </si>
  <si>
    <t>WRFUe B1</t>
  </si>
  <si>
    <t>LRFUe B7</t>
  </si>
  <si>
    <t>2600[2*40]</t>
  </si>
  <si>
    <t>2600[2*60]</t>
  </si>
  <si>
    <t>RRU3268 B28</t>
  </si>
  <si>
    <t>700[2*80]</t>
  </si>
  <si>
    <t>RRU</t>
  </si>
  <si>
    <t>RRU3262 B28</t>
  </si>
  <si>
    <t>700[4*40]</t>
  </si>
  <si>
    <t>RRU5301 B28</t>
  </si>
  <si>
    <t>700[4*20]</t>
  </si>
  <si>
    <t>RRU3952 B5</t>
  </si>
  <si>
    <t>850[1*60]</t>
  </si>
  <si>
    <t>RRU3936 B8</t>
  </si>
  <si>
    <t>900[1*60]</t>
  </si>
  <si>
    <t>RRU3953 B8</t>
  </si>
  <si>
    <t>RRU3959 B8</t>
  </si>
  <si>
    <t>RRU3926 B8</t>
  </si>
  <si>
    <t>RRU3936 B5/B8</t>
  </si>
  <si>
    <t>85/09[2*20]</t>
  </si>
  <si>
    <t>RRU3929 B3</t>
  </si>
  <si>
    <t>RRU5907 B3</t>
  </si>
  <si>
    <t>RRU3953 B3</t>
  </si>
  <si>
    <t>RRU3971 B3</t>
  </si>
  <si>
    <t>1800[4*40]</t>
  </si>
  <si>
    <t>RRU5901 B3</t>
  </si>
  <si>
    <t>RRU5904 B3</t>
  </si>
  <si>
    <t>RRU3804 B1</t>
  </si>
  <si>
    <t>2100[2*60]</t>
  </si>
  <si>
    <t>RRU3806 B1</t>
  </si>
  <si>
    <t>2100[2*80]</t>
  </si>
  <si>
    <t>RRU5507 B1</t>
  </si>
  <si>
    <t>2100[4*80]</t>
  </si>
  <si>
    <t>RRU3832 B1</t>
  </si>
  <si>
    <t>2100[4*60]</t>
  </si>
  <si>
    <t>RRU3971 B1</t>
  </si>
  <si>
    <t>2100[4*40]</t>
  </si>
  <si>
    <t>RRU5904 B1</t>
  </si>
  <si>
    <t>RRU3971 B3/B1</t>
  </si>
  <si>
    <t>18+21[4*20]</t>
  </si>
  <si>
    <t>RRU5501 B3/B1</t>
  </si>
  <si>
    <t>18+21[4*80]</t>
  </si>
  <si>
    <t>RRU5502 B3/B1</t>
  </si>
  <si>
    <t>18+21[4*60]</t>
  </si>
  <si>
    <t>RRU3256 B40</t>
  </si>
  <si>
    <t>2300[4*30]</t>
  </si>
  <si>
    <t>RRU3276 B40</t>
  </si>
  <si>
    <t>2300[4*40]</t>
  </si>
  <si>
    <t>RRU3260 B7</t>
  </si>
  <si>
    <t>RRU3262 B7</t>
  </si>
  <si>
    <t>RRU3281 B7</t>
  </si>
  <si>
    <t>2600[4*40]</t>
  </si>
  <si>
    <t>AAU5271 B40</t>
  </si>
  <si>
    <t>2300[32TRx]160w</t>
  </si>
  <si>
    <t>AAU</t>
  </si>
  <si>
    <t>AAU5711 B3</t>
  </si>
  <si>
    <t>1800[N.A]N.A</t>
  </si>
  <si>
    <t>BTS3911E B3/B1</t>
  </si>
  <si>
    <t>18+21[2*5]</t>
  </si>
  <si>
    <t>BTS3911E B1/B7</t>
  </si>
  <si>
    <t>21/26[2*5]</t>
  </si>
  <si>
    <t>BBU6630</t>
  </si>
  <si>
    <t>ERICSSON</t>
  </si>
  <si>
    <t>RRU4415 B1</t>
  </si>
  <si>
    <t>RRU4428 B1</t>
  </si>
  <si>
    <t>RRU2217 B28</t>
  </si>
  <si>
    <t>RRU2212 B8</t>
  </si>
  <si>
    <t>RRU4480 B3/B1</t>
  </si>
  <si>
    <t>18+21[4*60/40]</t>
  </si>
  <si>
    <t>RRU4418N B40N</t>
  </si>
  <si>
    <t>2300[4*50]</t>
  </si>
  <si>
    <t>RRU4415 B7</t>
  </si>
  <si>
    <t>AIR6488 B42</t>
  </si>
  <si>
    <t>3500[64TRx]200w</t>
  </si>
  <si>
    <t>FSME</t>
  </si>
  <si>
    <t>NOKIA</t>
  </si>
  <si>
    <t>System module</t>
  </si>
  <si>
    <t>FSMF</t>
  </si>
  <si>
    <t>ESMB</t>
  </si>
  <si>
    <t>AMIA</t>
  </si>
  <si>
    <t>CHASSIS</t>
  </si>
  <si>
    <t>BBU Chassis</t>
  </si>
  <si>
    <t>FPFD</t>
  </si>
  <si>
    <t>Expansion card</t>
  </si>
  <si>
    <t>FSEB</t>
  </si>
  <si>
    <t>FSEE</t>
  </si>
  <si>
    <t>FIQB</t>
  </si>
  <si>
    <t>FTLB</t>
  </si>
  <si>
    <t>FTIF</t>
  </si>
  <si>
    <t>FTIB</t>
  </si>
  <si>
    <t>ASIA</t>
  </si>
  <si>
    <t>ASIB</t>
  </si>
  <si>
    <t>FBBC</t>
  </si>
  <si>
    <t>FBBA</t>
  </si>
  <si>
    <t>ABIA</t>
  </si>
  <si>
    <t>1/2</t>
  </si>
  <si>
    <t>ASIK</t>
  </si>
  <si>
    <t>ABIL</t>
  </si>
  <si>
    <t>FRPA B28</t>
  </si>
  <si>
    <t>700[1*40]</t>
  </si>
  <si>
    <t>RFM</t>
  </si>
  <si>
    <t>Flexi RF Mod 6P 6x40W LTE B28</t>
  </si>
  <si>
    <t>700[3*40]</t>
  </si>
  <si>
    <t>700[6*40]</t>
  </si>
  <si>
    <t>ARPA B28</t>
  </si>
  <si>
    <t>700[1*60]</t>
  </si>
  <si>
    <t>AirScale RF Mod 6P 6x60W LTE B28</t>
  </si>
  <si>
    <t>700[2*60]</t>
  </si>
  <si>
    <t>700[4*60]</t>
  </si>
  <si>
    <t>700[6*60]</t>
  </si>
  <si>
    <t>AHPB B28</t>
  </si>
  <si>
    <t>Airscale RRH  4P 4x80W LTE B28</t>
  </si>
  <si>
    <t>700[4*80]</t>
  </si>
  <si>
    <t>AHCA B5</t>
  </si>
  <si>
    <t>AirScale RRH 4P 4x40W / 2x60W LTE 850MHz</t>
  </si>
  <si>
    <t>850[2*60]</t>
  </si>
  <si>
    <t>850[4*40]</t>
  </si>
  <si>
    <t>ARCA B5</t>
  </si>
  <si>
    <t>850[1*80]</t>
  </si>
  <si>
    <t>AirScale RF Mod 6P 6x80W LTE 800MHz Bd5</t>
  </si>
  <si>
    <t>850[2*80]</t>
  </si>
  <si>
    <t>850[3*80]</t>
  </si>
  <si>
    <t>850[4*80]</t>
  </si>
  <si>
    <t>850[6*80]</t>
  </si>
  <si>
    <t>FXDA B8</t>
  </si>
  <si>
    <t>Flexi RF Mod 6P 3x60W WCDMA 900MHz</t>
  </si>
  <si>
    <t>900[3*60]</t>
  </si>
  <si>
    <t>Flexi RF mod 6P 3x60W WCDMA 900MHz</t>
  </si>
  <si>
    <t>FXDB B8</t>
  </si>
  <si>
    <t>900[1*80]</t>
  </si>
  <si>
    <t>Flexi RF Mod 6P 3x80W WCDMA 900MHz</t>
  </si>
  <si>
    <t>900[2*80]</t>
  </si>
  <si>
    <t>900[3*80]</t>
  </si>
  <si>
    <t>Flexi RF Mod 6P 6x60W LTE 900MHz</t>
  </si>
  <si>
    <t>AIR5322 B258 (DC)</t>
  </si>
  <si>
    <t>28G/26G[8*24 AE]</t>
  </si>
  <si>
    <t>AHDB B8</t>
  </si>
  <si>
    <t>AirScale RRH 4P 2x80W LTE 900MHz B8</t>
  </si>
  <si>
    <t>ARDA B8</t>
  </si>
  <si>
    <t>AirScale RF Mod 6P 6x60W LTE B8</t>
  </si>
  <si>
    <t>900[4*80]</t>
  </si>
  <si>
    <t>900[6*80]</t>
  </si>
  <si>
    <t>AHPDA B28/B8</t>
  </si>
  <si>
    <t>07+09[2*30/30]</t>
  </si>
  <si>
    <t>AirScale RRH 4P 4x120W LTE B28+B8</t>
  </si>
  <si>
    <t>07+09[4*30/30]</t>
  </si>
  <si>
    <t>07+09[2*40/80]</t>
  </si>
  <si>
    <t>07+09[4*40/80]</t>
  </si>
  <si>
    <t>FXEB B3</t>
  </si>
  <si>
    <t>1800[1*80]</t>
  </si>
  <si>
    <t>Flexi RF Mod 6P 3x80W LTE 1800MHz</t>
  </si>
  <si>
    <t>1800[2*80]</t>
  </si>
  <si>
    <t>1800[3*80]</t>
  </si>
  <si>
    <t>FXED B3</t>
  </si>
  <si>
    <t>1800[1*60]</t>
  </si>
  <si>
    <t>Flexi RF Mod 6P 6x60W LTE 1800MHz</t>
  </si>
  <si>
    <t>1800[3*60]</t>
  </si>
  <si>
    <t>1800[4*60]</t>
  </si>
  <si>
    <t>1800[6*60]</t>
  </si>
  <si>
    <t>AREA B3</t>
  </si>
  <si>
    <t>AirScale RF Mod 6P 6x80W LTE 1800MHz Bd3</t>
  </si>
  <si>
    <t>1800[4*80]</t>
  </si>
  <si>
    <t>1800[6*80]</t>
  </si>
  <si>
    <t>AHEGA B3/B1</t>
  </si>
  <si>
    <t>18+21[2*40/40]</t>
  </si>
  <si>
    <t>AirScale RRH 4P 2x120W bands LTE B1+B3</t>
  </si>
  <si>
    <t>18+21[2*60/60]</t>
  </si>
  <si>
    <t>AHEGB B3/B1</t>
  </si>
  <si>
    <t>18+21[2*20/20]</t>
  </si>
  <si>
    <t>AirScale RRH 4P 4x40Wx2 bands LTE B1+B3</t>
  </si>
  <si>
    <t>18+21[4*20/20]</t>
  </si>
  <si>
    <t>18+21[4*40/40]</t>
  </si>
  <si>
    <t>AHEGC B3/B1</t>
  </si>
  <si>
    <t>18+21[2*30/30]</t>
  </si>
  <si>
    <t>AirScale RRH 4P 4x50Wx2 bands LTE B1+B3</t>
  </si>
  <si>
    <t>18+21[4*30/30]</t>
  </si>
  <si>
    <t>18+21[2*40/60]</t>
  </si>
  <si>
    <t>18+21[4*40/60]</t>
  </si>
  <si>
    <t>FRGF B1</t>
  </si>
  <si>
    <t>2100[1*60]</t>
  </si>
  <si>
    <t>Flexi RF Mod 6P 3x60W WCDMA 2100MHz</t>
  </si>
  <si>
    <t>2100[3*60]</t>
  </si>
  <si>
    <t>FRGT B1</t>
  </si>
  <si>
    <t>2100[1*80]</t>
  </si>
  <si>
    <t>Flexi RF Mod 6P 3x80W WCDMA 2100MHz</t>
  </si>
  <si>
    <t>3G2100[2*80]</t>
  </si>
  <si>
    <t>3G2100[3*80]</t>
  </si>
  <si>
    <t>Flexi RF Mod 6P 3x80W LTE 2100MHz</t>
  </si>
  <si>
    <t>2100[3*80]</t>
  </si>
  <si>
    <t>FRGU B1</t>
  </si>
  <si>
    <t>3G2100[1*60]</t>
  </si>
  <si>
    <t>Flexi RF Mod 6P 6x60W WCDMA 2100MHz</t>
  </si>
  <si>
    <t>3G2100[2*60]</t>
  </si>
  <si>
    <t>3G2100[3*60]</t>
  </si>
  <si>
    <t>3G2100[4*60]</t>
  </si>
  <si>
    <t>3G2100[6*60]</t>
  </si>
  <si>
    <t>Flexi RF Mod 6P 6x60W LTE 2100MHz</t>
  </si>
  <si>
    <t>2100[6*60]</t>
  </si>
  <si>
    <t>ARGA B1</t>
  </si>
  <si>
    <t>AirScale RF Mod 6P 6x80W LTE 2100MHz Bd1</t>
  </si>
  <si>
    <t>2100[6*80]</t>
  </si>
  <si>
    <t>FZNI B40</t>
  </si>
  <si>
    <t>2300[2*30]</t>
  </si>
  <si>
    <t>Flexi RRH 4P 4x30W LTE 2300MHz</t>
  </si>
  <si>
    <t>AZNA B40</t>
  </si>
  <si>
    <t>2300[2*40]</t>
  </si>
  <si>
    <t>Airscale RRH 4P 4x40W LTE 2300MHz</t>
  </si>
  <si>
    <t>FRHF B7</t>
  </si>
  <si>
    <t>2600[1*40]</t>
  </si>
  <si>
    <t>Flexi RF Mod 6P 6x40W LTE B7</t>
  </si>
  <si>
    <t>2600[3*40]</t>
  </si>
  <si>
    <t>2600[6*40]</t>
  </si>
  <si>
    <t>AHHB B7</t>
  </si>
  <si>
    <t>Airscale RRH 4P 4x40W LTE 2600MHz</t>
  </si>
  <si>
    <t>AANB B40</t>
  </si>
  <si>
    <t>2300[32TRx]120w</t>
  </si>
  <si>
    <t xml:space="preserve"> AirScale MAA 64TRx 120W TDD LTE B40</t>
  </si>
  <si>
    <t>2300[64TRx]120w</t>
  </si>
  <si>
    <t>AEQB B42</t>
  </si>
  <si>
    <t>AirScale MAA 64TRx 200W 5G B42</t>
  </si>
  <si>
    <t>3500[64TRx][eCPRI]200w</t>
  </si>
  <si>
    <t>AEQN N78</t>
  </si>
  <si>
    <t>3500[32TRx]80w</t>
  </si>
  <si>
    <t>AirScale MAA 32TRx 80W 5G n78</t>
  </si>
  <si>
    <t>AEQP N78</t>
  </si>
  <si>
    <t>AirScale MAA 64TRx 200W 5G B42+B43</t>
  </si>
  <si>
    <t>AZQG N78</t>
  </si>
  <si>
    <t>3500[8*40]</t>
  </si>
  <si>
    <t>AirScale RRH 8P 8x40W 5G n78</t>
  </si>
  <si>
    <t>AEUC N257</t>
  </si>
  <si>
    <t>28G[2*256 AE]</t>
  </si>
  <si>
    <t>AirScale MAA mmW 8x8W 26MHz n258</t>
  </si>
  <si>
    <t>AEUF N257</t>
  </si>
  <si>
    <t>AirScale MAA mmW 2x8W 5G n78/n257</t>
  </si>
  <si>
    <t>FW2PC B28</t>
  </si>
  <si>
    <t>700[2*20]</t>
  </si>
  <si>
    <t>FlexiZone Mini Macro Outdoor 2P 2x20W B28</t>
  </si>
  <si>
    <t>FW2EA B3</t>
  </si>
  <si>
    <t>1800[2*20]</t>
  </si>
  <si>
    <t>FlexiZone Mini Macro Outdoor 2P 2x20W B3</t>
  </si>
  <si>
    <t>FW2HA B7</t>
  </si>
  <si>
    <t>2600[2*20]</t>
  </si>
  <si>
    <t>FlexiZone Mini Macro Outdoor 2P 2x20W B7</t>
  </si>
  <si>
    <t>FW2EHWB B3/B7</t>
  </si>
  <si>
    <t>18+26+WiFi[2*5]</t>
  </si>
  <si>
    <t>FlexiZone Multi Band Outdoor 2P 2x5W B3+B7+ WiFi</t>
  </si>
  <si>
    <t>FW2EHB B3/B7</t>
  </si>
  <si>
    <t>18+26[2*5]</t>
  </si>
  <si>
    <t>FlexiZone Multi Band Outdoor 2P 2x5W B3+B7</t>
  </si>
  <si>
    <t>RRU2219 B28</t>
  </si>
  <si>
    <t>Ericsson B28, 2×80w</t>
  </si>
  <si>
    <t>700[2*50]</t>
  </si>
  <si>
    <t>Ericsson B28, 2×50w</t>
  </si>
  <si>
    <t>RRU2219 B8</t>
  </si>
  <si>
    <t>Ericsson B0A, 2×40w</t>
  </si>
  <si>
    <t>AEQK B78</t>
  </si>
  <si>
    <t>AirScale MAA 64TRx 80W 5G n78</t>
  </si>
  <si>
    <t>AIR3239 B78F</t>
  </si>
  <si>
    <t>3500[32TRx]100w</t>
  </si>
  <si>
    <t>Ericsson AAS, 32Trx B78C</t>
  </si>
  <si>
    <t>AIR3239 B40</t>
  </si>
  <si>
    <t>2300[32TRx]100w</t>
  </si>
  <si>
    <t>Ericsson AAU, 32Trx 100w B40</t>
  </si>
  <si>
    <t>AENQA B78</t>
  </si>
  <si>
    <t>23+35[32TRx]200w</t>
  </si>
  <si>
    <t>AIR6312 B78F</t>
  </si>
  <si>
    <t>23+35[32Trx]100w</t>
  </si>
  <si>
    <t xml:space="preserve">Ericsson AAS, Dual Band B40+B78 32Trx/32Trx, 100w </t>
  </si>
  <si>
    <t>RRU5909 B8</t>
  </si>
  <si>
    <t>Huawei RRU; 900MHz; 2T2R; 2*60w</t>
  </si>
  <si>
    <t>RRU5909 B3</t>
  </si>
  <si>
    <t>Huawei RRU; 1800MHz; 2T2R; 2*60w</t>
  </si>
  <si>
    <t>RRU4480 B28/B8</t>
  </si>
  <si>
    <t>07+09[4*60]</t>
  </si>
  <si>
    <t>Ericsson Dual Band, 4x60w B8, 4x40 B28</t>
  </si>
  <si>
    <t>07+09[4*40]</t>
  </si>
  <si>
    <t>Ericsson Dual Band, 4x40w per band</t>
  </si>
  <si>
    <t>RRU5309</t>
  </si>
  <si>
    <t>Huawei RRU; 700MHz; 4T4R; 4*40w</t>
  </si>
  <si>
    <t>RRU5304</t>
  </si>
  <si>
    <t>Huawei RRU; 2600MHz; 4T4R; 4*40w</t>
  </si>
  <si>
    <t>AIR1281 B257 (DC)</t>
  </si>
  <si>
    <t>28G[4*24 AE]</t>
  </si>
  <si>
    <t>07+09[2*15]</t>
  </si>
  <si>
    <t>700[4x20]</t>
  </si>
  <si>
    <t>07+09[4*20/20]</t>
  </si>
  <si>
    <t>700[4*20/20]</t>
  </si>
  <si>
    <t>AAU5726</t>
  </si>
  <si>
    <t>RRU5304W B28</t>
  </si>
  <si>
    <t>2600[4*20]</t>
  </si>
  <si>
    <t>RRU8863 B42</t>
  </si>
  <si>
    <t>3500[8*20]</t>
  </si>
  <si>
    <t>07+09[4*15/15]</t>
  </si>
  <si>
    <t>AZQI N78</t>
  </si>
  <si>
    <t>AENA B40</t>
  </si>
  <si>
    <t>2300[64TRx]200w</t>
  </si>
  <si>
    <t>AENB B40</t>
  </si>
  <si>
    <t>2300[32TRx]240w</t>
  </si>
  <si>
    <t>AEUB N257</t>
  </si>
  <si>
    <t>28GHz[2*256 AE]</t>
  </si>
  <si>
    <t>AEQE N78</t>
  </si>
  <si>
    <t>AHPCDB B28/B5/B8</t>
  </si>
  <si>
    <t>07+85+09[2*2*60]</t>
  </si>
  <si>
    <t>07+85+09[2*60]</t>
  </si>
  <si>
    <t>ARHA B7</t>
  </si>
  <si>
    <t>2600[1*60]</t>
  </si>
  <si>
    <t>2600[3*60]</t>
  </si>
  <si>
    <t>2600[4*60]</t>
  </si>
  <si>
    <t>2600[6*60]</t>
  </si>
  <si>
    <t>AIR6449 B42</t>
  </si>
  <si>
    <t>3500[64TRx]320w</t>
  </si>
  <si>
    <t>AIR5322 B258 (AC)</t>
  </si>
  <si>
    <t>900[4*60]</t>
  </si>
  <si>
    <t>AIR5322 B257 (DC)</t>
  </si>
  <si>
    <t>AWEUD N258</t>
  </si>
  <si>
    <t>26G[2*96 AE]</t>
  </si>
  <si>
    <t>BBU6648</t>
  </si>
  <si>
    <t>RRU8863 B40</t>
  </si>
  <si>
    <t>2300[8*40]</t>
  </si>
  <si>
    <t>2300[8*20]</t>
  </si>
  <si>
    <t>AQQL N78</t>
  </si>
  <si>
    <t>AirScale MAA 64TRx 320W 5G B42+B43</t>
  </si>
  <si>
    <t>AQQY N78</t>
  </si>
  <si>
    <t>3500[32TRx]240w</t>
  </si>
  <si>
    <t>ABIO</t>
  </si>
  <si>
    <t>Airscale Capacity Processing Card SRAN</t>
  </si>
  <si>
    <t>ASIL</t>
  </si>
  <si>
    <t>Airscale Capacity Processing Card 5G</t>
  </si>
  <si>
    <t>AIR6419 B42</t>
  </si>
  <si>
    <t>Air B42F</t>
  </si>
  <si>
    <t>AIR3278 B78K</t>
  </si>
  <si>
    <t>3500[32TRx]200w</t>
  </si>
  <si>
    <t>Ericsson AAS, 32Trx B78K</t>
  </si>
  <si>
    <t>AIR1641 B3/B1</t>
  </si>
  <si>
    <t>18+21[4*40]</t>
  </si>
  <si>
    <t>320W (160w per carrier)</t>
  </si>
  <si>
    <t>AIR5322 B257 (AC)</t>
  </si>
  <si>
    <t>B1, 900W, B3, 912W</t>
  </si>
  <si>
    <t>RRU4466 B3/B1/B7</t>
  </si>
  <si>
    <t>18+21+26[4*60/60/40]</t>
  </si>
  <si>
    <t>B1,B3,B7 60*60*40 (640w)</t>
  </si>
  <si>
    <t>RRU4419 B7</t>
  </si>
  <si>
    <t>AIR3219 B40</t>
  </si>
  <si>
    <t>AIR3268 B78Y</t>
  </si>
  <si>
    <t>AIR3268 B42</t>
  </si>
  <si>
    <t>RRU4422 B42F</t>
  </si>
  <si>
    <t>3500[4*40]</t>
  </si>
  <si>
    <t>3500[4*20]</t>
  </si>
  <si>
    <t>AHEGHA B3/B1/B7</t>
  </si>
  <si>
    <t>18+21+26[4*60/60/60]</t>
  </si>
  <si>
    <t>B3,B1,B7 4*60w (160w)</t>
  </si>
  <si>
    <t>BBU6651</t>
  </si>
  <si>
    <t>RP6651</t>
  </si>
  <si>
    <t>AIR3258 B78V</t>
  </si>
  <si>
    <t>3500[32TRx]320w</t>
  </si>
  <si>
    <t>B42, B78Y</t>
  </si>
  <si>
    <t>AKNB N78</t>
  </si>
  <si>
    <t>B40;2300</t>
  </si>
  <si>
    <t>2300[8*50]</t>
  </si>
  <si>
    <t>AHPDC B28/B8</t>
  </si>
  <si>
    <t>07+09[4*120]</t>
  </si>
  <si>
    <t>AHEGG B3/B1</t>
  </si>
  <si>
    <t>18+21[4*60/60]</t>
  </si>
  <si>
    <t>AKQJ N78</t>
  </si>
  <si>
    <t>Airscale RRH 8x40W TDD, 3420-3800MHz (n78) - 200/300MHz oBW/iBW</t>
  </si>
  <si>
    <t>3500[8*10]</t>
  </si>
  <si>
    <t>3500[8*5]</t>
  </si>
  <si>
    <t>3500[8*2]</t>
  </si>
  <si>
    <t>3500[4*10]</t>
  </si>
  <si>
    <t>3500[4*5]</t>
  </si>
  <si>
    <t>3500[4*2]</t>
  </si>
  <si>
    <t>AWGUC N258 (AC)</t>
  </si>
  <si>
    <t>26G[2*196 AE]</t>
  </si>
  <si>
    <t>AWGUD N258 (DC)</t>
  </si>
  <si>
    <t>RRU4490HP B3/B1</t>
  </si>
  <si>
    <t>AIR4435 B42</t>
  </si>
  <si>
    <t>18+21+26[4*20/20/20]</t>
  </si>
  <si>
    <t>2300[4*20]</t>
  </si>
  <si>
    <t>AWEUC N258</t>
  </si>
  <si>
    <t>AWHQE N78</t>
  </si>
  <si>
    <t>AWHQF N78</t>
  </si>
  <si>
    <t>AIR1281 B257 (AC)</t>
  </si>
  <si>
    <t>18+21+26[2*60/60/40]</t>
  </si>
  <si>
    <t>18+21+26[2*20/20/20]</t>
  </si>
  <si>
    <t>18+21[2*60/40]</t>
  </si>
  <si>
    <t>18+21+26[2*60/60/60]</t>
  </si>
  <si>
    <t>07+09[2*120]</t>
  </si>
  <si>
    <t>07+09[6*120]</t>
  </si>
  <si>
    <t>MOCN; 6 Port; 07/09; RRU;Dual Feed; WIDEBAND</t>
  </si>
  <si>
    <t xml:space="preserve">AVQC N78 </t>
  </si>
  <si>
    <t>MOCN; AAU; 32TRx; WIDEBAND</t>
  </si>
  <si>
    <t>AVQL N78</t>
  </si>
  <si>
    <t>MOCN; AAU; 64TRx; WIDEBAND</t>
  </si>
  <si>
    <t>MOCN; 4 Port; 07/09; RRU;Dual Feed; WIDEBAND</t>
  </si>
  <si>
    <t>AIR6419 B78Y</t>
  </si>
  <si>
    <t>MOCN;AAU;64TRx</t>
  </si>
  <si>
    <t>BBU6655</t>
  </si>
  <si>
    <t>RP6655</t>
  </si>
  <si>
    <t>RP6672</t>
  </si>
  <si>
    <t>ABIQ</t>
  </si>
  <si>
    <t>07+09[2*20/20]</t>
  </si>
  <si>
    <t>Ericsson Dual Band, 2x20w B28, 2x20 B8</t>
  </si>
  <si>
    <t>07+09[2*40/40]</t>
  </si>
  <si>
    <t>Ericsson Dual Band, 2x40w B28, 2x40 B8</t>
  </si>
  <si>
    <t>07+09[2*40/60]</t>
  </si>
  <si>
    <t>Ericsson Dual Band, 2x40w B28, 2x60 B8</t>
  </si>
  <si>
    <t>OEM NAME</t>
  </si>
  <si>
    <t>PWR TYPE</t>
  </si>
  <si>
    <t>APPLICATION</t>
  </si>
  <si>
    <t>COOLING CAPACITY</t>
  </si>
  <si>
    <t>Cooling Capacity (Operating)</t>
  </si>
  <si>
    <t>Cooling Capacity (Max)</t>
  </si>
  <si>
    <t>Operating Power (W)</t>
  </si>
  <si>
    <t>Inrush/Max Power (W)</t>
  </si>
  <si>
    <t>Lenmic L600P</t>
  </si>
  <si>
    <t>A/C</t>
  </si>
  <si>
    <t>SHELTER</t>
  </si>
  <si>
    <t>Emailair</t>
  </si>
  <si>
    <t>Emailair MAY 220</t>
  </si>
  <si>
    <t>Emailair MAY 180</t>
  </si>
  <si>
    <t>MHI</t>
  </si>
  <si>
    <t>MHI Split System SRK63</t>
  </si>
  <si>
    <t>SHELTER;IN-SITU</t>
  </si>
  <si>
    <t>MHI Split System SRK71</t>
  </si>
  <si>
    <t>MHI Split System SRK80</t>
  </si>
  <si>
    <t>Emailair WS066H</t>
  </si>
  <si>
    <t>Emailair WS088H</t>
  </si>
  <si>
    <t>FUJITSU</t>
  </si>
  <si>
    <t>Fujitsu AXT24</t>
  </si>
  <si>
    <t>Kelvinator</t>
  </si>
  <si>
    <t>Kelvinator KC25QW</t>
  </si>
  <si>
    <t>Panasonic</t>
  </si>
  <si>
    <t>Panasonic S-100PK1E5A</t>
  </si>
  <si>
    <t>ICS</t>
  </si>
  <si>
    <t>HRUC A 025/N/E/A</t>
  </si>
  <si>
    <t>ICS ODC;VERTIV ODC</t>
  </si>
  <si>
    <t>HRUC A 015/N/E/A</t>
  </si>
  <si>
    <t>HRUC A 040/N/D</t>
  </si>
  <si>
    <t>DC</t>
  </si>
  <si>
    <t>VERTIV ODC;ICS ODC;SHELTER</t>
  </si>
  <si>
    <t>DC Split System 48V 4kW</t>
  </si>
  <si>
    <t>L355SCD DC Eco-fan</t>
  </si>
  <si>
    <t>L350 AC Eco-fan (+DC Inverter)</t>
  </si>
  <si>
    <t>L350 AC Eco-fan</t>
  </si>
  <si>
    <t>ICS ODC FAN</t>
  </si>
  <si>
    <t>VERTIV ODC FAN</t>
  </si>
  <si>
    <t>VERTIV ODC</t>
  </si>
  <si>
    <t>SRK10YSA-W / SRC10YSA-W</t>
  </si>
  <si>
    <t>SRK13YSA-W / SRC13YSA-W</t>
  </si>
  <si>
    <t>DECON</t>
  </si>
  <si>
    <t>DGWA1-DC48V-12K</t>
  </si>
  <si>
    <t>Eltek TXN CPX</t>
  </si>
  <si>
    <t>ELTEK</t>
  </si>
  <si>
    <t>SMART PACK S</t>
  </si>
  <si>
    <t>VERTIV CPX</t>
  </si>
  <si>
    <t>Conductor Size</t>
  </si>
  <si>
    <t>REACTANCE (x_𝑐) at 50 Hz, 𝝮/km</t>
  </si>
  <si>
    <t>Single-core (see Notes 1 to 3)</t>
  </si>
  <si>
    <t>Multicore</t>
  </si>
  <si>
    <t>Trefoil (or single phase)</t>
  </si>
  <si>
    <t>Flat touching (see note 4)</t>
  </si>
  <si>
    <t>Circular conductors</t>
  </si>
  <si>
    <t>Shaped conductors</t>
  </si>
  <si>
    <t>mm²</t>
  </si>
  <si>
    <t>Elastomer</t>
  </si>
  <si>
    <t>PVC</t>
  </si>
  <si>
    <t>XLPE</t>
  </si>
  <si>
    <t>-</t>
  </si>
  <si>
    <t>NB. 8mm is not in AS3008</t>
  </si>
  <si>
    <t>Average taken between 8 and 10</t>
  </si>
  <si>
    <t>AS3008/2010</t>
  </si>
  <si>
    <t>Table 30</t>
  </si>
  <si>
    <t>REACTANCE (X_𝑐) at 50 Hz</t>
  </si>
  <si>
    <t>ALL CABLES INCLUDING ABC* BUT EXCLUDING FLEXIBLE CORDS, FLEXIBLE CABLES, MIMS CABLES AND AERIAL CABLES</t>
  </si>
  <si>
    <t>* For ABC and other twisted aerial cables, see Columns 3 and 4</t>
  </si>
  <si>
    <t>**table extract only (not complete table)</t>
  </si>
  <si>
    <t>a.c resitance (𝑅_𝑐) at 50 Hz, 𝝮/km</t>
  </si>
  <si>
    <t>Copper*</t>
  </si>
  <si>
    <t>Aluminium</t>
  </si>
  <si>
    <t>Conductor temperature, ℃</t>
  </si>
  <si>
    <t xml:space="preserve">NB. 8mm is not in AS3008 </t>
  </si>
  <si>
    <t>Table 35</t>
  </si>
  <si>
    <t>a.c resitance (𝑅_𝑐) at 50 Hz</t>
  </si>
  <si>
    <t>MULTICORE WITH CIRCULAR CONDUCTORS</t>
  </si>
  <si>
    <t>* For the a.c resitance of tinned copper conductor, multiply copper value by 1.01.</t>
  </si>
  <si>
    <t>TOP</t>
  </si>
  <si>
    <t>MIDDLE</t>
  </si>
  <si>
    <t>BOTTOM</t>
  </si>
  <si>
    <t>LINKNAME</t>
  </si>
  <si>
    <t>TAB SOURCE</t>
  </si>
  <si>
    <t>DASH</t>
  </si>
  <si>
    <t>EXT-MAINS-DT</t>
  </si>
  <si>
    <t>DES-GL</t>
  </si>
  <si>
    <t>EXT-CALC</t>
  </si>
  <si>
    <t>-----</t>
  </si>
  <si>
    <t>CALC</t>
  </si>
  <si>
    <t>PLBC-CALC</t>
  </si>
  <si>
    <t>VDC</t>
  </si>
  <si>
    <t>PRP-SOL</t>
  </si>
  <si>
    <t>PAN</t>
  </si>
  <si>
    <t>Generator Inlet Type</t>
  </si>
  <si>
    <t>Gen Owner</t>
  </si>
  <si>
    <t>Gen Supply Type</t>
  </si>
  <si>
    <t>Backup Gen Inlet Loc.</t>
  </si>
  <si>
    <t>Metering Type</t>
  </si>
  <si>
    <t>Board Location</t>
  </si>
  <si>
    <t>MSB Form/Type</t>
  </si>
  <si>
    <t>Backup Gen Deployment Zone</t>
  </si>
  <si>
    <t>1P 230V</t>
  </si>
  <si>
    <t>B Curve</t>
  </si>
  <si>
    <t>Optus</t>
  </si>
  <si>
    <t>PA Meter</t>
  </si>
  <si>
    <t>Leasor MSB Room</t>
  </si>
  <si>
    <t>Optus IEB</t>
  </si>
  <si>
    <t>SAPN - 131366</t>
  </si>
  <si>
    <t>2P 415V</t>
  </si>
  <si>
    <t>Non-compatible</t>
  </si>
  <si>
    <t>3RD Party</t>
  </si>
  <si>
    <t>On leasor designated loc.</t>
  </si>
  <si>
    <t>PA Meter - Smart</t>
  </si>
  <si>
    <t>Near inlet outside of compound</t>
  </si>
  <si>
    <t>PWC - 1800 245 092</t>
  </si>
  <si>
    <t>FCLs</t>
  </si>
  <si>
    <t>D Curve</t>
  </si>
  <si>
    <t>Other location</t>
  </si>
  <si>
    <t>Check Meter</t>
  </si>
  <si>
    <t>Free Standing (Optus Compound)</t>
  </si>
  <si>
    <t>Pillar</t>
  </si>
  <si>
    <t>Ergon - 132296</t>
  </si>
  <si>
    <t>Hybrid Solar/Battery/Generator</t>
  </si>
  <si>
    <t>RCCB</t>
  </si>
  <si>
    <t>K Curve</t>
  </si>
  <si>
    <t>Unmetered</t>
  </si>
  <si>
    <t>Other</t>
  </si>
  <si>
    <t>Energex - 136262</t>
  </si>
  <si>
    <t>3rd Party Generator</t>
  </si>
  <si>
    <t>RCBO</t>
  </si>
  <si>
    <t>Z Curve</t>
  </si>
  <si>
    <t>Essential Energy - 132080</t>
  </si>
  <si>
    <t>Optus Owned Generator</t>
  </si>
  <si>
    <t>ACB</t>
  </si>
  <si>
    <t>I Curve</t>
  </si>
  <si>
    <t>Unknown</t>
  </si>
  <si>
    <t>Ausgrid - 131388</t>
  </si>
  <si>
    <t>OCB</t>
  </si>
  <si>
    <t>Endeavour Energy - 131003</t>
  </si>
  <si>
    <t>VCB</t>
  </si>
  <si>
    <t>Jemena - 131626</t>
  </si>
  <si>
    <t>SF6</t>
  </si>
  <si>
    <t>CitiPower - 131280</t>
  </si>
  <si>
    <t>FUSED</t>
  </si>
  <si>
    <t>PowerCor - 132412</t>
  </si>
  <si>
    <t>AusNet - 131799</t>
  </si>
  <si>
    <t>United Energy - 132099</t>
  </si>
  <si>
    <t>ActewAGL - 131093</t>
  </si>
  <si>
    <t>Western Power - 131351</t>
  </si>
  <si>
    <t>Horizon Power - 132351</t>
  </si>
  <si>
    <t>Transgrid - 02 9620 0115</t>
  </si>
  <si>
    <t>Supply Voltage Levels</t>
  </si>
  <si>
    <t>Parameter</t>
  </si>
  <si>
    <t>Cable Size (mm^2)</t>
  </si>
  <si>
    <t>Temp</t>
  </si>
  <si>
    <t>Load (kW)</t>
  </si>
  <si>
    <t>Current (A DC)</t>
  </si>
  <si>
    <t xml:space="preserve">R_c (Table 35) </t>
  </si>
  <si>
    <t>[BB] PSU Supply Voltage</t>
  </si>
  <si>
    <t>[FLOAT] PSU Supply Voltage</t>
  </si>
  <si>
    <t>[BOOST] PSU Supply Voltage</t>
  </si>
  <si>
    <t>Equipt. Min Voltage</t>
  </si>
  <si>
    <t>Conductor Temp  ℃</t>
  </si>
  <si>
    <t>Operator</t>
  </si>
  <si>
    <t>MCB Size</t>
  </si>
  <si>
    <t>No.</t>
  </si>
  <si>
    <t>Y/N</t>
  </si>
  <si>
    <t>Location Options</t>
  </si>
  <si>
    <t xml:space="preserve">RECT. SLOT </t>
  </si>
  <si>
    <t>RECT. Deployed</t>
  </si>
  <si>
    <t>ODC Type</t>
  </si>
  <si>
    <t>Cabinet Size</t>
  </si>
  <si>
    <t>Cooling Options</t>
  </si>
  <si>
    <t>Shelter Type</t>
  </si>
  <si>
    <t>PSU Status</t>
  </si>
  <si>
    <t>SON TU</t>
  </si>
  <si>
    <t>Code</t>
  </si>
  <si>
    <t>Temp/Perm</t>
  </si>
  <si>
    <t>ZONECOOL A1</t>
  </si>
  <si>
    <t>O</t>
  </si>
  <si>
    <t>VIC</t>
  </si>
  <si>
    <t>Ultra</t>
  </si>
  <si>
    <t>Temporary</t>
  </si>
  <si>
    <t>Vertiv ODC</t>
  </si>
  <si>
    <t>Airconditioning</t>
  </si>
  <si>
    <t>ZONECOOL A2</t>
  </si>
  <si>
    <t>V</t>
  </si>
  <si>
    <t>NSW</t>
  </si>
  <si>
    <t>Greenfield</t>
  </si>
  <si>
    <t>B</t>
  </si>
  <si>
    <t>Upgrade</t>
  </si>
  <si>
    <t>JOINT</t>
  </si>
  <si>
    <t>ZONECOOL C3</t>
  </si>
  <si>
    <t>J</t>
  </si>
  <si>
    <t>QLD</t>
  </si>
  <si>
    <t>Medium</t>
  </si>
  <si>
    <t>C</t>
  </si>
  <si>
    <t>Re-Allocated</t>
  </si>
  <si>
    <t>IN-SITU</t>
  </si>
  <si>
    <t>VOS Shelter</t>
  </si>
  <si>
    <t>Low</t>
  </si>
  <si>
    <t>D</t>
  </si>
  <si>
    <t>Recover</t>
  </si>
  <si>
    <t>Legacy Shelter</t>
  </si>
  <si>
    <t>26G</t>
  </si>
  <si>
    <t>NT</t>
  </si>
  <si>
    <t>E</t>
  </si>
  <si>
    <t>WA</t>
  </si>
  <si>
    <t>F</t>
  </si>
  <si>
    <t>ACT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</si>
  <si>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</si>
  <si>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</si>
  <si>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</si>
  <si>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</si>
  <si>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</si>
  <si>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</si>
  <si>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</si>
  <si>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</si>
  <si>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</si>
  <si>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</si>
  <si>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</si>
  <si>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</si>
  <si>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U</t>
  </si>
  <si>
    <t>X</t>
  </si>
  <si>
    <t>Y</t>
  </si>
  <si>
    <t>Z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</si>
  <si>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</si>
  <si>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</si>
  <si>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</si>
  <si>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</si>
  <si>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</si>
  <si>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</si>
  <si>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</si>
  <si>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</si>
  <si>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</si>
  <si>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BACKUP GENERATOR INLET DETAILS</t>
  </si>
  <si>
    <t>PSU RECTIFIER SLOT CONFIG DATA</t>
  </si>
  <si>
    <t>PSU DEFAULT SLOT CONFIG</t>
  </si>
  <si>
    <t>PWR DE-RATE FACTOR (NORMAL)</t>
  </si>
  <si>
    <t>PWR DE-RATE FACTOR (PEAK)</t>
  </si>
  <si>
    <t>PSU ALIAS</t>
  </si>
  <si>
    <t>SLOT CONFIGURATION OPTIONS</t>
  </si>
  <si>
    <t>HUAWEI TPC600R [18kW] ODC</t>
  </si>
  <si>
    <t>ELTEK FP1 (9kW) IDU</t>
  </si>
  <si>
    <t>VERTIV 7100 (27kW) ODC</t>
  </si>
  <si>
    <t>RECTIFIER EFFICIENCY</t>
  </si>
  <si>
    <t>R48-3000e3</t>
  </si>
  <si>
    <t>RECTIFIER</t>
  </si>
  <si>
    <t>R48-3500e3</t>
  </si>
  <si>
    <t>VERTIV R48-3500e3 [HE 3.5K]</t>
  </si>
  <si>
    <t>R4850G2</t>
  </si>
  <si>
    <t>HUAWEI R4850G2 [HE 3K]</t>
  </si>
  <si>
    <t>FLATPACK2-HE2K</t>
  </si>
  <si>
    <t>ELTEK FP2 [HE 2K]</t>
  </si>
  <si>
    <t>FLATPACK2-2K</t>
  </si>
  <si>
    <t>ELTEK FP2 [2K]</t>
  </si>
  <si>
    <t>FLATPACK1-1K</t>
  </si>
  <si>
    <t>ELTEK FP1 [1.4K]</t>
  </si>
  <si>
    <t>R1248</t>
  </si>
  <si>
    <t>INVENSYS R1248 [1.2K]</t>
  </si>
  <si>
    <t>INVENSYS</t>
  </si>
  <si>
    <t>E2733</t>
  </si>
  <si>
    <t>INVENSYS E2733 [1.4K]</t>
  </si>
  <si>
    <t>INTERNAL [2K]</t>
  </si>
  <si>
    <t>INTERNAL [1K]</t>
  </si>
  <si>
    <t>GPO + LIGHTS (W)</t>
  </si>
  <si>
    <t>PSU1 REC CONFIG</t>
  </si>
  <si>
    <t>PHASES</t>
  </si>
  <si>
    <t>TOTAL CAPACITY</t>
  </si>
  <si>
    <t>NORMAL LOAD</t>
  </si>
  <si>
    <t>PEAK LOAD</t>
  </si>
  <si>
    <t>RECHARGE LOAD</t>
  </si>
  <si>
    <t>EFFICIENCY</t>
  </si>
  <si>
    <t>RECT</t>
  </si>
  <si>
    <t>Load Allocation Capacity (%)</t>
  </si>
  <si>
    <t>EQ Load Allocation (W)</t>
  </si>
  <si>
    <t>Over Rect Capacity Load (W)</t>
  </si>
  <si>
    <t>Load Allocation based on rectifier max</t>
  </si>
  <si>
    <t>Rect Capacity Load (%)</t>
  </si>
  <si>
    <t>DC Load including losses</t>
  </si>
  <si>
    <t>Design DC Load including losses</t>
  </si>
  <si>
    <t>Proposed Rechage Load</t>
  </si>
  <si>
    <t>Available Recharge Load Capacity</t>
  </si>
  <si>
    <t>PSU2 REC CONFIG</t>
  </si>
  <si>
    <t>PSU3 REC CONFIG</t>
  </si>
  <si>
    <t>DoD Settings</t>
  </si>
  <si>
    <t>SON Calculations</t>
  </si>
  <si>
    <t>Li-ion DOD</t>
  </si>
  <si>
    <t>AGM DOD</t>
  </si>
  <si>
    <t>Expected Load (W)</t>
  </si>
  <si>
    <t>Expected Load +SON (W)</t>
  </si>
  <si>
    <t>Bank1</t>
  </si>
  <si>
    <t>Battery</t>
  </si>
  <si>
    <t>DoD Value</t>
  </si>
  <si>
    <t>Proposed String</t>
  </si>
  <si>
    <t>TOTAL AH</t>
  </si>
  <si>
    <t>TOTAL AH AFTER SON</t>
  </si>
  <si>
    <t>Value</t>
  </si>
  <si>
    <t>Minutes</t>
  </si>
  <si>
    <t>CALCULATED BBT</t>
  </si>
  <si>
    <t>CALCULATED BBT + SON</t>
  </si>
  <si>
    <t>SUB TOTAL (W)</t>
  </si>
  <si>
    <t>FINAL LOAD</t>
  </si>
  <si>
    <t>STDBY LOAD</t>
  </si>
  <si>
    <t>AH Used before SON Active</t>
  </si>
  <si>
    <t>Derate Value</t>
  </si>
  <si>
    <t>Final Status</t>
  </si>
  <si>
    <t>Item</t>
  </si>
  <si>
    <t>Rule1</t>
  </si>
  <si>
    <t>Rule 2</t>
  </si>
  <si>
    <t>Optus mains switch in undersized @ MSB</t>
  </si>
  <si>
    <t>Optus mains isolation switch is undersized @ IEB</t>
  </si>
  <si>
    <t>PSU 1 MCB @ IEB: No proposed value or value has been entered twice</t>
  </si>
  <si>
    <t>PSU 2 MCB @ IEB: No proposed value or value has been entered twice</t>
  </si>
  <si>
    <t>PSU 3 MCB @ IEB: No proposed value or value has been entered twice</t>
  </si>
  <si>
    <t>PSU 1 MCB @ IDB: No proposed value or value has been entered twice</t>
  </si>
  <si>
    <t>PSU 2 MCB @ IDB: No proposed value or value has been entered twice</t>
  </si>
  <si>
    <t>PSU 3 MCB @ IDB: No proposed value or value has been entered twice</t>
  </si>
  <si>
    <t>PSU 1 : PLBC design has failed</t>
  </si>
  <si>
    <t>PSU 2 : PLBC design has failed</t>
  </si>
  <si>
    <t>PSU 3 : PLBC design has failed</t>
  </si>
  <si>
    <t>PSU1 : AH missmatch between calculator and PLBC design. Check battery strings or battery type in Power Calculator.</t>
  </si>
  <si>
    <t>PSU2 : AH missmatch between calculator and PLBC design. Check battery strings or battery type in Power Calculator.</t>
  </si>
  <si>
    <t>PSU3 : AH missmatch between calculator and PLBC design. Check battery strings or battery type in Power Calculator.</t>
  </si>
  <si>
    <t>No Optus mains switch proposed</t>
  </si>
  <si>
    <t>No Optus mains isolator switch proposed</t>
  </si>
  <si>
    <t>PSU 1 MCB @ IEB: Proposed Value miss matched from configured value in power calculator</t>
  </si>
  <si>
    <t>PSU 2 MCB @ IEB: Proposed Value miss matched from configured value in power calculator</t>
  </si>
  <si>
    <t>PSU 3 MCB @ IEB: Proposed Value miss matched from configured value in power calculator</t>
  </si>
  <si>
    <t>PSU 1 MCB @ IDB: Proposed Value miss matched from configured value in power calculator</t>
  </si>
  <si>
    <t>PSU 2 MCB @ IDB: Proposed Value miss matched from configured value in power calculator</t>
  </si>
  <si>
    <t>PSU 3 MCB @ IDB: Proposed Value miss matched from configured value in power calculator</t>
  </si>
  <si>
    <t>PSU MCB values @ IEB or IDB are blank</t>
  </si>
  <si>
    <t xml:space="preserve">The PLBC design has 1 or more issues </t>
  </si>
  <si>
    <t>WA ID is blank</t>
  </si>
  <si>
    <t>Site number is blank</t>
  </si>
  <si>
    <t>Site name is blank</t>
  </si>
  <si>
    <t>Inrush Current</t>
  </si>
  <si>
    <t>Dynamic eNB Equipment List Output</t>
  </si>
  <si>
    <t>Dynamic Tx Equipment List Output</t>
  </si>
  <si>
    <t>Final List</t>
  </si>
  <si>
    <t>Frequency</t>
  </si>
  <si>
    <t>Search</t>
  </si>
  <si>
    <t>ODC FAN Units</t>
  </si>
  <si>
    <t>A/C Units</t>
  </si>
  <si>
    <t>Shelter FAN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</si>
</sst>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MarkOT-Heavy"/>
      <family val="2"/>
    </font>
    <font>
      <sz val="11"/>
      <color rgb="FFFFFFFF"/>
      <name val="Calibri"/>
      <family val="2"/>
      <scheme val="minor"/>
    </font>
    <font>
      <sz val="16"/>
      <color theme="1"/>
      <name val="MarkOT-Heavy"/>
      <family val="2"/>
    </font>
    <font>
      <sz val="16"/>
      <color theme="0" tint="-0.34998626667073579"/>
      <name val="MarkOT-Heavy"/>
      <family val="2"/>
    </font>
    <font>
      <sz val="16"/>
      <color rgb="FF00A3AD"/>
      <name val="MarkOT-Heavy"/>
      <family val="2"/>
    </font>
    <font>
      <sz val="11"/>
      <color rgb="FF00A3AD"/>
      <name val="MarkOT-Heavy"/>
      <family val="2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4"/>
      <color rgb="FF00A3AD"/>
      <name val="MarkOT-Heavy"/>
      <family val="2"/>
    </font>
    <font>
      <sz val="11"/>
      <color rgb="FF00A3AD"/>
      <name val="Calibri"/>
      <family val="2"/>
      <scheme val="minor"/>
    </font>
    <font>
      <sz val="16"/>
      <color rgb="FFFFC000"/>
      <name val="MarkOT-Heavy"/>
      <family val="2"/>
    </font>
    <font>
      <sz val="10"/>
      <color theme="0" tint="-0.499984740745262"/>
      <name val="Wingdings 3"/>
      <family val="1"/>
      <charset val="2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MarkOT-Heavy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A3AD"/>
      <name val="MarkOT-Heavy"/>
      <family val="2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0" tint="-0.249977111117893"/>
      <name val="Calibri"/>
      <family val="2"/>
      <scheme val="minor"/>
    </font>
    <font>
      <sz val="18"/>
      <color theme="1"/>
      <name val="MarkOT-Heavy"/>
      <family val="2"/>
    </font>
    <font>
      <sz val="10"/>
      <color theme="0" tint="-0.499984740745262"/>
      <name val="Wingdings"/>
      <charset val="2"/>
    </font>
    <font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9"/>
      <color rgb="FF00A3AD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9"/>
      <color theme="0" tint="-0.499984740745262"/>
      <name val="Wingdings 3"/>
      <family val="1"/>
      <charset val="2"/>
    </font>
    <font>
      <sz val="8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7" tint="-0.249977111117893"/>
      <name val="MarkOT-Heavy"/>
      <family val="2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2"/>
      <color rgb="FF1F1F1F"/>
      <name val="Arial"/>
      <family val="2"/>
    </font>
    <font>
      <sz val="10"/>
      <color theme="0" tint="-0.499984740745262"/>
      <name val="Courier New"/>
      <family val="3"/>
    </font>
    <font>
      <sz val="10"/>
      <color rgb="FF00A3AD"/>
      <name val="MarkOT-Heavy"/>
      <family val="2"/>
    </font>
    <font>
      <sz val="14"/>
      <color theme="7" tint="-0.249977111117893"/>
      <name val="MarkOT-Heavy"/>
      <family val="2"/>
    </font>
    <font>
      <sz val="10"/>
      <color theme="7" tint="-0.249977111117893"/>
      <name val="MarkOT-Heavy"/>
      <family val="2"/>
    </font>
    <font>
      <sz val="10"/>
      <color theme="1"/>
      <name val="Wingdings 3"/>
      <family val="1"/>
      <charset val="2"/>
    </font>
    <font>
      <b/>
      <u/>
      <sz val="10"/>
      <color theme="0" tint="-0.499984740745262"/>
      <name val="Calibri"/>
      <family val="2"/>
      <scheme val="minor"/>
    </font>
    <font>
      <sz val="10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0"/>
      <color theme="6" tint="-0.249977111117893"/>
      <name val="Calibri"/>
      <family val="2"/>
      <scheme val="minor"/>
    </font>
    <font>
      <sz val="10"/>
      <color theme="6" tint="-0.249977111117893"/>
      <name val="Wingdings"/>
      <charset val="2"/>
    </font>
  </fonts>
  <fills count="25">
    <fill>
      <patternFill patternType="none"/>
    </fill>
    <fill>
      <patternFill patternType="gray125"/>
    </fill>
    <fill>
      <patternFill patternType="solid">
        <fgColor rgb="FF00A3A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bgColor theme="0"/>
      </patternFill>
    </fill>
    <fill>
      <patternFill patternType="solid">
        <fgColor rgb="FFFFF5EB"/>
        <bgColor indexed="64"/>
      </patternFill>
    </fill>
    <fill>
      <patternFill patternType="solid">
        <fgColor rgb="FFFF0000"/>
        <bgColor indexed="64"/>
      </patternFill>
    </fill>
    <fill>
      <patternFill patternType="lightDown">
        <bgColor theme="0" tint="-0.499984740745262"/>
      </patternFill>
    </fill>
    <fill>
      <patternFill patternType="solid">
        <fgColor rgb="FF1F49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7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1" fillId="0" borderId="0"/>
    <xf numFmtId="0" fontId="31" fillId="0" borderId="0"/>
  </cellStyleXfs>
  <cellXfs count="50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right"/>
    </xf>
    <xf numFmtId="0" fontId="7" fillId="3" borderId="0" xfId="0" applyFont="1" applyFill="1" applyAlignment="1">
      <alignment horizontal="left" vertical="center"/>
    </xf>
    <xf numFmtId="164" fontId="0" fillId="3" borderId="0" xfId="0" applyNumberFormat="1" applyFill="1"/>
    <xf numFmtId="0" fontId="0" fillId="3" borderId="0" xfId="0" applyFill="1" applyAlignment="1">
      <alignment horizontal="left" indent="1"/>
    </xf>
    <xf numFmtId="0" fontId="0" fillId="3" borderId="0" xfId="0" applyFill="1"/>
    <xf numFmtId="164" fontId="8" fillId="4" borderId="4" xfId="0" applyNumberFormat="1" applyFont="1" applyFill="1" applyBorder="1" applyAlignment="1">
      <alignment horizontal="center"/>
    </xf>
    <xf numFmtId="164" fontId="8" fillId="3" borderId="4" xfId="0" applyNumberFormat="1" applyFont="1" applyFill="1" applyBorder="1" applyAlignment="1">
      <alignment horizontal="center"/>
    </xf>
    <xf numFmtId="164" fontId="8" fillId="3" borderId="0" xfId="0" applyNumberFormat="1" applyFont="1" applyFill="1"/>
    <xf numFmtId="0" fontId="8" fillId="3" borderId="0" xfId="0" applyFont="1" applyFill="1" applyAlignment="1">
      <alignment horizontal="left" indent="1"/>
    </xf>
    <xf numFmtId="0" fontId="8" fillId="3" borderId="0" xfId="0" applyFont="1" applyFill="1"/>
    <xf numFmtId="164" fontId="2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12" fillId="3" borderId="0" xfId="0" applyFont="1" applyFill="1"/>
    <xf numFmtId="164" fontId="12" fillId="3" borderId="0" xfId="0" applyNumberFormat="1" applyFont="1" applyFill="1"/>
    <xf numFmtId="0" fontId="16" fillId="3" borderId="0" xfId="0" applyFont="1" applyFill="1" applyAlignment="1">
      <alignment vertical="top"/>
    </xf>
    <xf numFmtId="0" fontId="0" fillId="0" borderId="0" xfId="0" applyAlignment="1">
      <alignment horizontal="center"/>
    </xf>
    <xf numFmtId="0" fontId="3" fillId="2" borderId="0" xfId="1" applyFont="1" applyFill="1" applyAlignment="1">
      <alignment horizontal="left" indent="1"/>
    </xf>
    <xf numFmtId="0" fontId="20" fillId="5" borderId="4" xfId="0" applyFont="1" applyFill="1" applyBorder="1" applyAlignment="1">
      <alignment horizontal="center"/>
    </xf>
    <xf numFmtId="1" fontId="20" fillId="8" borderId="4" xfId="0" applyNumberFormat="1" applyFont="1" applyFill="1" applyBorder="1" applyAlignment="1">
      <alignment horizontal="center"/>
    </xf>
    <xf numFmtId="1" fontId="20" fillId="9" borderId="7" xfId="0" applyNumberFormat="1" applyFont="1" applyFill="1" applyBorder="1" applyAlignment="1">
      <alignment horizontal="center"/>
    </xf>
    <xf numFmtId="1" fontId="20" fillId="4" borderId="4" xfId="0" applyNumberFormat="1" applyFont="1" applyFill="1" applyBorder="1" applyAlignment="1">
      <alignment horizontal="center"/>
    </xf>
    <xf numFmtId="1" fontId="20" fillId="4" borderId="7" xfId="0" applyNumberFormat="1" applyFont="1" applyFill="1" applyBorder="1" applyAlignment="1">
      <alignment horizontal="center"/>
    </xf>
    <xf numFmtId="1" fontId="20" fillId="4" borderId="14" xfId="0" applyNumberFormat="1" applyFont="1" applyFill="1" applyBorder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0" fillId="0" borderId="4" xfId="0" applyBorder="1"/>
    <xf numFmtId="0" fontId="0" fillId="5" borderId="4" xfId="0" applyFill="1" applyBorder="1"/>
    <xf numFmtId="0" fontId="20" fillId="5" borderId="7" xfId="0" applyFont="1" applyFill="1" applyBorder="1" applyAlignment="1">
      <alignment horizontal="center"/>
    </xf>
    <xf numFmtId="0" fontId="20" fillId="10" borderId="7" xfId="0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0" fillId="3" borderId="4" xfId="0" applyFont="1" applyFill="1" applyBorder="1" applyAlignment="1">
      <alignment horizontal="left" indent="1"/>
    </xf>
    <xf numFmtId="0" fontId="18" fillId="0" borderId="10" xfId="0" applyFont="1" applyBorder="1" applyAlignment="1">
      <alignment horizontal="right"/>
    </xf>
    <xf numFmtId="0" fontId="21" fillId="0" borderId="0" xfId="0" applyFont="1" applyAlignment="1">
      <alignment horizontal="center"/>
    </xf>
    <xf numFmtId="0" fontId="21" fillId="0" borderId="1" xfId="0" applyFont="1" applyBorder="1" applyAlignment="1">
      <alignment horizontal="right" indent="1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right" indent="1"/>
    </xf>
    <xf numFmtId="0" fontId="25" fillId="13" borderId="1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top"/>
    </xf>
    <xf numFmtId="0" fontId="21" fillId="0" borderId="1" xfId="0" applyFont="1" applyBorder="1" applyAlignment="1">
      <alignment horizontal="center" vertical="top"/>
    </xf>
    <xf numFmtId="0" fontId="24" fillId="7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1" fillId="0" borderId="4" xfId="0" applyFont="1" applyBorder="1" applyAlignment="1">
      <alignment horizontal="center" vertical="top"/>
    </xf>
    <xf numFmtId="0" fontId="21" fillId="0" borderId="4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1" fontId="21" fillId="0" borderId="4" xfId="0" applyNumberFormat="1" applyFont="1" applyBorder="1" applyAlignment="1">
      <alignment horizontal="center"/>
    </xf>
    <xf numFmtId="0" fontId="21" fillId="8" borderId="4" xfId="0" applyFont="1" applyFill="1" applyBorder="1" applyAlignment="1">
      <alignment horizontal="center"/>
    </xf>
    <xf numFmtId="0" fontId="21" fillId="9" borderId="4" xfId="0" applyFont="1" applyFill="1" applyBorder="1" applyAlignment="1">
      <alignment horizontal="center"/>
    </xf>
    <xf numFmtId="1" fontId="21" fillId="8" borderId="4" xfId="0" applyNumberFormat="1" applyFont="1" applyFill="1" applyBorder="1" applyAlignment="1">
      <alignment horizontal="center"/>
    </xf>
    <xf numFmtId="1" fontId="21" fillId="9" borderId="4" xfId="0" applyNumberFormat="1" applyFont="1" applyFill="1" applyBorder="1" applyAlignment="1">
      <alignment horizontal="center"/>
    </xf>
    <xf numFmtId="16" fontId="21" fillId="0" borderId="4" xfId="0" quotePrefix="1" applyNumberFormat="1" applyFont="1" applyBorder="1" applyAlignment="1">
      <alignment horizontal="center"/>
    </xf>
    <xf numFmtId="1" fontId="21" fillId="0" borderId="4" xfId="0" applyNumberFormat="1" applyFont="1" applyBorder="1" applyAlignment="1">
      <alignment horizontal="center" wrapText="1"/>
    </xf>
    <xf numFmtId="0" fontId="17" fillId="0" borderId="4" xfId="0" applyFont="1" applyBorder="1" applyAlignment="1">
      <alignment horizontal="center"/>
    </xf>
    <xf numFmtId="1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Alignment="1">
      <alignment horizontal="center" vertical="center"/>
    </xf>
    <xf numFmtId="0" fontId="21" fillId="4" borderId="4" xfId="0" applyFont="1" applyFill="1" applyBorder="1" applyAlignment="1">
      <alignment horizontal="center"/>
    </xf>
    <xf numFmtId="0" fontId="20" fillId="3" borderId="19" xfId="0" applyFont="1" applyFill="1" applyBorder="1" applyAlignment="1">
      <alignment horizontal="left" indent="1"/>
    </xf>
    <xf numFmtId="0" fontId="21" fillId="3" borderId="0" xfId="0" applyFont="1" applyFill="1" applyAlignment="1">
      <alignment horizontal="right" indent="1"/>
    </xf>
    <xf numFmtId="0" fontId="20" fillId="3" borderId="0" xfId="0" applyFont="1" applyFill="1" applyAlignment="1">
      <alignment horizontal="left" indent="1"/>
    </xf>
    <xf numFmtId="0" fontId="0" fillId="0" borderId="4" xfId="0" applyBorder="1" applyAlignment="1">
      <alignment horizontal="left"/>
    </xf>
    <xf numFmtId="0" fontId="21" fillId="0" borderId="4" xfId="0" applyFont="1" applyBorder="1" applyAlignment="1">
      <alignment horizontal="left"/>
    </xf>
    <xf numFmtId="1" fontId="21" fillId="0" borderId="4" xfId="0" applyNumberFormat="1" applyFont="1" applyBorder="1" applyAlignment="1">
      <alignment horizontal="left"/>
    </xf>
    <xf numFmtId="0" fontId="21" fillId="0" borderId="4" xfId="0" applyFont="1" applyBorder="1" applyAlignment="1">
      <alignment horizontal="center" vertical="center"/>
    </xf>
    <xf numFmtId="0" fontId="24" fillId="0" borderId="4" xfId="2" applyFont="1" applyBorder="1" applyAlignment="1" applyProtection="1">
      <alignment horizontal="center" vertical="center"/>
      <protection hidden="1"/>
    </xf>
    <xf numFmtId="0" fontId="24" fillId="0" borderId="4" xfId="3" applyFont="1" applyBorder="1" applyAlignment="1" applyProtection="1">
      <alignment horizontal="center" vertical="center"/>
      <protection hidden="1"/>
    </xf>
    <xf numFmtId="0" fontId="6" fillId="3" borderId="0" xfId="0" applyFont="1" applyFill="1" applyAlignment="1">
      <alignment vertical="center"/>
    </xf>
    <xf numFmtId="0" fontId="6" fillId="3" borderId="3" xfId="0" applyFont="1" applyFill="1" applyBorder="1" applyAlignment="1">
      <alignment vertical="center"/>
    </xf>
    <xf numFmtId="0" fontId="14" fillId="0" borderId="0" xfId="1" applyFont="1"/>
    <xf numFmtId="1" fontId="0" fillId="3" borderId="0" xfId="0" applyNumberFormat="1" applyFill="1" applyAlignment="1">
      <alignment horizontal="center"/>
    </xf>
    <xf numFmtId="0" fontId="32" fillId="0" borderId="0" xfId="0" quotePrefix="1" applyFont="1" applyAlignment="1">
      <alignment horizontal="center"/>
    </xf>
    <xf numFmtId="0" fontId="0" fillId="0" borderId="4" xfId="0" quotePrefix="1" applyBorder="1"/>
    <xf numFmtId="9" fontId="21" fillId="0" borderId="4" xfId="0" applyNumberFormat="1" applyFont="1" applyBorder="1" applyAlignment="1">
      <alignment horizontal="center"/>
    </xf>
    <xf numFmtId="0" fontId="21" fillId="3" borderId="0" xfId="0" applyFont="1" applyFill="1"/>
    <xf numFmtId="0" fontId="21" fillId="3" borderId="4" xfId="0" applyFont="1" applyFill="1" applyBorder="1" applyAlignment="1">
      <alignment horizontal="left" indent="1"/>
    </xf>
    <xf numFmtId="0" fontId="34" fillId="0" borderId="0" xfId="0" applyFont="1" applyAlignment="1">
      <alignment horizontal="right"/>
    </xf>
    <xf numFmtId="0" fontId="26" fillId="0" borderId="0" xfId="0" applyFont="1"/>
    <xf numFmtId="0" fontId="35" fillId="0" borderId="0" xfId="0" applyFont="1"/>
    <xf numFmtId="0" fontId="36" fillId="0" borderId="0" xfId="0" applyFont="1"/>
    <xf numFmtId="0" fontId="21" fillId="0" borderId="4" xfId="2" applyFont="1" applyBorder="1" applyAlignment="1" applyProtection="1">
      <alignment horizontal="center" vertical="center"/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17" fillId="0" borderId="0" xfId="0" applyFont="1" applyAlignment="1">
      <alignment horizontal="center" vertical="top"/>
    </xf>
    <xf numFmtId="0" fontId="17" fillId="0" borderId="0" xfId="0" applyFont="1" applyAlignment="1">
      <alignment vertical="center" wrapText="1"/>
    </xf>
    <xf numFmtId="1" fontId="17" fillId="0" borderId="4" xfId="0" applyNumberFormat="1" applyFont="1" applyBorder="1" applyAlignment="1">
      <alignment horizontal="center" vertical="center"/>
    </xf>
    <xf numFmtId="9" fontId="17" fillId="0" borderId="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" fontId="36" fillId="9" borderId="4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 vertical="center"/>
    </xf>
    <xf numFmtId="1" fontId="17" fillId="17" borderId="4" xfId="0" applyNumberFormat="1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/>
    </xf>
    <xf numFmtId="1" fontId="39" fillId="17" borderId="4" xfId="0" applyNumberFormat="1" applyFont="1" applyFill="1" applyBorder="1" applyAlignment="1">
      <alignment horizontal="center"/>
    </xf>
    <xf numFmtId="1" fontId="39" fillId="17" borderId="4" xfId="0" applyNumberFormat="1" applyFont="1" applyFill="1" applyBorder="1" applyAlignment="1">
      <alignment horizontal="center" vertical="center"/>
    </xf>
    <xf numFmtId="1" fontId="36" fillId="9" borderId="4" xfId="0" applyNumberFormat="1" applyFont="1" applyFill="1" applyBorder="1" applyAlignment="1">
      <alignment horizontal="center" vertical="center"/>
    </xf>
    <xf numFmtId="1" fontId="21" fillId="4" borderId="4" xfId="0" applyNumberFormat="1" applyFont="1" applyFill="1" applyBorder="1" applyAlignment="1">
      <alignment horizontal="center"/>
    </xf>
    <xf numFmtId="1" fontId="21" fillId="4" borderId="4" xfId="0" applyNumberFormat="1" applyFont="1" applyFill="1" applyBorder="1" applyAlignment="1">
      <alignment horizontal="center" vertical="center"/>
    </xf>
    <xf numFmtId="1" fontId="20" fillId="3" borderId="0" xfId="0" applyNumberFormat="1" applyFont="1" applyFill="1" applyAlignment="1">
      <alignment horizontal="center"/>
    </xf>
    <xf numFmtId="0" fontId="21" fillId="0" borderId="0" xfId="0" applyFont="1" applyAlignment="1">
      <alignment horizontal="center" vertical="center"/>
    </xf>
    <xf numFmtId="1" fontId="40" fillId="3" borderId="0" xfId="0" applyNumberFormat="1" applyFont="1" applyFill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6" fillId="0" borderId="0" xfId="0" applyNumberFormat="1" applyFont="1" applyAlignment="1">
      <alignment horizontal="center"/>
    </xf>
    <xf numFmtId="0" fontId="27" fillId="0" borderId="0" xfId="0" applyFont="1" applyAlignment="1">
      <alignment horizontal="left" indent="1"/>
    </xf>
    <xf numFmtId="0" fontId="32" fillId="0" borderId="0" xfId="0" quotePrefix="1" applyFont="1"/>
    <xf numFmtId="0" fontId="22" fillId="3" borderId="0" xfId="0" applyFont="1" applyFill="1" applyAlignment="1">
      <alignment vertical="center"/>
    </xf>
    <xf numFmtId="0" fontId="20" fillId="0" borderId="0" xfId="0" applyFont="1"/>
    <xf numFmtId="0" fontId="41" fillId="0" borderId="0" xfId="0" applyFont="1"/>
    <xf numFmtId="0" fontId="36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1" fillId="5" borderId="4" xfId="0" applyFont="1" applyFill="1" applyBorder="1" applyAlignment="1">
      <alignment horizontal="center"/>
    </xf>
    <xf numFmtId="1" fontId="21" fillId="3" borderId="4" xfId="0" applyNumberFormat="1" applyFont="1" applyFill="1" applyBorder="1" applyAlignment="1">
      <alignment horizontal="center"/>
    </xf>
    <xf numFmtId="0" fontId="21" fillId="3" borderId="0" xfId="0" applyFont="1" applyFill="1" applyAlignment="1">
      <alignment horizontal="left" indent="1"/>
    </xf>
    <xf numFmtId="0" fontId="43" fillId="3" borderId="0" xfId="0" applyFont="1" applyFill="1" applyAlignment="1">
      <alignment vertical="top"/>
    </xf>
    <xf numFmtId="0" fontId="41" fillId="3" borderId="0" xfId="0" applyFont="1" applyFill="1" applyAlignment="1">
      <alignment vertical="top"/>
    </xf>
    <xf numFmtId="0" fontId="20" fillId="3" borderId="0" xfId="0" applyFont="1" applyFill="1"/>
    <xf numFmtId="0" fontId="21" fillId="0" borderId="0" xfId="0" applyFont="1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4" xfId="0" applyFont="1" applyBorder="1"/>
    <xf numFmtId="1" fontId="21" fillId="19" borderId="4" xfId="0" applyNumberFormat="1" applyFont="1" applyFill="1" applyBorder="1" applyAlignment="1">
      <alignment horizontal="center"/>
    </xf>
    <xf numFmtId="0" fontId="21" fillId="19" borderId="4" xfId="0" applyFont="1" applyFill="1" applyBorder="1" applyAlignment="1">
      <alignment horizontal="center"/>
    </xf>
    <xf numFmtId="2" fontId="21" fillId="0" borderId="4" xfId="0" applyNumberFormat="1" applyFont="1" applyBorder="1" applyAlignment="1">
      <alignment horizontal="center"/>
    </xf>
    <xf numFmtId="0" fontId="21" fillId="0" borderId="5" xfId="0" applyFont="1" applyBorder="1"/>
    <xf numFmtId="0" fontId="24" fillId="0" borderId="0" xfId="3" applyFont="1" applyAlignment="1" applyProtection="1">
      <alignment horizontal="center" vertical="center"/>
      <protection hidden="1"/>
    </xf>
    <xf numFmtId="0" fontId="20" fillId="0" borderId="4" xfId="0" applyFont="1" applyBorder="1" applyAlignment="1">
      <alignment horizontal="center"/>
    </xf>
    <xf numFmtId="1" fontId="21" fillId="3" borderId="0" xfId="0" applyNumberFormat="1" applyFont="1" applyFill="1" applyAlignment="1">
      <alignment horizontal="left" indent="1"/>
    </xf>
    <xf numFmtId="0" fontId="43" fillId="0" borderId="0" xfId="0" applyFont="1" applyAlignment="1">
      <alignment vertical="top"/>
    </xf>
    <xf numFmtId="0" fontId="16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center"/>
    </xf>
    <xf numFmtId="0" fontId="21" fillId="4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6" fillId="4" borderId="4" xfId="0" applyFont="1" applyFill="1" applyBorder="1" applyAlignment="1">
      <alignment horizontal="center" vertical="center"/>
    </xf>
    <xf numFmtId="0" fontId="26" fillId="3" borderId="0" xfId="0" applyFont="1" applyFill="1" applyAlignment="1">
      <alignment vertical="center"/>
    </xf>
    <xf numFmtId="1" fontId="20" fillId="3" borderId="0" xfId="0" applyNumberFormat="1" applyFont="1" applyFill="1" applyAlignment="1">
      <alignment horizontal="center" vertical="center"/>
    </xf>
    <xf numFmtId="9" fontId="20" fillId="3" borderId="0" xfId="0" applyNumberFormat="1" applyFont="1" applyFill="1" applyAlignment="1">
      <alignment horizontal="center" vertical="center"/>
    </xf>
    <xf numFmtId="0" fontId="42" fillId="11" borderId="4" xfId="0" applyFont="1" applyFill="1" applyBorder="1" applyAlignment="1">
      <alignment horizontal="left" vertical="center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right" indent="1"/>
    </xf>
    <xf numFmtId="1" fontId="20" fillId="3" borderId="4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47" fillId="3" borderId="0" xfId="0" applyFont="1" applyFill="1" applyAlignment="1">
      <alignment vertical="center"/>
    </xf>
    <xf numFmtId="0" fontId="46" fillId="0" borderId="0" xfId="0" applyFont="1"/>
    <xf numFmtId="0" fontId="26" fillId="11" borderId="4" xfId="0" applyFont="1" applyFill="1" applyBorder="1" applyAlignment="1">
      <alignment horizontal="left" indent="1"/>
    </xf>
    <xf numFmtId="1" fontId="26" fillId="3" borderId="0" xfId="0" applyNumberFormat="1" applyFont="1" applyFill="1" applyAlignment="1">
      <alignment horizontal="left" indent="1"/>
    </xf>
    <xf numFmtId="0" fontId="36" fillId="4" borderId="4" xfId="0" applyFont="1" applyFill="1" applyBorder="1" applyAlignment="1">
      <alignment horizontal="left" vertical="center" indent="1"/>
    </xf>
    <xf numFmtId="1" fontId="20" fillId="3" borderId="0" xfId="0" applyNumberFormat="1" applyFont="1" applyFill="1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1" fontId="0" fillId="0" borderId="0" xfId="0" applyNumberFormat="1" applyAlignment="1">
      <alignment horizontal="left"/>
    </xf>
    <xf numFmtId="0" fontId="46" fillId="16" borderId="0" xfId="0" applyFont="1" applyFill="1"/>
    <xf numFmtId="2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0" fontId="0" fillId="16" borderId="0" xfId="0" applyFill="1"/>
    <xf numFmtId="0" fontId="21" fillId="0" borderId="5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0" fillId="0" borderId="1" xfId="0" quotePrefix="1" applyFont="1" applyBorder="1" applyAlignment="1">
      <alignment horizontal="center"/>
    </xf>
    <xf numFmtId="0" fontId="17" fillId="0" borderId="0" xfId="0" applyFont="1" applyAlignment="1">
      <alignment horizontal="left" indent="1"/>
    </xf>
    <xf numFmtId="1" fontId="21" fillId="0" borderId="7" xfId="0" applyNumberFormat="1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1" fontId="21" fillId="0" borderId="20" xfId="0" applyNumberFormat="1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1" fontId="21" fillId="0" borderId="19" xfId="0" applyNumberFormat="1" applyFont="1" applyBorder="1" applyAlignment="1">
      <alignment horizontal="center"/>
    </xf>
    <xf numFmtId="165" fontId="21" fillId="0" borderId="4" xfId="0" applyNumberFormat="1" applyFont="1" applyBorder="1" applyAlignment="1">
      <alignment horizontal="center"/>
    </xf>
    <xf numFmtId="165" fontId="21" fillId="0" borderId="20" xfId="0" applyNumberFormat="1" applyFont="1" applyBorder="1" applyAlignment="1">
      <alignment horizontal="center"/>
    </xf>
    <xf numFmtId="165" fontId="21" fillId="0" borderId="19" xfId="0" applyNumberFormat="1" applyFont="1" applyBorder="1" applyAlignment="1">
      <alignment horizontal="center"/>
    </xf>
    <xf numFmtId="165" fontId="21" fillId="0" borderId="4" xfId="0" applyNumberFormat="1" applyFont="1" applyBorder="1" applyAlignment="1">
      <alignment horizontal="center" vertical="center"/>
    </xf>
    <xf numFmtId="165" fontId="21" fillId="0" borderId="4" xfId="0" quotePrefix="1" applyNumberFormat="1" applyFont="1" applyBorder="1" applyAlignment="1">
      <alignment horizontal="center"/>
    </xf>
    <xf numFmtId="0" fontId="48" fillId="0" borderId="0" xfId="0" applyFont="1" applyAlignment="1">
      <alignment horizontal="left"/>
    </xf>
    <xf numFmtId="0" fontId="20" fillId="0" borderId="1" xfId="0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17" fillId="0" borderId="0" xfId="0" applyFont="1"/>
    <xf numFmtId="0" fontId="38" fillId="0" borderId="0" xfId="0" applyFont="1"/>
    <xf numFmtId="0" fontId="24" fillId="0" borderId="0" xfId="0" applyFont="1"/>
    <xf numFmtId="0" fontId="34" fillId="3" borderId="0" xfId="0" applyFont="1" applyFill="1" applyAlignment="1">
      <alignment horizontal="right"/>
    </xf>
    <xf numFmtId="0" fontId="0" fillId="3" borderId="0" xfId="0" applyFill="1" applyAlignment="1">
      <alignment horizontal="left"/>
    </xf>
    <xf numFmtId="1" fontId="0" fillId="0" borderId="0" xfId="0" applyNumberFormat="1"/>
    <xf numFmtId="0" fontId="21" fillId="4" borderId="4" xfId="0" applyFont="1" applyFill="1" applyBorder="1" applyAlignment="1">
      <alignment horizontal="left" vertical="center" indent="1"/>
    </xf>
    <xf numFmtId="9" fontId="0" fillId="0" borderId="0" xfId="0" applyNumberFormat="1"/>
    <xf numFmtId="0" fontId="50" fillId="0" borderId="0" xfId="0" applyFont="1" applyAlignment="1">
      <alignment horizontal="left" vertical="center" indent="1"/>
    </xf>
    <xf numFmtId="164" fontId="20" fillId="3" borderId="4" xfId="0" applyNumberFormat="1" applyFont="1" applyFill="1" applyBorder="1" applyAlignment="1">
      <alignment horizontal="left" vertical="center" indent="1"/>
    </xf>
    <xf numFmtId="0" fontId="49" fillId="0" borderId="0" xfId="0" applyFont="1"/>
    <xf numFmtId="0" fontId="21" fillId="0" borderId="4" xfId="0" quotePrefix="1" applyFont="1" applyBorder="1" applyAlignment="1">
      <alignment horizontal="center" vertical="center"/>
    </xf>
    <xf numFmtId="22" fontId="0" fillId="0" borderId="0" xfId="0" applyNumberFormat="1"/>
    <xf numFmtId="0" fontId="16" fillId="3" borderId="11" xfId="0" applyFont="1" applyFill="1" applyBorder="1" applyAlignment="1">
      <alignment vertical="top"/>
    </xf>
    <xf numFmtId="0" fontId="24" fillId="0" borderId="4" xfId="2" applyFont="1" applyBorder="1" applyAlignment="1" applyProtection="1">
      <alignment horizontal="left"/>
      <protection hidden="1"/>
    </xf>
    <xf numFmtId="1" fontId="21" fillId="0" borderId="4" xfId="0" applyNumberFormat="1" applyFont="1" applyBorder="1" applyAlignment="1">
      <alignment horizontal="left" wrapText="1"/>
    </xf>
    <xf numFmtId="9" fontId="21" fillId="4" borderId="4" xfId="0" applyNumberFormat="1" applyFont="1" applyFill="1" applyBorder="1" applyAlignment="1">
      <alignment horizontal="center" vertical="center"/>
    </xf>
    <xf numFmtId="9" fontId="42" fillId="23" borderId="4" xfId="0" applyNumberFormat="1" applyFont="1" applyFill="1" applyBorder="1" applyAlignment="1">
      <alignment horizontal="center" vertical="center"/>
    </xf>
    <xf numFmtId="0" fontId="42" fillId="23" borderId="4" xfId="0" applyFont="1" applyFill="1" applyBorder="1" applyAlignment="1">
      <alignment horizontal="center" vertical="center"/>
    </xf>
    <xf numFmtId="0" fontId="42" fillId="23" borderId="4" xfId="0" applyFont="1" applyFill="1" applyBorder="1" applyAlignment="1">
      <alignment horizontal="left" indent="1"/>
    </xf>
    <xf numFmtId="0" fontId="42" fillId="23" borderId="4" xfId="0" applyFont="1" applyFill="1" applyBorder="1" applyAlignment="1">
      <alignment horizontal="left" vertical="center" indent="1"/>
    </xf>
    <xf numFmtId="0" fontId="51" fillId="0" borderId="0" xfId="0" applyFont="1" applyAlignment="1">
      <alignment horizontal="right"/>
    </xf>
    <xf numFmtId="0" fontId="42" fillId="23" borderId="4" xfId="0" applyFont="1" applyFill="1" applyBorder="1" applyAlignment="1">
      <alignment horizontal="center"/>
    </xf>
    <xf numFmtId="0" fontId="45" fillId="23" borderId="4" xfId="0" applyFont="1" applyFill="1" applyBorder="1" applyAlignment="1">
      <alignment horizontal="left" indent="1"/>
    </xf>
    <xf numFmtId="0" fontId="21" fillId="23" borderId="4" xfId="0" applyFont="1" applyFill="1" applyBorder="1" applyAlignment="1">
      <alignment horizontal="left" indent="1"/>
    </xf>
    <xf numFmtId="0" fontId="42" fillId="23" borderId="19" xfId="0" applyFont="1" applyFill="1" applyBorder="1" applyAlignment="1">
      <alignment horizontal="left" indent="1"/>
    </xf>
    <xf numFmtId="9" fontId="21" fillId="0" borderId="4" xfId="0" applyNumberFormat="1" applyFont="1" applyBorder="1" applyAlignment="1">
      <alignment horizontal="center" vertical="center"/>
    </xf>
    <xf numFmtId="1" fontId="21" fillId="9" borderId="4" xfId="0" applyNumberFormat="1" applyFont="1" applyFill="1" applyBorder="1" applyAlignment="1">
      <alignment horizontal="center" vertical="center"/>
    </xf>
    <xf numFmtId="1" fontId="21" fillId="3" borderId="4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1" fontId="21" fillId="0" borderId="4" xfId="0" applyNumberFormat="1" applyFont="1" applyBorder="1" applyAlignment="1">
      <alignment horizontal="center" vertical="center" wrapText="1"/>
    </xf>
    <xf numFmtId="9" fontId="21" fillId="3" borderId="4" xfId="0" applyNumberFormat="1" applyFont="1" applyFill="1" applyBorder="1" applyAlignment="1">
      <alignment horizontal="center" vertical="center"/>
    </xf>
    <xf numFmtId="0" fontId="52" fillId="3" borderId="0" xfId="0" applyFont="1" applyFill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1" fontId="21" fillId="3" borderId="0" xfId="0" applyNumberFormat="1" applyFont="1" applyFill="1" applyAlignment="1">
      <alignment horizontal="center" vertical="center"/>
    </xf>
    <xf numFmtId="9" fontId="21" fillId="3" borderId="0" xfId="0" applyNumberFormat="1" applyFont="1" applyFill="1" applyAlignment="1">
      <alignment horizontal="center" vertical="center"/>
    </xf>
    <xf numFmtId="1" fontId="21" fillId="3" borderId="4" xfId="0" applyNumberFormat="1" applyFont="1" applyFill="1" applyBorder="1" applyAlignment="1">
      <alignment horizontal="left" vertical="center" indent="1"/>
    </xf>
    <xf numFmtId="0" fontId="21" fillId="0" borderId="0" xfId="0" applyFont="1" applyAlignment="1">
      <alignment horizontal="left" vertical="center" indent="1"/>
    </xf>
    <xf numFmtId="164" fontId="21" fillId="3" borderId="4" xfId="0" applyNumberFormat="1" applyFont="1" applyFill="1" applyBorder="1" applyAlignment="1">
      <alignment horizontal="left" vertical="center" indent="1"/>
    </xf>
    <xf numFmtId="0" fontId="53" fillId="3" borderId="0" xfId="0" applyFont="1" applyFill="1" applyAlignment="1">
      <alignment vertical="center"/>
    </xf>
    <xf numFmtId="0" fontId="54" fillId="3" borderId="0" xfId="0" applyFont="1" applyFill="1" applyAlignment="1">
      <alignment vertical="center"/>
    </xf>
    <xf numFmtId="0" fontId="55" fillId="3" borderId="0" xfId="0" applyFont="1" applyFill="1" applyAlignment="1">
      <alignment horizontal="left" vertical="top"/>
    </xf>
    <xf numFmtId="0" fontId="0" fillId="0" borderId="18" xfId="0" applyBorder="1"/>
    <xf numFmtId="0" fontId="46" fillId="7" borderId="0" xfId="0" applyFont="1" applyFill="1"/>
    <xf numFmtId="0" fontId="56" fillId="0" borderId="0" xfId="0" applyFont="1" applyAlignment="1">
      <alignment horizontal="left"/>
    </xf>
    <xf numFmtId="0" fontId="56" fillId="0" borderId="0" xfId="0" applyFont="1"/>
    <xf numFmtId="1" fontId="21" fillId="7" borderId="4" xfId="0" applyNumberFormat="1" applyFont="1" applyFill="1" applyBorder="1" applyAlignment="1">
      <alignment horizontal="center"/>
    </xf>
    <xf numFmtId="0" fontId="21" fillId="7" borderId="4" xfId="0" applyFont="1" applyFill="1" applyBorder="1" applyAlignment="1">
      <alignment horizontal="center"/>
    </xf>
    <xf numFmtId="0" fontId="58" fillId="0" borderId="0" xfId="0" applyFont="1"/>
    <xf numFmtId="0" fontId="0" fillId="0" borderId="4" xfId="0" quotePrefix="1" applyBorder="1" applyAlignment="1">
      <alignment horizontal="center"/>
    </xf>
    <xf numFmtId="1" fontId="17" fillId="19" borderId="4" xfId="0" applyNumberFormat="1" applyFont="1" applyFill="1" applyBorder="1" applyAlignment="1">
      <alignment horizontal="center" vertical="center"/>
    </xf>
    <xf numFmtId="9" fontId="21" fillId="0" borderId="0" xfId="0" applyNumberFormat="1" applyFont="1" applyAlignment="1">
      <alignment horizontal="center" vertical="center"/>
    </xf>
    <xf numFmtId="1" fontId="21" fillId="9" borderId="0" xfId="0" applyNumberFormat="1" applyFont="1" applyFill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9" fontId="21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" fontId="21" fillId="0" borderId="4" xfId="0" applyNumberFormat="1" applyFont="1" applyBorder="1" applyAlignment="1">
      <alignment horizontal="center" vertical="top"/>
    </xf>
    <xf numFmtId="0" fontId="0" fillId="0" borderId="0" xfId="0" quotePrefix="1"/>
    <xf numFmtId="0" fontId="21" fillId="5" borderId="27" xfId="0" applyFont="1" applyFill="1" applyBorder="1" applyAlignment="1">
      <alignment horizontal="center" vertical="center"/>
    </xf>
    <xf numFmtId="0" fontId="21" fillId="5" borderId="27" xfId="0" applyFont="1" applyFill="1" applyBorder="1" applyAlignment="1">
      <alignment horizontal="center"/>
    </xf>
    <xf numFmtId="1" fontId="17" fillId="24" borderId="4" xfId="0" applyNumberFormat="1" applyFont="1" applyFill="1" applyBorder="1" applyAlignment="1">
      <alignment horizontal="center" vertical="center"/>
    </xf>
    <xf numFmtId="1" fontId="21" fillId="4" borderId="4" xfId="0" quotePrefix="1" applyNumberFormat="1" applyFont="1" applyFill="1" applyBorder="1" applyAlignment="1">
      <alignment horizontal="center"/>
    </xf>
    <xf numFmtId="0" fontId="32" fillId="0" borderId="0" xfId="0" quotePrefix="1" applyFont="1" applyAlignment="1">
      <alignment horizontal="left"/>
    </xf>
    <xf numFmtId="0" fontId="22" fillId="0" borderId="0" xfId="0" applyFont="1" applyAlignment="1">
      <alignment vertical="center"/>
    </xf>
    <xf numFmtId="0" fontId="0" fillId="0" borderId="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/>
    <xf numFmtId="0" fontId="61" fillId="0" borderId="0" xfId="0" applyFont="1"/>
    <xf numFmtId="0" fontId="21" fillId="23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62" fillId="0" borderId="0" xfId="0" applyFont="1" applyAlignment="1">
      <alignment horizontal="left"/>
    </xf>
    <xf numFmtId="0" fontId="63" fillId="0" borderId="0" xfId="0" applyFont="1" applyAlignment="1">
      <alignment horizontal="right"/>
    </xf>
    <xf numFmtId="0" fontId="62" fillId="0" borderId="0" xfId="0" applyFont="1"/>
    <xf numFmtId="0" fontId="62" fillId="0" borderId="4" xfId="0" applyFont="1" applyBorder="1" applyAlignment="1">
      <alignment horizontal="left"/>
    </xf>
    <xf numFmtId="14" fontId="0" fillId="0" borderId="0" xfId="0" applyNumberFormat="1"/>
    <xf numFmtId="14" fontId="21" fillId="23" borderId="4" xfId="0" applyNumberFormat="1" applyFont="1" applyFill="1" applyBorder="1" applyAlignment="1">
      <alignment horizontal="center" vertical="center"/>
    </xf>
    <xf numFmtId="0" fontId="58" fillId="16" borderId="0" xfId="0" applyFont="1" applyFill="1"/>
    <xf numFmtId="2" fontId="58" fillId="0" borderId="0" xfId="0" applyNumberFormat="1" applyFont="1"/>
    <xf numFmtId="1" fontId="58" fillId="0" borderId="0" xfId="0" applyNumberFormat="1" applyFont="1"/>
    <xf numFmtId="9" fontId="58" fillId="0" borderId="0" xfId="0" applyNumberFormat="1" applyFont="1"/>
    <xf numFmtId="0" fontId="58" fillId="0" borderId="0" xfId="0" applyFont="1" applyAlignment="1">
      <alignment horizontal="left" vertical="top"/>
    </xf>
    <xf numFmtId="0" fontId="58" fillId="16" borderId="0" xfId="0" applyFont="1" applyFill="1" applyAlignment="1">
      <alignment horizontal="left" vertical="top"/>
    </xf>
    <xf numFmtId="2" fontId="58" fillId="0" borderId="0" xfId="0" applyNumberFormat="1" applyFont="1" applyAlignment="1">
      <alignment horizontal="left" vertical="top"/>
    </xf>
    <xf numFmtId="1" fontId="58" fillId="0" borderId="0" xfId="0" applyNumberFormat="1" applyFont="1" applyAlignment="1">
      <alignment horizontal="left" vertical="top"/>
    </xf>
    <xf numFmtId="9" fontId="58" fillId="0" borderId="0" xfId="0" applyNumberFormat="1" applyFont="1" applyAlignment="1">
      <alignment horizontal="left" vertical="top"/>
    </xf>
    <xf numFmtId="0" fontId="21" fillId="23" borderId="5" xfId="0" applyFont="1" applyFill="1" applyBorder="1" applyAlignment="1">
      <alignment horizontal="center"/>
    </xf>
    <xf numFmtId="0" fontId="21" fillId="23" borderId="6" xfId="0" applyFont="1" applyFill="1" applyBorder="1" applyAlignment="1">
      <alignment horizontal="center"/>
    </xf>
    <xf numFmtId="0" fontId="21" fillId="23" borderId="7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 vertical="center"/>
    </xf>
    <xf numFmtId="0" fontId="21" fillId="23" borderId="5" xfId="0" applyFont="1" applyFill="1" applyBorder="1" applyAlignment="1">
      <alignment horizontal="left" vertical="top"/>
    </xf>
    <xf numFmtId="0" fontId="21" fillId="23" borderId="6" xfId="0" applyFont="1" applyFill="1" applyBorder="1" applyAlignment="1">
      <alignment horizontal="left" vertical="top"/>
    </xf>
    <xf numFmtId="0" fontId="21" fillId="23" borderId="7" xfId="0" applyFont="1" applyFill="1" applyBorder="1" applyAlignment="1">
      <alignment horizontal="left" vertical="top"/>
    </xf>
    <xf numFmtId="0" fontId="21" fillId="4" borderId="5" xfId="0" applyFont="1" applyFill="1" applyBorder="1" applyAlignment="1">
      <alignment horizontal="right" vertical="center"/>
    </xf>
    <xf numFmtId="0" fontId="21" fillId="4" borderId="7" xfId="0" applyFont="1" applyFill="1" applyBorder="1" applyAlignment="1">
      <alignment horizontal="right" vertical="center"/>
    </xf>
    <xf numFmtId="0" fontId="21" fillId="4" borderId="4" xfId="0" applyFont="1" applyFill="1" applyBorder="1" applyAlignment="1">
      <alignment horizontal="right"/>
    </xf>
    <xf numFmtId="0" fontId="60" fillId="23" borderId="4" xfId="0" applyFont="1" applyFill="1" applyBorder="1" applyAlignment="1">
      <alignment horizontal="center" vertical="center"/>
    </xf>
    <xf numFmtId="14" fontId="60" fillId="23" borderId="4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42" fillId="23" borderId="5" xfId="0" applyFont="1" applyFill="1" applyBorder="1" applyAlignment="1">
      <alignment horizontal="left" indent="1"/>
    </xf>
    <xf numFmtId="0" fontId="42" fillId="23" borderId="7" xfId="0" applyFont="1" applyFill="1" applyBorder="1" applyAlignment="1">
      <alignment horizontal="left" indent="1"/>
    </xf>
    <xf numFmtId="0" fontId="42" fillId="23" borderId="6" xfId="0" applyFont="1" applyFill="1" applyBorder="1" applyAlignment="1">
      <alignment horizontal="left" indent="1"/>
    </xf>
    <xf numFmtId="0" fontId="21" fillId="4" borderId="5" xfId="0" applyFont="1" applyFill="1" applyBorder="1" applyAlignment="1">
      <alignment horizontal="right" indent="1"/>
    </xf>
    <xf numFmtId="0" fontId="21" fillId="4" borderId="6" xfId="0" applyFont="1" applyFill="1" applyBorder="1" applyAlignment="1">
      <alignment horizontal="right" indent="1"/>
    </xf>
    <xf numFmtId="0" fontId="21" fillId="4" borderId="7" xfId="0" applyFont="1" applyFill="1" applyBorder="1" applyAlignment="1">
      <alignment horizontal="right" indent="1"/>
    </xf>
    <xf numFmtId="0" fontId="3" fillId="2" borderId="0" xfId="1" applyFont="1" applyFill="1" applyAlignment="1">
      <alignment horizontal="left" indent="1"/>
    </xf>
    <xf numFmtId="0" fontId="15" fillId="3" borderId="0" xfId="0" applyFont="1" applyFill="1" applyAlignment="1">
      <alignment horizontal="left" vertical="center" indent="1"/>
    </xf>
    <xf numFmtId="0" fontId="6" fillId="3" borderId="0" xfId="0" applyFont="1" applyFill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indent="1"/>
    </xf>
    <xf numFmtId="0" fontId="11" fillId="6" borderId="0" xfId="1" applyFont="1" applyFill="1" applyAlignment="1">
      <alignment horizontal="left" indent="1"/>
    </xf>
    <xf numFmtId="0" fontId="9" fillId="2" borderId="0" xfId="1" applyFont="1" applyFill="1" applyAlignment="1">
      <alignment horizontal="left" indent="1"/>
    </xf>
    <xf numFmtId="0" fontId="22" fillId="3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42" fillId="23" borderId="4" xfId="0" applyFont="1" applyFill="1" applyBorder="1" applyAlignment="1">
      <alignment horizontal="left" vertical="top" indent="1"/>
    </xf>
    <xf numFmtId="0" fontId="21" fillId="4" borderId="4" xfId="0" applyFont="1" applyFill="1" applyBorder="1" applyAlignment="1">
      <alignment horizontal="right" indent="1"/>
    </xf>
    <xf numFmtId="0" fontId="42" fillId="23" borderId="8" xfId="0" applyFont="1" applyFill="1" applyBorder="1" applyAlignment="1">
      <alignment horizontal="left" vertical="top" wrapText="1"/>
    </xf>
    <xf numFmtId="0" fontId="42" fillId="23" borderId="10" xfId="0" applyFont="1" applyFill="1" applyBorder="1" applyAlignment="1">
      <alignment horizontal="left" vertical="top" wrapText="1"/>
    </xf>
    <xf numFmtId="0" fontId="42" fillId="23" borderId="9" xfId="0" applyFont="1" applyFill="1" applyBorder="1" applyAlignment="1">
      <alignment horizontal="left" vertical="top" wrapText="1"/>
    </xf>
    <xf numFmtId="0" fontId="42" fillId="23" borderId="18" xfId="0" applyFont="1" applyFill="1" applyBorder="1" applyAlignment="1">
      <alignment horizontal="left" vertical="top" wrapText="1"/>
    </xf>
    <xf numFmtId="0" fontId="42" fillId="23" borderId="0" xfId="0" applyFont="1" applyFill="1" applyAlignment="1">
      <alignment horizontal="left" vertical="top" wrapText="1"/>
    </xf>
    <xf numFmtId="0" fontId="42" fillId="23" borderId="17" xfId="0" applyFont="1" applyFill="1" applyBorder="1" applyAlignment="1">
      <alignment horizontal="left" vertical="top" wrapText="1"/>
    </xf>
    <xf numFmtId="0" fontId="42" fillId="23" borderId="11" xfId="0" applyFont="1" applyFill="1" applyBorder="1" applyAlignment="1">
      <alignment horizontal="left" vertical="top" wrapText="1"/>
    </xf>
    <xf numFmtId="0" fontId="42" fillId="23" borderId="12" xfId="0" applyFont="1" applyFill="1" applyBorder="1" applyAlignment="1">
      <alignment horizontal="left" vertical="top" wrapText="1"/>
    </xf>
    <xf numFmtId="0" fontId="42" fillId="23" borderId="13" xfId="0" applyFont="1" applyFill="1" applyBorder="1" applyAlignment="1">
      <alignment horizontal="left" vertical="top" wrapText="1"/>
    </xf>
    <xf numFmtId="0" fontId="42" fillId="23" borderId="19" xfId="0" applyFont="1" applyFill="1" applyBorder="1" applyAlignment="1">
      <alignment horizontal="left" indent="1"/>
    </xf>
    <xf numFmtId="0" fontId="42" fillId="23" borderId="4" xfId="0" applyFont="1" applyFill="1" applyBorder="1" applyAlignment="1">
      <alignment horizontal="left" indent="1"/>
    </xf>
    <xf numFmtId="0" fontId="42" fillId="23" borderId="8" xfId="0" applyFont="1" applyFill="1" applyBorder="1" applyAlignment="1">
      <alignment horizontal="left" vertical="top" indent="1"/>
    </xf>
    <xf numFmtId="0" fontId="42" fillId="23" borderId="10" xfId="0" applyFont="1" applyFill="1" applyBorder="1" applyAlignment="1">
      <alignment horizontal="left" vertical="top" indent="1"/>
    </xf>
    <xf numFmtId="0" fontId="42" fillId="23" borderId="9" xfId="0" applyFont="1" applyFill="1" applyBorder="1" applyAlignment="1">
      <alignment horizontal="left" vertical="top" indent="1"/>
    </xf>
    <xf numFmtId="0" fontId="42" fillId="23" borderId="18" xfId="0" applyFont="1" applyFill="1" applyBorder="1" applyAlignment="1">
      <alignment horizontal="left" vertical="top" indent="1"/>
    </xf>
    <xf numFmtId="0" fontId="42" fillId="23" borderId="0" xfId="0" applyFont="1" applyFill="1" applyAlignment="1">
      <alignment horizontal="left" vertical="top" indent="1"/>
    </xf>
    <xf numFmtId="0" fontId="42" fillId="23" borderId="17" xfId="0" applyFont="1" applyFill="1" applyBorder="1" applyAlignment="1">
      <alignment horizontal="left" vertical="top" indent="1"/>
    </xf>
    <xf numFmtId="0" fontId="42" fillId="23" borderId="11" xfId="0" applyFont="1" applyFill="1" applyBorder="1" applyAlignment="1">
      <alignment horizontal="left" vertical="top" indent="1"/>
    </xf>
    <xf numFmtId="0" fontId="42" fillId="23" borderId="12" xfId="0" applyFont="1" applyFill="1" applyBorder="1" applyAlignment="1">
      <alignment horizontal="left" vertical="top" indent="1"/>
    </xf>
    <xf numFmtId="0" fontId="42" fillId="23" borderId="13" xfId="0" applyFont="1" applyFill="1" applyBorder="1" applyAlignment="1">
      <alignment horizontal="left" vertical="top" indent="1"/>
    </xf>
    <xf numFmtId="0" fontId="32" fillId="0" borderId="0" xfId="0" quotePrefix="1" applyFont="1" applyAlignment="1">
      <alignment horizontal="center"/>
    </xf>
    <xf numFmtId="1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1" fillId="5" borderId="27" xfId="0" applyFont="1" applyFill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3" borderId="8" xfId="0" applyFont="1" applyFill="1" applyBorder="1" applyAlignment="1">
      <alignment horizontal="center" vertical="center"/>
    </xf>
    <xf numFmtId="0" fontId="21" fillId="3" borderId="11" xfId="0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left" indent="1"/>
    </xf>
    <xf numFmtId="1" fontId="21" fillId="3" borderId="4" xfId="0" applyNumberFormat="1" applyFont="1" applyFill="1" applyBorder="1" applyAlignment="1">
      <alignment horizontal="left" indent="1"/>
    </xf>
    <xf numFmtId="2" fontId="21" fillId="3" borderId="4" xfId="0" applyNumberFormat="1" applyFont="1" applyFill="1" applyBorder="1" applyAlignment="1">
      <alignment horizontal="left" indent="1"/>
    </xf>
    <xf numFmtId="1" fontId="21" fillId="3" borderId="5" xfId="0" applyNumberFormat="1" applyFont="1" applyFill="1" applyBorder="1" applyAlignment="1">
      <alignment horizontal="center"/>
    </xf>
    <xf numFmtId="1" fontId="21" fillId="3" borderId="7" xfId="0" applyNumberFormat="1" applyFont="1" applyFill="1" applyBorder="1" applyAlignment="1">
      <alignment horizontal="center"/>
    </xf>
    <xf numFmtId="0" fontId="21" fillId="23" borderId="5" xfId="0" applyFont="1" applyFill="1" applyBorder="1" applyAlignment="1">
      <alignment horizontal="left" indent="1"/>
    </xf>
    <xf numFmtId="0" fontId="21" fillId="23" borderId="7" xfId="0" applyFont="1" applyFill="1" applyBorder="1" applyAlignment="1">
      <alignment horizontal="left" indent="1"/>
    </xf>
    <xf numFmtId="0" fontId="17" fillId="5" borderId="4" xfId="0" applyFont="1" applyFill="1" applyBorder="1" applyAlignment="1">
      <alignment horizontal="center"/>
    </xf>
    <xf numFmtId="0" fontId="25" fillId="15" borderId="4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0" fontId="25" fillId="16" borderId="4" xfId="0" applyFont="1" applyFill="1" applyBorder="1" applyAlignment="1">
      <alignment horizontal="center"/>
    </xf>
    <xf numFmtId="0" fontId="47" fillId="3" borderId="0" xfId="0" applyFont="1" applyFill="1" applyAlignment="1">
      <alignment horizontal="left" vertical="center"/>
    </xf>
    <xf numFmtId="0" fontId="47" fillId="3" borderId="12" xfId="0" applyFont="1" applyFill="1" applyBorder="1" applyAlignment="1">
      <alignment horizontal="left" vertical="center"/>
    </xf>
    <xf numFmtId="0" fontId="21" fillId="5" borderId="4" xfId="0" applyFont="1" applyFill="1" applyBorder="1" applyAlignment="1">
      <alignment horizontal="center"/>
    </xf>
    <xf numFmtId="1" fontId="21" fillId="3" borderId="4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1" xfId="0" applyFont="1" applyFill="1" applyBorder="1" applyAlignment="1">
      <alignment horizontal="center" vertical="center" wrapText="1"/>
    </xf>
    <xf numFmtId="0" fontId="27" fillId="4" borderId="12" xfId="0" applyFont="1" applyFill="1" applyBorder="1" applyAlignment="1">
      <alignment horizontal="center" vertical="center" wrapText="1"/>
    </xf>
    <xf numFmtId="0" fontId="27" fillId="4" borderId="13" xfId="0" applyFont="1" applyFill="1" applyBorder="1" applyAlignment="1">
      <alignment horizontal="center" vertical="center" wrapText="1"/>
    </xf>
    <xf numFmtId="0" fontId="45" fillId="23" borderId="5" xfId="0" applyFont="1" applyFill="1" applyBorder="1" applyAlignment="1">
      <alignment horizontal="left" indent="1"/>
    </xf>
    <xf numFmtId="0" fontId="45" fillId="23" borderId="6" xfId="0" applyFont="1" applyFill="1" applyBorder="1" applyAlignment="1">
      <alignment horizontal="left" indent="1"/>
    </xf>
    <xf numFmtId="0" fontId="45" fillId="23" borderId="7" xfId="0" applyFont="1" applyFill="1" applyBorder="1" applyAlignment="1">
      <alignment horizontal="left" indent="1"/>
    </xf>
    <xf numFmtId="0" fontId="44" fillId="23" borderId="5" xfId="0" applyFont="1" applyFill="1" applyBorder="1" applyAlignment="1">
      <alignment horizontal="left" indent="1"/>
    </xf>
    <xf numFmtId="0" fontId="44" fillId="23" borderId="6" xfId="0" applyFont="1" applyFill="1" applyBorder="1" applyAlignment="1">
      <alignment horizontal="left" indent="1"/>
    </xf>
    <xf numFmtId="0" fontId="44" fillId="23" borderId="7" xfId="0" applyFont="1" applyFill="1" applyBorder="1" applyAlignment="1">
      <alignment horizontal="left" indent="1"/>
    </xf>
    <xf numFmtId="0" fontId="23" fillId="4" borderId="4" xfId="0" applyFont="1" applyFill="1" applyBorder="1" applyAlignment="1">
      <alignment horizontal="right" vertical="center" indent="1"/>
    </xf>
    <xf numFmtId="0" fontId="20" fillId="4" borderId="16" xfId="0" applyFont="1" applyFill="1" applyBorder="1" applyAlignment="1">
      <alignment horizontal="right" indent="1"/>
    </xf>
    <xf numFmtId="0" fontId="20" fillId="4" borderId="15" xfId="0" applyFont="1" applyFill="1" applyBorder="1" applyAlignment="1">
      <alignment horizontal="right" indent="1"/>
    </xf>
    <xf numFmtId="0" fontId="20" fillId="5" borderId="4" xfId="0" applyFont="1" applyFill="1" applyBorder="1" applyAlignment="1">
      <alignment horizontal="left" indent="1"/>
    </xf>
    <xf numFmtId="0" fontId="19" fillId="4" borderId="8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20" fillId="5" borderId="5" xfId="0" applyFont="1" applyFill="1" applyBorder="1" applyAlignment="1">
      <alignment horizontal="left" indent="1"/>
    </xf>
    <xf numFmtId="0" fontId="20" fillId="5" borderId="6" xfId="0" applyFont="1" applyFill="1" applyBorder="1" applyAlignment="1">
      <alignment horizontal="left" indent="1"/>
    </xf>
    <xf numFmtId="0" fontId="20" fillId="5" borderId="7" xfId="0" applyFont="1" applyFill="1" applyBorder="1" applyAlignment="1">
      <alignment horizontal="left" indent="1"/>
    </xf>
    <xf numFmtId="0" fontId="19" fillId="4" borderId="4" xfId="0" applyFont="1" applyFill="1" applyBorder="1" applyAlignment="1">
      <alignment horizontal="right" indent="1"/>
    </xf>
    <xf numFmtId="0" fontId="19" fillId="3" borderId="5" xfId="0" applyFont="1" applyFill="1" applyBorder="1" applyAlignment="1">
      <alignment horizontal="left" indent="1"/>
    </xf>
    <xf numFmtId="0" fontId="19" fillId="3" borderId="7" xfId="0" applyFont="1" applyFill="1" applyBorder="1" applyAlignment="1">
      <alignment horizontal="left" indent="1"/>
    </xf>
    <xf numFmtId="0" fontId="21" fillId="4" borderId="8" xfId="0" applyFont="1" applyFill="1" applyBorder="1" applyAlignment="1">
      <alignment horizontal="center" vertical="center" wrapText="1"/>
    </xf>
    <xf numFmtId="0" fontId="21" fillId="4" borderId="10" xfId="0" applyFont="1" applyFill="1" applyBorder="1" applyAlignment="1">
      <alignment horizontal="center" vertical="center" wrapText="1"/>
    </xf>
    <xf numFmtId="0" fontId="21" fillId="4" borderId="18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0" fontId="21" fillId="4" borderId="12" xfId="0" applyFont="1" applyFill="1" applyBorder="1" applyAlignment="1">
      <alignment horizontal="center" vertical="center" wrapText="1"/>
    </xf>
    <xf numFmtId="0" fontId="19" fillId="18" borderId="8" xfId="0" applyFont="1" applyFill="1" applyBorder="1" applyAlignment="1">
      <alignment horizontal="center"/>
    </xf>
    <xf numFmtId="0" fontId="19" fillId="18" borderId="9" xfId="0" applyFont="1" applyFill="1" applyBorder="1" applyAlignment="1">
      <alignment horizontal="center"/>
    </xf>
    <xf numFmtId="0" fontId="28" fillId="0" borderId="10" xfId="0" applyFont="1" applyBorder="1" applyAlignment="1">
      <alignment horizontal="left"/>
    </xf>
    <xf numFmtId="0" fontId="21" fillId="5" borderId="5" xfId="0" applyFont="1" applyFill="1" applyBorder="1" applyAlignment="1">
      <alignment horizontal="center"/>
    </xf>
    <xf numFmtId="0" fontId="21" fillId="5" borderId="7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right" vertical="center" indent="1"/>
    </xf>
    <xf numFmtId="0" fontId="36" fillId="4" borderId="4" xfId="0" applyFont="1" applyFill="1" applyBorder="1" applyAlignment="1">
      <alignment horizontal="right" vertical="center" wrapText="1" indent="1"/>
    </xf>
    <xf numFmtId="0" fontId="32" fillId="0" borderId="0" xfId="0" applyFont="1" applyAlignment="1">
      <alignment horizontal="center"/>
    </xf>
    <xf numFmtId="0" fontId="59" fillId="2" borderId="27" xfId="0" applyFont="1" applyFill="1" applyBorder="1" applyAlignment="1">
      <alignment horizontal="right" vertical="center" wrapText="1" indent="1"/>
    </xf>
    <xf numFmtId="0" fontId="33" fillId="3" borderId="8" xfId="0" applyFont="1" applyFill="1" applyBorder="1" applyAlignment="1">
      <alignment horizontal="center" vertical="center" wrapText="1"/>
    </xf>
    <xf numFmtId="0" fontId="33" fillId="3" borderId="9" xfId="0" applyFont="1" applyFill="1" applyBorder="1" applyAlignment="1">
      <alignment horizontal="center" vertical="center" wrapText="1"/>
    </xf>
    <xf numFmtId="0" fontId="33" fillId="3" borderId="18" xfId="0" applyFont="1" applyFill="1" applyBorder="1" applyAlignment="1">
      <alignment horizontal="center" vertical="center" wrapText="1"/>
    </xf>
    <xf numFmtId="0" fontId="33" fillId="3" borderId="17" xfId="0" applyFont="1" applyFill="1" applyBorder="1" applyAlignment="1">
      <alignment horizontal="center" vertical="center" wrapText="1"/>
    </xf>
    <xf numFmtId="0" fontId="33" fillId="3" borderId="11" xfId="0" applyFont="1" applyFill="1" applyBorder="1" applyAlignment="1">
      <alignment horizontal="center" vertical="center" wrapText="1"/>
    </xf>
    <xf numFmtId="0" fontId="33" fillId="3" borderId="13" xfId="0" applyFont="1" applyFill="1" applyBorder="1" applyAlignment="1">
      <alignment horizontal="center" vertical="center" wrapText="1"/>
    </xf>
    <xf numFmtId="1" fontId="21" fillId="4" borderId="4" xfId="0" applyNumberFormat="1" applyFont="1" applyFill="1" applyBorder="1" applyAlignment="1">
      <alignment horizontal="center"/>
    </xf>
    <xf numFmtId="1" fontId="36" fillId="9" borderId="4" xfId="0" applyNumberFormat="1" applyFont="1" applyFill="1" applyBorder="1" applyAlignment="1">
      <alignment horizontal="center"/>
    </xf>
    <xf numFmtId="0" fontId="21" fillId="3" borderId="20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36" fillId="4" borderId="4" xfId="0" applyFont="1" applyFill="1" applyBorder="1" applyAlignment="1">
      <alignment horizontal="right" vertical="center" indent="1"/>
    </xf>
    <xf numFmtId="0" fontId="21" fillId="0" borderId="20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4" borderId="4" xfId="0" applyFont="1" applyFill="1" applyBorder="1" applyAlignment="1">
      <alignment horizontal="right" vertical="center" indent="1"/>
    </xf>
    <xf numFmtId="0" fontId="21" fillId="11" borderId="5" xfId="0" applyFont="1" applyFill="1" applyBorder="1" applyAlignment="1">
      <alignment horizontal="left" indent="1"/>
    </xf>
    <xf numFmtId="0" fontId="21" fillId="11" borderId="6" xfId="0" applyFont="1" applyFill="1" applyBorder="1" applyAlignment="1">
      <alignment horizontal="left" indent="1"/>
    </xf>
    <xf numFmtId="0" fontId="21" fillId="11" borderId="7" xfId="0" applyFont="1" applyFill="1" applyBorder="1" applyAlignment="1">
      <alignment horizontal="left" indent="1"/>
    </xf>
    <xf numFmtId="0" fontId="36" fillId="4" borderId="5" xfId="0" applyFont="1" applyFill="1" applyBorder="1" applyAlignment="1">
      <alignment horizontal="right" vertical="center" indent="1"/>
    </xf>
    <xf numFmtId="0" fontId="36" fillId="4" borderId="6" xfId="0" applyFont="1" applyFill="1" applyBorder="1" applyAlignment="1">
      <alignment horizontal="right" vertical="center" indent="1"/>
    </xf>
    <xf numFmtId="0" fontId="36" fillId="4" borderId="7" xfId="0" applyFont="1" applyFill="1" applyBorder="1" applyAlignment="1">
      <alignment horizontal="right" vertical="center" indent="1"/>
    </xf>
    <xf numFmtId="0" fontId="26" fillId="11" borderId="4" xfId="0" applyFont="1" applyFill="1" applyBorder="1" applyAlignment="1">
      <alignment horizontal="left" indent="1"/>
    </xf>
    <xf numFmtId="0" fontId="26" fillId="11" borderId="5" xfId="0" applyFont="1" applyFill="1" applyBorder="1" applyAlignment="1">
      <alignment horizontal="left" indent="1"/>
    </xf>
    <xf numFmtId="0" fontId="26" fillId="11" borderId="7" xfId="0" applyFont="1" applyFill="1" applyBorder="1" applyAlignment="1">
      <alignment horizontal="left" indent="1"/>
    </xf>
    <xf numFmtId="0" fontId="26" fillId="11" borderId="8" xfId="0" applyFont="1" applyFill="1" applyBorder="1" applyAlignment="1">
      <alignment horizontal="left" vertical="top" wrapText="1"/>
    </xf>
    <xf numFmtId="0" fontId="26" fillId="11" borderId="10" xfId="0" applyFont="1" applyFill="1" applyBorder="1" applyAlignment="1">
      <alignment horizontal="left" vertical="top" wrapText="1"/>
    </xf>
    <xf numFmtId="0" fontId="26" fillId="11" borderId="9" xfId="0" applyFont="1" applyFill="1" applyBorder="1" applyAlignment="1">
      <alignment horizontal="left" vertical="top" wrapText="1"/>
    </xf>
    <xf numFmtId="0" fontId="26" fillId="11" borderId="18" xfId="0" applyFont="1" applyFill="1" applyBorder="1" applyAlignment="1">
      <alignment horizontal="left" vertical="top" wrapText="1"/>
    </xf>
    <xf numFmtId="0" fontId="26" fillId="11" borderId="0" xfId="0" applyFont="1" applyFill="1" applyAlignment="1">
      <alignment horizontal="left" vertical="top" wrapText="1"/>
    </xf>
    <xf numFmtId="0" fontId="26" fillId="11" borderId="17" xfId="0" applyFont="1" applyFill="1" applyBorder="1" applyAlignment="1">
      <alignment horizontal="left" vertical="top" wrapText="1"/>
    </xf>
    <xf numFmtId="0" fontId="26" fillId="11" borderId="11" xfId="0" applyFont="1" applyFill="1" applyBorder="1" applyAlignment="1">
      <alignment horizontal="left" vertical="top" wrapText="1"/>
    </xf>
    <xf numFmtId="0" fontId="26" fillId="11" borderId="12" xfId="0" applyFont="1" applyFill="1" applyBorder="1" applyAlignment="1">
      <alignment horizontal="left" vertical="top" wrapText="1"/>
    </xf>
    <xf numFmtId="0" fontId="26" fillId="11" borderId="13" xfId="0" applyFont="1" applyFill="1" applyBorder="1" applyAlignment="1">
      <alignment horizontal="left" vertical="top" wrapText="1"/>
    </xf>
    <xf numFmtId="0" fontId="26" fillId="11" borderId="4" xfId="0" applyFont="1" applyFill="1" applyBorder="1" applyAlignment="1">
      <alignment horizontal="left" vertical="top" indent="1"/>
    </xf>
    <xf numFmtId="0" fontId="26" fillId="11" borderId="19" xfId="0" applyFont="1" applyFill="1" applyBorder="1" applyAlignment="1">
      <alignment horizontal="left" indent="1"/>
    </xf>
    <xf numFmtId="0" fontId="26" fillId="11" borderId="6" xfId="0" applyFont="1" applyFill="1" applyBorder="1" applyAlignment="1">
      <alignment horizontal="left" indent="1"/>
    </xf>
    <xf numFmtId="0" fontId="42" fillId="23" borderId="11" xfId="0" applyFont="1" applyFill="1" applyBorder="1" applyAlignment="1">
      <alignment horizontal="left" indent="1"/>
    </xf>
    <xf numFmtId="0" fontId="42" fillId="23" borderId="13" xfId="0" applyFont="1" applyFill="1" applyBorder="1" applyAlignment="1">
      <alignment horizontal="left" indent="1"/>
    </xf>
    <xf numFmtId="0" fontId="42" fillId="23" borderId="12" xfId="0" applyFont="1" applyFill="1" applyBorder="1" applyAlignment="1">
      <alignment horizontal="left" indent="1"/>
    </xf>
    <xf numFmtId="2" fontId="21" fillId="23" borderId="4" xfId="0" applyNumberFormat="1" applyFont="1" applyFill="1" applyBorder="1" applyAlignment="1">
      <alignment horizontal="left" indent="1"/>
    </xf>
    <xf numFmtId="0" fontId="4" fillId="3" borderId="0" xfId="0" applyFont="1" applyFill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1" fillId="2" borderId="0" xfId="1" applyFill="1" applyAlignment="1">
      <alignment horizontal="left" indent="1"/>
    </xf>
    <xf numFmtId="0" fontId="3" fillId="2" borderId="0" xfId="1" applyFont="1" applyFill="1" applyAlignment="1">
      <alignment horizontal="center"/>
    </xf>
    <xf numFmtId="164" fontId="14" fillId="3" borderId="0" xfId="1" applyNumberFormat="1" applyFont="1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14" fillId="3" borderId="0" xfId="0" applyNumberFormat="1" applyFont="1" applyFill="1" applyAlignment="1">
      <alignment horizontal="left"/>
    </xf>
    <xf numFmtId="0" fontId="62" fillId="0" borderId="0" xfId="0" applyFont="1" applyAlignment="1">
      <alignment horizontal="left"/>
    </xf>
    <xf numFmtId="0" fontId="21" fillId="4" borderId="5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14" fontId="60" fillId="23" borderId="5" xfId="0" applyNumberFormat="1" applyFont="1" applyFill="1" applyBorder="1" applyAlignment="1">
      <alignment horizontal="center"/>
    </xf>
    <xf numFmtId="14" fontId="60" fillId="23" borderId="7" xfId="0" applyNumberFormat="1" applyFont="1" applyFill="1" applyBorder="1" applyAlignment="1">
      <alignment horizontal="center"/>
    </xf>
    <xf numFmtId="0" fontId="60" fillId="23" borderId="5" xfId="0" applyFont="1" applyFill="1" applyBorder="1" applyAlignment="1">
      <alignment horizontal="center"/>
    </xf>
    <xf numFmtId="0" fontId="60" fillId="23" borderId="7" xfId="0" applyFont="1" applyFill="1" applyBorder="1" applyAlignment="1">
      <alignment horizontal="center"/>
    </xf>
    <xf numFmtId="0" fontId="60" fillId="23" borderId="4" xfId="0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0" fontId="32" fillId="0" borderId="0" xfId="0" quotePrefix="1" applyFont="1" applyAlignment="1">
      <alignment horizontal="left"/>
    </xf>
    <xf numFmtId="0" fontId="21" fillId="0" borderId="4" xfId="0" applyFont="1" applyBorder="1" applyAlignment="1">
      <alignment horizontal="center" vertical="center"/>
    </xf>
    <xf numFmtId="9" fontId="21" fillId="3" borderId="20" xfId="0" applyNumberFormat="1" applyFont="1" applyFill="1" applyBorder="1" applyAlignment="1">
      <alignment horizontal="center" vertical="center"/>
    </xf>
    <xf numFmtId="9" fontId="21" fillId="3" borderId="19" xfId="0" applyNumberFormat="1" applyFont="1" applyFill="1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 wrapText="1"/>
    </xf>
    <xf numFmtId="9" fontId="14" fillId="3" borderId="4" xfId="0" applyNumberFormat="1" applyFont="1" applyFill="1" applyBorder="1" applyAlignment="1">
      <alignment horizontal="center" vertical="center" wrapText="1"/>
    </xf>
    <xf numFmtId="0" fontId="36" fillId="4" borderId="4" xfId="0" applyFont="1" applyFill="1" applyBorder="1" applyAlignment="1">
      <alignment horizontal="center" vertical="center"/>
    </xf>
    <xf numFmtId="9" fontId="0" fillId="4" borderId="4" xfId="0" applyNumberForma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right" vertical="center" indent="1"/>
    </xf>
    <xf numFmtId="0" fontId="21" fillId="4" borderId="7" xfId="0" applyFont="1" applyFill="1" applyBorder="1" applyAlignment="1">
      <alignment horizontal="right" vertical="center" indent="1"/>
    </xf>
    <xf numFmtId="0" fontId="21" fillId="0" borderId="19" xfId="0" applyFont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44" fillId="23" borderId="21" xfId="0" applyFont="1" applyFill="1" applyBorder="1" applyAlignment="1">
      <alignment horizontal="left" indent="1"/>
    </xf>
    <xf numFmtId="0" fontId="44" fillId="23" borderId="24" xfId="0" applyFont="1" applyFill="1" applyBorder="1" applyAlignment="1">
      <alignment horizontal="left" indent="1"/>
    </xf>
    <xf numFmtId="0" fontId="44" fillId="23" borderId="22" xfId="0" applyFont="1" applyFill="1" applyBorder="1" applyAlignment="1">
      <alignment horizontal="left" indent="1"/>
    </xf>
    <xf numFmtId="0" fontId="21" fillId="22" borderId="5" xfId="0" applyFont="1" applyFill="1" applyBorder="1" applyAlignment="1">
      <alignment horizontal="right" vertical="center" indent="1"/>
    </xf>
    <xf numFmtId="0" fontId="21" fillId="22" borderId="6" xfId="0" applyFont="1" applyFill="1" applyBorder="1" applyAlignment="1">
      <alignment horizontal="right" vertical="center" indent="1"/>
    </xf>
    <xf numFmtId="0" fontId="21" fillId="20" borderId="5" xfId="0" applyFont="1" applyFill="1" applyBorder="1" applyAlignment="1">
      <alignment horizontal="right" vertical="center" indent="1"/>
    </xf>
    <xf numFmtId="0" fontId="21" fillId="20" borderId="6" xfId="0" applyFont="1" applyFill="1" applyBorder="1" applyAlignment="1">
      <alignment horizontal="right" vertical="center" indent="1"/>
    </xf>
    <xf numFmtId="0" fontId="21" fillId="21" borderId="5" xfId="0" applyFont="1" applyFill="1" applyBorder="1" applyAlignment="1">
      <alignment horizontal="right" vertical="center" indent="1"/>
    </xf>
    <xf numFmtId="0" fontId="21" fillId="21" borderId="6" xfId="0" applyFont="1" applyFill="1" applyBorder="1" applyAlignment="1">
      <alignment horizontal="right" vertical="center" indent="1"/>
    </xf>
    <xf numFmtId="0" fontId="8" fillId="3" borderId="4" xfId="0" applyFont="1" applyFill="1" applyBorder="1" applyAlignment="1">
      <alignment horizontal="left" indent="1"/>
    </xf>
    <xf numFmtId="0" fontId="8" fillId="3" borderId="4" xfId="0" applyFont="1" applyFill="1" applyBorder="1" applyAlignment="1">
      <alignment horizontal="center"/>
    </xf>
    <xf numFmtId="14" fontId="8" fillId="3" borderId="4" xfId="0" applyNumberFormat="1" applyFont="1" applyFill="1" applyBorder="1" applyAlignment="1">
      <alignment horizontal="center"/>
    </xf>
    <xf numFmtId="0" fontId="8" fillId="3" borderId="4" xfId="0" applyFont="1" applyFill="1" applyBorder="1" applyAlignment="1">
      <alignment horizontal="left" wrapText="1" indent="1"/>
    </xf>
    <xf numFmtId="14" fontId="8" fillId="3" borderId="4" xfId="0" quotePrefix="1" applyNumberFormat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left" indent="1"/>
    </xf>
    <xf numFmtId="0" fontId="8" fillId="3" borderId="6" xfId="0" applyFont="1" applyFill="1" applyBorder="1" applyAlignment="1">
      <alignment horizontal="left" indent="1"/>
    </xf>
    <xf numFmtId="0" fontId="8" fillId="3" borderId="7" xfId="0" applyFont="1" applyFill="1" applyBorder="1" applyAlignment="1">
      <alignment horizontal="left" indent="1"/>
    </xf>
    <xf numFmtId="0" fontId="8" fillId="4" borderId="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 indent="1"/>
    </xf>
    <xf numFmtId="0" fontId="8" fillId="4" borderId="6" xfId="0" applyFont="1" applyFill="1" applyBorder="1" applyAlignment="1">
      <alignment horizontal="left" indent="1"/>
    </xf>
    <xf numFmtId="0" fontId="8" fillId="4" borderId="7" xfId="0" applyFont="1" applyFill="1" applyBorder="1" applyAlignment="1">
      <alignment horizontal="left" indent="1"/>
    </xf>
    <xf numFmtId="0" fontId="0" fillId="2" borderId="0" xfId="0" applyFill="1" applyAlignment="1">
      <alignment horizontal="left" indent="2"/>
    </xf>
    <xf numFmtId="0" fontId="0" fillId="2" borderId="0" xfId="0" applyFill="1" applyAlignment="1">
      <alignment horizontal="left" indent="1"/>
    </xf>
    <xf numFmtId="0" fontId="3" fillId="2" borderId="0" xfId="0" applyFont="1" applyFill="1" applyAlignment="1">
      <alignment horizontal="left" indent="2"/>
    </xf>
    <xf numFmtId="1" fontId="21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 wrapText="1"/>
    </xf>
    <xf numFmtId="1" fontId="21" fillId="0" borderId="4" xfId="0" applyNumberFormat="1" applyFont="1" applyBorder="1" applyAlignment="1">
      <alignment horizontal="center"/>
    </xf>
    <xf numFmtId="0" fontId="21" fillId="0" borderId="25" xfId="0" applyFont="1" applyBorder="1" applyAlignment="1">
      <alignment horizontal="center" wrapText="1"/>
    </xf>
    <xf numFmtId="0" fontId="21" fillId="0" borderId="26" xfId="0" applyFont="1" applyBorder="1" applyAlignment="1">
      <alignment horizontal="center" wrapText="1"/>
    </xf>
    <xf numFmtId="1" fontId="21" fillId="8" borderId="4" xfId="0" applyNumberFormat="1" applyFont="1" applyFill="1" applyBorder="1" applyAlignment="1">
      <alignment horizontal="center" wrapText="1"/>
    </xf>
    <xf numFmtId="1" fontId="21" fillId="8" borderId="5" xfId="0" applyNumberFormat="1" applyFont="1" applyFill="1" applyBorder="1" applyAlignment="1">
      <alignment horizontal="center" wrapText="1"/>
    </xf>
    <xf numFmtId="1" fontId="21" fillId="7" borderId="4" xfId="0" applyNumberFormat="1" applyFont="1" applyFill="1" applyBorder="1" applyAlignment="1">
      <alignment horizontal="center" wrapText="1"/>
    </xf>
    <xf numFmtId="0" fontId="21" fillId="0" borderId="23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1" fontId="21" fillId="0" borderId="5" xfId="0" applyNumberFormat="1" applyFont="1" applyBorder="1" applyAlignment="1">
      <alignment horizontal="center"/>
    </xf>
    <xf numFmtId="1" fontId="21" fillId="0" borderId="6" xfId="0" applyNumberFormat="1" applyFont="1" applyBorder="1" applyAlignment="1">
      <alignment horizontal="center"/>
    </xf>
    <xf numFmtId="1" fontId="21" fillId="0" borderId="7" xfId="0" applyNumberFormat="1" applyFon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7" fillId="0" borderId="4" xfId="0" applyFont="1" applyBorder="1" applyAlignment="1">
      <alignment horizontal="center" vertical="center" wrapText="1"/>
    </xf>
    <xf numFmtId="0" fontId="21" fillId="23" borderId="5" xfId="0" applyFont="1" applyFill="1" applyBorder="1" applyAlignment="1"/>
    <xf numFmtId="0" fontId="21" fillId="23" borderId="6" xfId="0" applyFont="1" applyFill="1" applyBorder="1" applyAlignment="1"/>
    <xf numFmtId="0" fontId="21" fillId="23" borderId="7" xfId="0" applyFont="1" applyFill="1" applyBorder="1" applyAlignment="1"/>
  </cellXfs>
  <cellStyles count="4">
    <cellStyle name="Hyperlink" xfId="1" builtinId="8"/>
    <cellStyle name="Normal" xfId="0" builtinId="0"/>
    <cellStyle name="Normal 4" xfId="2" xr:uid="{6013C2A0-D116-4420-B66C-EDDD1214E5FC}"/>
    <cellStyle name="Normal 5" xfId="3" xr:uid="{C72F7B03-063B-4217-ABD4-F0C1F060436E}"/>
  </cellStyles>
  <dxfs count="1079"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A3AD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A3AD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A3AD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 patternType="lightDown"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3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fgColor auto="1"/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lightDown">
          <bgColor theme="0" tint="-0.14996795556505021"/>
        </patternFill>
      </fill>
    </dxf>
    <dxf>
      <font>
        <color theme="0"/>
      </font>
      <fill>
        <patternFill>
          <bgColor rgb="FF00A3A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A3AD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lightUp"/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F9E7"/>
      <color rgb="FF00A3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checked="Checked" fmlaLink="A10" lockText="1" noThreeD="1"/>
</file>

<file path=xl/ctrlProps/ctrlProp27.xml><?xml version="1.0" encoding="utf-8"?>
<formControlPr xmlns="http://schemas.microsoft.com/office/spreadsheetml/2009/9/main" objectType="CheckBox" checked="Checked" fmlaLink="A11" lockText="1" noThreeD="1"/>
</file>

<file path=xl/ctrlProps/ctrlProp28.xml><?xml version="1.0" encoding="utf-8"?>
<formControlPr xmlns="http://schemas.microsoft.com/office/spreadsheetml/2009/9/main" objectType="CheckBox" checked="Checked" fmlaLink="A12" lockText="1" noThreeD="1"/>
</file>

<file path=xl/ctrlProps/ctrlProp29.xml><?xml version="1.0" encoding="utf-8"?>
<formControlPr xmlns="http://schemas.microsoft.com/office/spreadsheetml/2009/9/main" objectType="CheckBox" checked="Checked" fmlaLink="A13" lockText="1" noThreeD="1"/>
</file>

<file path=xl/ctrlProps/ctrlProp30.xml><?xml version="1.0" encoding="utf-8"?>
<formControlPr xmlns="http://schemas.microsoft.com/office/spreadsheetml/2009/9/main" objectType="CheckBox" checked="Checked" fmlaLink="A14" lockText="1" noThreeD="1"/>
</file>

<file path=xl/ctrlProps/ctrlProp31.xml><?xml version="1.0" encoding="utf-8"?>
<formControlPr xmlns="http://schemas.microsoft.com/office/spreadsheetml/2009/9/main" objectType="CheckBox" checked="Checked" fmlaLink="A18" lockText="1" noThreeD="1"/>
</file>

<file path=xl/ctrlProps/ctrlProp32.xml><?xml version="1.0" encoding="utf-8"?>
<formControlPr xmlns="http://schemas.microsoft.com/office/spreadsheetml/2009/9/main" objectType="CheckBox" checked="Checked" fmlaLink="A19" lockText="1" noThreeD="1"/>
</file>

<file path=xl/ctrlProps/ctrlProp33.xml><?xml version="1.0" encoding="utf-8"?>
<formControlPr xmlns="http://schemas.microsoft.com/office/spreadsheetml/2009/9/main" objectType="CheckBox" checked="Checked" fmlaLink="A20" lockText="1" noThreeD="1"/>
</file>

<file path=xl/ctrlProps/ctrlProp34.xml><?xml version="1.0" encoding="utf-8"?>
<formControlPr xmlns="http://schemas.microsoft.com/office/spreadsheetml/2009/9/main" objectType="CheckBox" checked="Checked" fmlaLink="A23" lockText="1" noThreeD="1"/>
</file>

<file path=xl/ctrlProps/ctrlProp35.xml><?xml version="1.0" encoding="utf-8"?>
<formControlPr xmlns="http://schemas.microsoft.com/office/spreadsheetml/2009/9/main" objectType="CheckBox" checked="Checked" fmlaLink="A24" lockText="1" noThreeD="1"/>
</file>

<file path=xl/ctrlProps/ctrlProp36.xml><?xml version="1.0" encoding="utf-8"?>
<formControlPr xmlns="http://schemas.microsoft.com/office/spreadsheetml/2009/9/main" objectType="CheckBox" checked="Checked" fmlaLink="A25" lockText="1" noThreeD="1"/>
</file>

<file path=xl/ctrlProps/ctrlProp37.xml><?xml version="1.0" encoding="utf-8"?>
<formControlPr xmlns="http://schemas.microsoft.com/office/spreadsheetml/2009/9/main" objectType="CheckBox" checked="Checked" fmlaLink="A28" lockText="1" noThreeD="1"/>
</file>

<file path=xl/ctrlProps/ctrlProp38.xml><?xml version="1.0" encoding="utf-8"?>
<formControlPr xmlns="http://schemas.microsoft.com/office/spreadsheetml/2009/9/main" objectType="CheckBox" checked="Checked" fmlaLink="A36" lockText="1" noThreeD="1"/>
</file>

<file path=xl/ctrlProps/ctrlProp39.xml><?xml version="1.0" encoding="utf-8"?>
<formControlPr xmlns="http://schemas.microsoft.com/office/spreadsheetml/2009/9/main" objectType="CheckBox" checked="Checked" fmlaLink="A47" lockText="1" noThreeD="1"/>
</file>

<file path=xl/ctrlProps/ctrlProp40.xml><?xml version="1.0" encoding="utf-8"?>
<formControlPr xmlns="http://schemas.microsoft.com/office/spreadsheetml/2009/9/main" objectType="CheckBox" checked="Checked" fmlaLink="A48" lockText="1" noThreeD="1"/>
</file>

<file path=xl/ctrlProps/ctrlProp41.xml><?xml version="1.0" encoding="utf-8"?>
<formControlPr xmlns="http://schemas.microsoft.com/office/spreadsheetml/2009/9/main" objectType="CheckBox" checked="Checked" fmlaLink="A52" lockText="1" noThreeD="1"/>
</file>

<file path=xl/ctrlProps/ctrlProp42.xml><?xml version="1.0" encoding="utf-8"?>
<formControlPr xmlns="http://schemas.microsoft.com/office/spreadsheetml/2009/9/main" objectType="CheckBox" checked="Checked" fmlaLink="A53" lockText="1" noThreeD="1"/>
</file>

<file path=xl/ctrlProps/ctrlProp43.xml><?xml version="1.0" encoding="utf-8"?>
<formControlPr xmlns="http://schemas.microsoft.com/office/spreadsheetml/2009/9/main" objectType="CheckBox" checked="Checked" fmlaLink="A54" lockText="1" noThreeD="1"/>
</file>

<file path=xl/ctrlProps/ctrlProp44.xml><?xml version="1.0" encoding="utf-8"?>
<formControlPr xmlns="http://schemas.microsoft.com/office/spreadsheetml/2009/9/main" objectType="CheckBox" checked="Checked" fmlaLink="A61" lockText="1" noThreeD="1"/>
</file>

<file path=xl/ctrlProps/ctrlProp45.xml><?xml version="1.0" encoding="utf-8"?>
<formControlPr xmlns="http://schemas.microsoft.com/office/spreadsheetml/2009/9/main" objectType="CheckBox" checked="Checked" fmlaLink="A64" lockText="1" noThreeD="1"/>
</file>

<file path=xl/ctrlProps/ctrlProp46.xml><?xml version="1.0" encoding="utf-8"?>
<formControlPr xmlns="http://schemas.microsoft.com/office/spreadsheetml/2009/9/main" objectType="CheckBox" checked="Checked" fmlaLink="A65" lockText="1" noThreeD="1"/>
</file>

<file path=xl/ctrlProps/ctrlProp47.xml><?xml version="1.0" encoding="utf-8"?>
<formControlPr xmlns="http://schemas.microsoft.com/office/spreadsheetml/2009/9/main" objectType="CheckBox" checked="Checked" fmlaLink="A66" lockText="1" noThreeD="1"/>
</file>

<file path=xl/ctrlProps/ctrlProp48.xml><?xml version="1.0" encoding="utf-8"?>
<formControlPr xmlns="http://schemas.microsoft.com/office/spreadsheetml/2009/9/main" objectType="CheckBox" checked="Checked" fmlaLink="A69" lockText="1" noThreeD="1"/>
</file>

<file path=xl/ctrlProps/ctrlProp49.xml><?xml version="1.0" encoding="utf-8"?>
<formControlPr xmlns="http://schemas.microsoft.com/office/spreadsheetml/2009/9/main" objectType="CheckBox" checked="Checked" fmlaLink="A70" lockText="1" noThreeD="1"/>
</file>

<file path=xl/ctrlProps/ctrlProp50.xml><?xml version="1.0" encoding="utf-8"?>
<formControlPr xmlns="http://schemas.microsoft.com/office/spreadsheetml/2009/9/main" objectType="CheckBox" checked="Checked" fmlaLink="A71" lockText="1" noThreeD="1"/>
</file>

<file path=xl/ctrlProps/ctrlProp51.xml><?xml version="1.0" encoding="utf-8"?>
<formControlPr xmlns="http://schemas.microsoft.com/office/spreadsheetml/2009/9/main" objectType="CheckBox" checked="Checked" fmlaLink="A74" lockText="1" noThreeD="1"/>
</file>

<file path=xl/ctrlProps/ctrlProp52.xml><?xml version="1.0" encoding="utf-8"?>
<formControlPr xmlns="http://schemas.microsoft.com/office/spreadsheetml/2009/9/main" objectType="CheckBox" checked="Checked" fmlaLink="A75" lockText="1" noThreeD="1"/>
</file>

<file path=xl/ctrlProps/ctrlProp53.xml><?xml version="1.0" encoding="utf-8"?>
<formControlPr xmlns="http://schemas.microsoft.com/office/spreadsheetml/2009/9/main" objectType="CheckBox" checked="Checked" fmlaLink="A76" lockText="1" noThreeD="1"/>
</file>

<file path=xl/ctrlProps/ctrlProp54.xml><?xml version="1.0" encoding="utf-8"?>
<formControlPr xmlns="http://schemas.microsoft.com/office/spreadsheetml/2009/9/main" objectType="CheckBox" checked="Checked" fmlaLink="A77" lockText="1" noThreeD="1"/>
</file>

<file path=xl/ctrlProps/ctrlProp55.xml><?xml version="1.0" encoding="utf-8"?>
<formControlPr xmlns="http://schemas.microsoft.com/office/spreadsheetml/2009/9/main" objectType="CheckBox" checked="Checked" fmlaLink="A78" lockText="1" noThreeD="1"/>
</file>

<file path=xl/ctrlProps/ctrlProp56.xml><?xml version="1.0" encoding="utf-8"?>
<formControlPr xmlns="http://schemas.microsoft.com/office/spreadsheetml/2009/9/main" objectType="CheckBox" checked="Checked" fmlaLink="A79" lockText="1" noThreeD="1"/>
</file>

<file path=xl/ctrlProps/ctrlProp57.xml><?xml version="1.0" encoding="utf-8"?>
<formControlPr xmlns="http://schemas.microsoft.com/office/spreadsheetml/2009/9/main" objectType="CheckBox" checked="Checked" fmlaLink="A82" lockText="1" noThreeD="1"/>
</file>

<file path=xl/ctrlProps/ctrlProp58.xml><?xml version="1.0" encoding="utf-8"?>
<formControlPr xmlns="http://schemas.microsoft.com/office/spreadsheetml/2009/9/main" objectType="CheckBox" checked="Checked" fmlaLink="A83" lockText="1" noThreeD="1"/>
</file>

<file path=xl/ctrlProps/ctrlProp59.xml><?xml version="1.0" encoding="utf-8"?>
<formControlPr xmlns="http://schemas.microsoft.com/office/spreadsheetml/2009/9/main" objectType="CheckBox" checked="Checked" fmlaLink="A84" lockText="1" noThreeD="1"/>
</file>

<file path=xl/ctrlProps/ctrlProp60.xml><?xml version="1.0" encoding="utf-8"?>
<formControlPr xmlns="http://schemas.microsoft.com/office/spreadsheetml/2009/9/main" objectType="CheckBox" checked="Checked" fmlaLink="A85" lockText="1" noThreeD="1"/>
</file>

<file path=xl/ctrlProps/ctrlProp61.xml><?xml version="1.0" encoding="utf-8"?>
<formControlPr xmlns="http://schemas.microsoft.com/office/spreadsheetml/2009/9/main" objectType="CheckBox" checked="Checked" fmlaLink="A86" lockText="1" noThreeD="1"/>
</file>

<file path=xl/ctrlProps/ctrlProp62.xml><?xml version="1.0" encoding="utf-8"?>
<formControlPr xmlns="http://schemas.microsoft.com/office/spreadsheetml/2009/9/main" objectType="CheckBox" checked="Checked" fmlaLink="A91" lockText="1" noThreeD="1"/>
</file>

<file path=xl/ctrlProps/ctrlProp63.xml><?xml version="1.0" encoding="utf-8"?>
<formControlPr xmlns="http://schemas.microsoft.com/office/spreadsheetml/2009/9/main" objectType="CheckBox" checked="Checked" fmlaLink="A96" lockText="1" noThreeD="1"/>
</file>

<file path=xl/ctrlProps/ctrlProp64.xml><?xml version="1.0" encoding="utf-8"?>
<formControlPr xmlns="http://schemas.microsoft.com/office/spreadsheetml/2009/9/main" objectType="CheckBox" checked="Checked" fmlaLink="A98" lockText="1" noThreeD="1"/>
</file>

<file path=xl/ctrlProps/ctrlProp65.xml><?xml version="1.0" encoding="utf-8"?>
<formControlPr xmlns="http://schemas.microsoft.com/office/spreadsheetml/2009/9/main" objectType="CheckBox" checked="Checked" fmlaLink="A107" lockText="1" noThreeD="1"/>
</file>

<file path=xl/ctrlProps/ctrlProp66.xml><?xml version="1.0" encoding="utf-8"?>
<formControlPr xmlns="http://schemas.microsoft.com/office/spreadsheetml/2009/9/main" objectType="CheckBox" checked="Checked" fmlaLink="A108" lockText="1" noThreeD="1"/>
</file>

<file path=xl/ctrlProps/ctrlProp67.xml><?xml version="1.0" encoding="utf-8"?>
<formControlPr xmlns="http://schemas.microsoft.com/office/spreadsheetml/2009/9/main" objectType="CheckBox" checked="Checked" fmlaLink="A109" lockText="1" noThreeD="1"/>
</file>

<file path=xl/ctrlProps/ctrlProp68.xml><?xml version="1.0" encoding="utf-8"?>
<formControlPr xmlns="http://schemas.microsoft.com/office/spreadsheetml/2009/9/main" objectType="CheckBox" checked="Checked" fmlaLink="A112" lockText="1" noThreeD="1"/>
</file>

<file path=xl/ctrlProps/ctrlProp69.xml><?xml version="1.0" encoding="utf-8"?>
<formControlPr xmlns="http://schemas.microsoft.com/office/spreadsheetml/2009/9/main" objectType="CheckBox" checked="Checked" fmlaLink="A113" lockText="1" noThreeD="1"/>
</file>

<file path=xl/ctrlProps/ctrlProp70.xml><?xml version="1.0" encoding="utf-8"?>
<formControlPr xmlns="http://schemas.microsoft.com/office/spreadsheetml/2009/9/main" objectType="CheckBox" checked="Checked" fmlaLink="A114" lockText="1" noThreeD="1"/>
</file>

<file path=xl/ctrlProps/ctrlProp71.xml><?xml version="1.0" encoding="utf-8"?>
<formControlPr xmlns="http://schemas.microsoft.com/office/spreadsheetml/2009/9/main" objectType="CheckBox" fmlaLink="A115" lockText="1" noThreeD="1"/>
</file>

<file path=xl/ctrlProps/ctrlProp72.xml><?xml version="1.0" encoding="utf-8"?>
<formControlPr xmlns="http://schemas.microsoft.com/office/spreadsheetml/2009/9/main" objectType="CheckBox" fmlaLink="A116" lockText="1" noThreeD="1"/>
</file>

<file path=xl/ctrlProps/ctrlProp73.xml><?xml version="1.0" encoding="utf-8"?>
<formControlPr xmlns="http://schemas.microsoft.com/office/spreadsheetml/2009/9/main" objectType="CheckBox" checked="Checked" fmlaLink="A117" lockText="1" noThreeD="1"/>
</file>

<file path=xl/ctrlProps/ctrlProp74.xml><?xml version="1.0" encoding="utf-8"?>
<formControlPr xmlns="http://schemas.microsoft.com/office/spreadsheetml/2009/9/main" objectType="CheckBox" checked="Checked" fmlaLink="A119" lockText="1" noThreeD="1"/>
</file>

<file path=xl/ctrlProps/ctrlProp75.xml><?xml version="1.0" encoding="utf-8"?>
<formControlPr xmlns="http://schemas.microsoft.com/office/spreadsheetml/2009/9/main" objectType="CheckBox" checked="Checked" fmlaLink="A125" lockText="1" noThreeD="1"/>
</file>

<file path=xl/ctrlProps/ctrlProp76.xml><?xml version="1.0" encoding="utf-8"?>
<formControlPr xmlns="http://schemas.microsoft.com/office/spreadsheetml/2009/9/main" objectType="CheckBox" checked="Checked" fmlaLink="A126" lockText="1" noThreeD="1"/>
</file>

<file path=xl/ctrlProps/ctrlProp77.xml><?xml version="1.0" encoding="utf-8"?>
<formControlPr xmlns="http://schemas.microsoft.com/office/spreadsheetml/2009/9/main" objectType="CheckBox" checked="Checked" fmlaLink="A127" lockText="1" noThreeD="1"/>
</file>

<file path=xl/ctrlProps/ctrlProp78.xml><?xml version="1.0" encoding="utf-8"?>
<formControlPr xmlns="http://schemas.microsoft.com/office/spreadsheetml/2009/9/main" objectType="CheckBox" checked="Checked" fmlaLink="A128" lockText="1" noThreeD="1"/>
</file>

<file path=xl/ctrlProps/ctrlProp79.xml><?xml version="1.0" encoding="utf-8"?>
<formControlPr xmlns="http://schemas.microsoft.com/office/spreadsheetml/2009/9/main" objectType="CheckBox" checked="Checked" fmlaLink="A129" lockText="1" noThreeD="1"/>
</file>

<file path=xl/ctrlProps/ctrlProp80.xml><?xml version="1.0" encoding="utf-8"?>
<formControlPr xmlns="http://schemas.microsoft.com/office/spreadsheetml/2009/9/main" objectType="CheckBox" checked="Checked" fmlaLink="A130" lockText="1" noThreeD="1"/>
</file>

<file path=xl/ctrlProps/ctrlProp81.xml><?xml version="1.0" encoding="utf-8"?>
<formControlPr xmlns="http://schemas.microsoft.com/office/spreadsheetml/2009/9/main" objectType="CheckBox" checked="Checked" fmlaLink="A131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CheckBox" checked="Checked" fmlaLink="A49" lockText="1" noThreeD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fmlaLink="A92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01.01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992FE110-DC25-4732-8C51-50470E100014}">
      <dgm:prSet phldrT="[Text]" custT="1"/>
      <dgm:spPr/>
      <dgm:t>
        <a:bodyPr/>
        <a:lstStyle/>
        <a:p>
          <a:r>
            <a:rPr lang="en-AU" sz="1000"/>
            <a:t>Note: Location of meter defines MSB location</a:t>
          </a:r>
        </a:p>
      </dgm:t>
    </dgm:pt>
    <dgm:pt modelId="{55E959D8-6EFC-481B-AB61-279F9B64F44E}" type="parTrans" cxnId="{D6432053-0704-4289-81E6-2CE78F6D8DDA}">
      <dgm:prSet/>
      <dgm:spPr/>
      <dgm:t>
        <a:bodyPr/>
        <a:lstStyle/>
        <a:p>
          <a:endParaRPr lang="en-AU"/>
        </a:p>
      </dgm:t>
    </dgm:pt>
    <dgm:pt modelId="{5F80E9AA-AFA0-40E5-90B4-4F58CA87150E}" type="sibTrans" cxnId="{D6432053-0704-4289-81E6-2CE78F6D8DDA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NeighborX="2444" custLinFactNeighborY="2783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D6432053-0704-4289-81E6-2CE78F6D8DDA}" srcId="{4D7C04E1-BF51-4FAE-8F1D-53CE7A9A61F4}" destId="{992FE110-DC25-4732-8C51-50470E100014}" srcOrd="1" destOrd="0" parTransId="{55E959D8-6EFC-481B-AB61-279F9B64F44E}" sibTransId="{5F80E9AA-AFA0-40E5-90B4-4F58CA87150E}"/>
    <dgm:cxn modelId="{90243A89-E1A9-43FB-A921-A3B902D181CC}" type="presOf" srcId="{992FE110-DC25-4732-8C51-50470E100014}" destId="{074242E0-7CF5-4C26-8F36-5E6AB545669B}" srcOrd="0" destOrd="1" presId="urn:diagrams.loki3.com/BracketList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[Conductor x Core] [Cross-Sectional Area] [Insulation Material] [Type]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X="243" custLinFactY="100000" custLinFactNeighborX="100000" custLinFactNeighborY="180729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if PVA has been completed.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17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02.01 to 02.05 if IEB exists.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NeighborX="2444" custLinFactNeighborY="2783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22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[Conductor x Core] [Cross-Sectional Area] [Insulation Material] [Type]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X="243" custLinFactY="100000" custLinFactNeighborX="100000" custLinFactNeighborY="180729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27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where relevant.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4F892E78-D9C7-42CC-A7FD-6A0AE0005D6B}">
      <dgm:prSet phldrT="[Text]" custT="1"/>
      <dgm:spPr/>
      <dgm:t>
        <a:bodyPr/>
        <a:lstStyle/>
        <a:p>
          <a:r>
            <a:rPr lang="en-AU" sz="1000"/>
            <a:t>Note: Load MCB generally found in IEB in ODU application. If IDB exists, complete Load MCB section there if applicable.</a:t>
          </a:r>
        </a:p>
      </dgm:t>
    </dgm:pt>
    <dgm:pt modelId="{2843FC2E-AA65-49F2-B21D-CAA2D11B7FFA}" type="parTrans" cxnId="{EEB03C4E-4212-4047-8EE0-1BEAE3FB59A0}">
      <dgm:prSet/>
      <dgm:spPr/>
      <dgm:t>
        <a:bodyPr/>
        <a:lstStyle/>
        <a:p>
          <a:endParaRPr lang="en-AU"/>
        </a:p>
      </dgm:t>
    </dgm:pt>
    <dgm:pt modelId="{A2AA80A0-EB0A-4866-8C06-70D6507F30A3}" type="sibTrans" cxnId="{EEB03C4E-4212-4047-8EE0-1BEAE3FB59A0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NeighborX="2444" custLinFactNeighborY="2783">
        <dgm:presLayoutVars>
          <dgm:bulletEnabled val="1"/>
        </dgm:presLayoutVars>
      </dgm:prSet>
      <dgm:spPr/>
    </dgm:pt>
  </dgm:ptLst>
  <dgm:cxnLst>
    <dgm:cxn modelId="{681F873A-5D26-4338-89A1-87BD5EC3CBCE}" type="presOf" srcId="{4F892E78-D9C7-42CC-A7FD-6A0AE0005D6B}" destId="{074242E0-7CF5-4C26-8F36-5E6AB545669B}" srcOrd="0" destOrd="1" presId="urn:diagrams.loki3.com/BracketList"/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EEB03C4E-4212-4047-8EE0-1BEAE3FB59A0}" srcId="{4D7C04E1-BF51-4FAE-8F1D-53CE7A9A61F4}" destId="{4F892E78-D9C7-42CC-A7FD-6A0AE0005D6B}" srcOrd="1" destOrd="0" parTransId="{2843FC2E-AA65-49F2-B21D-CAA2D11B7FFA}" sibTransId="{A2AA80A0-EB0A-4866-8C06-70D6507F30A3}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32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where relevant.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CCD6D0A2-95A1-4C58-A9A5-68564E1AA0FF}">
      <dgm:prSet phldrT="[Text]" custT="1"/>
      <dgm:spPr/>
      <dgm:t>
        <a:bodyPr/>
        <a:lstStyle/>
        <a:p>
          <a:r>
            <a:rPr lang="en-AU" sz="1000"/>
            <a:t>If IDB does not exist, leave IDB section blank.</a:t>
          </a:r>
        </a:p>
      </dgm:t>
    </dgm:pt>
    <dgm:pt modelId="{E01996E1-EE81-432B-A3F2-C193D106BC84}" type="parTrans" cxnId="{10DD6A56-FF08-4413-869A-859E207AD92E}">
      <dgm:prSet/>
      <dgm:spPr/>
      <dgm:t>
        <a:bodyPr/>
        <a:lstStyle/>
        <a:p>
          <a:endParaRPr lang="en-AU"/>
        </a:p>
      </dgm:t>
    </dgm:pt>
    <dgm:pt modelId="{7DCCABFA-34C5-460F-B4E0-943B24066958}" type="sibTrans" cxnId="{10DD6A56-FF08-4413-869A-859E207AD92E}">
      <dgm:prSet/>
      <dgm:spPr/>
      <dgm:t>
        <a:bodyPr/>
        <a:lstStyle/>
        <a:p>
          <a:endParaRPr lang="en-AU"/>
        </a:p>
      </dgm:t>
    </dgm:pt>
    <dgm:pt modelId="{6BAC974D-BCA9-4529-9763-293A5A4A5C5B}">
      <dgm:prSet phldrT="[Text]" custT="1"/>
      <dgm:spPr/>
      <dgm:t>
        <a:bodyPr/>
        <a:lstStyle/>
        <a:p>
          <a:r>
            <a:rPr lang="en-AU" sz="1000"/>
            <a:t>Load MCB generally found in IDB in Shelter application</a:t>
          </a:r>
        </a:p>
      </dgm:t>
    </dgm:pt>
    <dgm:pt modelId="{745E785C-0C19-4F84-BBBF-96B192D7693A}" type="parTrans" cxnId="{4C625FAE-7398-45D5-AD93-B21C4C58902D}">
      <dgm:prSet/>
      <dgm:spPr/>
      <dgm:t>
        <a:bodyPr/>
        <a:lstStyle/>
        <a:p>
          <a:endParaRPr lang="en-AU"/>
        </a:p>
      </dgm:t>
    </dgm:pt>
    <dgm:pt modelId="{776A2380-E166-4D6D-9195-A70E7BB163AE}" type="sibTrans" cxnId="{4C625FAE-7398-45D5-AD93-B21C4C58902D}">
      <dgm:prSet/>
      <dgm:spPr/>
      <dgm:t>
        <a:bodyPr/>
        <a:lstStyle/>
        <a:p>
          <a:endParaRPr lang="en-AU"/>
        </a:p>
      </dgm:t>
    </dgm:pt>
    <dgm:pt modelId="{DBBB03AE-7C23-4690-95D2-7480076FB788}">
      <dgm:prSet phldrT="[Text]" custT="1"/>
      <dgm:spPr/>
      <dgm:t>
        <a:bodyPr/>
        <a:lstStyle/>
        <a:p>
          <a:r>
            <a:rPr lang="en-AU" sz="1000"/>
            <a:t>IDB Mains Isolation switch, typically not found.</a:t>
          </a:r>
        </a:p>
      </dgm:t>
    </dgm:pt>
    <dgm:pt modelId="{B258D9D8-21E1-4267-9F09-DC68AE0DB2E2}" type="parTrans" cxnId="{3959C7E8-1D03-4655-A335-B19ED33BD64E}">
      <dgm:prSet/>
      <dgm:spPr/>
      <dgm:t>
        <a:bodyPr/>
        <a:lstStyle/>
        <a:p>
          <a:endParaRPr lang="en-AU"/>
        </a:p>
      </dgm:t>
    </dgm:pt>
    <dgm:pt modelId="{05421727-69D2-4E6B-A543-690727AE1BAE}" type="sibTrans" cxnId="{3959C7E8-1D03-4655-A335-B19ED33BD64E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ScaleY="100207" custLinFactNeighborX="2444" custLinFactNeighborY="2783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10DD6A56-FF08-4413-869A-859E207AD92E}" srcId="{4D7C04E1-BF51-4FAE-8F1D-53CE7A9A61F4}" destId="{CCD6D0A2-95A1-4C58-A9A5-68564E1AA0FF}" srcOrd="1" destOrd="0" parTransId="{E01996E1-EE81-432B-A3F2-C193D106BC84}" sibTransId="{7DCCABFA-34C5-460F-B4E0-943B24066958}"/>
    <dgm:cxn modelId="{93ADB78C-8549-4A84-8F81-022C7D50F63F}" type="presOf" srcId="{754A22BC-2233-4335-AEE9-DD8CBF91EF87}" destId="{074242E0-7CF5-4C26-8F36-5E6AB545669B}" srcOrd="0" destOrd="0" presId="urn:diagrams.loki3.com/BracketList"/>
    <dgm:cxn modelId="{6AF3F88E-775B-49B3-BB9E-44D5E4CEC1D7}" type="presOf" srcId="{6BAC974D-BCA9-4529-9763-293A5A4A5C5B}" destId="{074242E0-7CF5-4C26-8F36-5E6AB545669B}" srcOrd="0" destOrd="3" presId="urn:diagrams.loki3.com/BracketList"/>
    <dgm:cxn modelId="{4C625FAE-7398-45D5-AD93-B21C4C58902D}" srcId="{4D7C04E1-BF51-4FAE-8F1D-53CE7A9A61F4}" destId="{6BAC974D-BCA9-4529-9763-293A5A4A5C5B}" srcOrd="3" destOrd="0" parTransId="{745E785C-0C19-4F84-BBBF-96B192D7693A}" sibTransId="{776A2380-E166-4D6D-9195-A70E7BB163AE}"/>
    <dgm:cxn modelId="{92F04FCD-F3AC-45EA-8280-6FAF1F1F082B}" type="presOf" srcId="{CCD6D0A2-95A1-4C58-A9A5-68564E1AA0FF}" destId="{074242E0-7CF5-4C26-8F36-5E6AB545669B}" srcOrd="0" destOrd="1" presId="urn:diagrams.loki3.com/BracketList"/>
    <dgm:cxn modelId="{3959C7E8-1D03-4655-A335-B19ED33BD64E}" srcId="{4D7C04E1-BF51-4FAE-8F1D-53CE7A9A61F4}" destId="{DBBB03AE-7C23-4690-95D2-7480076FB788}" srcOrd="2" destOrd="0" parTransId="{B258D9D8-21E1-4267-9F09-DC68AE0DB2E2}" sibTransId="{05421727-69D2-4E6B-A543-690727AE1BAE}"/>
    <dgm:cxn modelId="{922CD8F1-A234-477B-AA38-A810ABCC5A85}" type="presOf" srcId="{DBBB03AE-7C23-4690-95D2-7480076FB788}" destId="{074242E0-7CF5-4C26-8F36-5E6AB545669B}" srcOrd="0" destOrd="2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37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if available.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NeighborX="2444" custLinFactNeighborY="2783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93ADB78C-8549-4A84-8F81-022C7D50F63F}" type="presOf" srcId="{754A22BC-2233-4335-AEE9-DD8CBF91EF87}" destId="{074242E0-7CF5-4C26-8F36-5E6AB545669B}" srcOrd="0" destOrd="0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42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5C1AFA5F-888E-494E-82EB-EADD56FCF280}" type="doc">
      <dgm:prSet loTypeId="urn:diagrams.loki3.com/Bracke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4D7C04E1-BF51-4FAE-8F1D-53CE7A9A61F4}">
      <dgm:prSet phldrT="[Text]" custT="1"/>
      <dgm:spPr/>
      <dgm:t>
        <a:bodyPr/>
        <a:lstStyle/>
        <a:p>
          <a:endParaRPr lang="en-AU" sz="1200"/>
        </a:p>
      </dgm:t>
    </dgm:pt>
    <dgm:pt modelId="{5906E58C-37DC-46B2-9C14-A7D5BC5D7862}" type="parTrans" cxnId="{EF5F0D42-A84C-4114-9825-8ED37B25D4BE}">
      <dgm:prSet/>
      <dgm:spPr/>
      <dgm:t>
        <a:bodyPr/>
        <a:lstStyle/>
        <a:p>
          <a:endParaRPr lang="en-AU"/>
        </a:p>
      </dgm:t>
    </dgm:pt>
    <dgm:pt modelId="{28ED68F9-DE0C-49F0-827E-323DFB5B4A89}" type="sibTrans" cxnId="{EF5F0D42-A84C-4114-9825-8ED37B25D4BE}">
      <dgm:prSet/>
      <dgm:spPr/>
      <dgm:t>
        <a:bodyPr/>
        <a:lstStyle/>
        <a:p>
          <a:endParaRPr lang="en-AU"/>
        </a:p>
      </dgm:t>
    </dgm:pt>
    <dgm:pt modelId="{754A22BC-2233-4335-AEE9-DD8CBF91EF87}">
      <dgm:prSet phldrT="[Text]" custT="1"/>
      <dgm:spPr/>
      <dgm:t>
        <a:bodyPr/>
        <a:lstStyle/>
        <a:p>
          <a:r>
            <a:rPr lang="en-AU" sz="1000"/>
            <a:t>Complete section if available</a:t>
          </a:r>
        </a:p>
      </dgm:t>
    </dgm:pt>
    <dgm:pt modelId="{FF736115-581D-4044-8505-057EC80795D5}" type="parTrans" cxnId="{5F2C9349-B64D-41E4-A228-F610FF79E529}">
      <dgm:prSet/>
      <dgm:spPr/>
      <dgm:t>
        <a:bodyPr/>
        <a:lstStyle/>
        <a:p>
          <a:endParaRPr lang="en-AU"/>
        </a:p>
      </dgm:t>
    </dgm:pt>
    <dgm:pt modelId="{9E3703EE-4EC9-45D9-8FEB-5B08D2D46936}" type="sibTrans" cxnId="{5F2C9349-B64D-41E4-A228-F610FF79E529}">
      <dgm:prSet/>
      <dgm:spPr/>
      <dgm:t>
        <a:bodyPr/>
        <a:lstStyle/>
        <a:p>
          <a:endParaRPr lang="en-AU"/>
        </a:p>
      </dgm:t>
    </dgm:pt>
    <dgm:pt modelId="{B8A25BDB-584F-4F8E-A5E7-A26DEBDDEE9C}">
      <dgm:prSet phldrT="[Text]" custT="1"/>
      <dgm:spPr/>
      <dgm:t>
        <a:bodyPr/>
        <a:lstStyle/>
        <a:p>
          <a:r>
            <a:rPr lang="en-AU" sz="1000"/>
            <a:t>Note: Default values provide Optus standard requirements</a:t>
          </a:r>
        </a:p>
      </dgm:t>
    </dgm:pt>
    <dgm:pt modelId="{1FEA42F0-89E3-4EC5-8428-4AFF538D7307}" type="parTrans" cxnId="{00186A62-DCD8-4A9F-B74C-2535D33A203E}">
      <dgm:prSet/>
      <dgm:spPr/>
      <dgm:t>
        <a:bodyPr/>
        <a:lstStyle/>
        <a:p>
          <a:endParaRPr lang="en-AU"/>
        </a:p>
      </dgm:t>
    </dgm:pt>
    <dgm:pt modelId="{60F9E1D4-3FE9-4AE1-9738-8731092ECCA2}" type="sibTrans" cxnId="{00186A62-DCD8-4A9F-B74C-2535D33A203E}">
      <dgm:prSet/>
      <dgm:spPr/>
      <dgm:t>
        <a:bodyPr/>
        <a:lstStyle/>
        <a:p>
          <a:endParaRPr lang="en-AU"/>
        </a:p>
      </dgm:t>
    </dgm:pt>
    <dgm:pt modelId="{194ABD7C-A7EC-49C8-B69C-BB49EA2434A3}" type="pres">
      <dgm:prSet presAssocID="{5C1AFA5F-888E-494E-82EB-EADD56FCF280}" presName="Name0" presStyleCnt="0">
        <dgm:presLayoutVars>
          <dgm:dir/>
          <dgm:animLvl val="lvl"/>
          <dgm:resizeHandles val="exact"/>
        </dgm:presLayoutVars>
      </dgm:prSet>
      <dgm:spPr/>
    </dgm:pt>
    <dgm:pt modelId="{76F5712B-C9A8-46AF-A3A7-A05A325F25F4}" type="pres">
      <dgm:prSet presAssocID="{4D7C04E1-BF51-4FAE-8F1D-53CE7A9A61F4}" presName="linNode" presStyleCnt="0"/>
      <dgm:spPr/>
    </dgm:pt>
    <dgm:pt modelId="{875D5A45-CA94-4875-9142-CC34ED438734}" type="pres">
      <dgm:prSet presAssocID="{4D7C04E1-BF51-4FAE-8F1D-53CE7A9A61F4}" presName="parTx" presStyleLbl="revTx" presStyleIdx="0" presStyleCnt="1">
        <dgm:presLayoutVars>
          <dgm:chMax val="1"/>
          <dgm:bulletEnabled val="1"/>
        </dgm:presLayoutVars>
      </dgm:prSet>
      <dgm:spPr/>
    </dgm:pt>
    <dgm:pt modelId="{0FBAC244-5FD0-42A8-BBF5-F722211016AC}" type="pres">
      <dgm:prSet presAssocID="{4D7C04E1-BF51-4FAE-8F1D-53CE7A9A61F4}" presName="bracket" presStyleLbl="parChTrans1D1" presStyleIdx="0" presStyleCnt="1"/>
      <dgm:spPr/>
    </dgm:pt>
    <dgm:pt modelId="{6D32C746-E185-4ADB-BA20-7A970CF666E9}" type="pres">
      <dgm:prSet presAssocID="{4D7C04E1-BF51-4FAE-8F1D-53CE7A9A61F4}" presName="spH" presStyleCnt="0"/>
      <dgm:spPr/>
    </dgm:pt>
    <dgm:pt modelId="{074242E0-7CF5-4C26-8F36-5E6AB545669B}" type="pres">
      <dgm:prSet presAssocID="{4D7C04E1-BF51-4FAE-8F1D-53CE7A9A61F4}" presName="desTx" presStyleLbl="node1" presStyleIdx="0" presStyleCnt="1" custLinFactNeighborX="2444" custLinFactNeighborY="2783">
        <dgm:presLayoutVars>
          <dgm:bulletEnabled val="1"/>
        </dgm:presLayoutVars>
      </dgm:prSet>
      <dgm:spPr/>
    </dgm:pt>
  </dgm:ptLst>
  <dgm:cxnLst>
    <dgm:cxn modelId="{EF5F0D42-A84C-4114-9825-8ED37B25D4BE}" srcId="{5C1AFA5F-888E-494E-82EB-EADD56FCF280}" destId="{4D7C04E1-BF51-4FAE-8F1D-53CE7A9A61F4}" srcOrd="0" destOrd="0" parTransId="{5906E58C-37DC-46B2-9C14-A7D5BC5D7862}" sibTransId="{28ED68F9-DE0C-49F0-827E-323DFB5B4A89}"/>
    <dgm:cxn modelId="{00186A62-DCD8-4A9F-B74C-2535D33A203E}" srcId="{4D7C04E1-BF51-4FAE-8F1D-53CE7A9A61F4}" destId="{B8A25BDB-584F-4F8E-A5E7-A26DEBDDEE9C}" srcOrd="1" destOrd="0" parTransId="{1FEA42F0-89E3-4EC5-8428-4AFF538D7307}" sibTransId="{60F9E1D4-3FE9-4AE1-9738-8731092ECCA2}"/>
    <dgm:cxn modelId="{5F2C9349-B64D-41E4-A228-F610FF79E529}" srcId="{4D7C04E1-BF51-4FAE-8F1D-53CE7A9A61F4}" destId="{754A22BC-2233-4335-AEE9-DD8CBF91EF87}" srcOrd="0" destOrd="0" parTransId="{FF736115-581D-4044-8505-057EC80795D5}" sibTransId="{9E3703EE-4EC9-45D9-8FEB-5B08D2D46936}"/>
    <dgm:cxn modelId="{93ADB78C-8549-4A84-8F81-022C7D50F63F}" type="presOf" srcId="{754A22BC-2233-4335-AEE9-DD8CBF91EF87}" destId="{074242E0-7CF5-4C26-8F36-5E6AB545669B}" srcOrd="0" destOrd="0" presId="urn:diagrams.loki3.com/BracketList"/>
    <dgm:cxn modelId="{B3CAB8D7-3E08-410B-A49C-58D25509B96E}" type="presOf" srcId="{B8A25BDB-584F-4F8E-A5E7-A26DEBDDEE9C}" destId="{074242E0-7CF5-4C26-8F36-5E6AB545669B}" srcOrd="0" destOrd="1" presId="urn:diagrams.loki3.com/BracketList"/>
    <dgm:cxn modelId="{150866F9-2E12-4D22-A511-831C083AB322}" type="presOf" srcId="{5C1AFA5F-888E-494E-82EB-EADD56FCF280}" destId="{194ABD7C-A7EC-49C8-B69C-BB49EA2434A3}" srcOrd="0" destOrd="0" presId="urn:diagrams.loki3.com/BracketList"/>
    <dgm:cxn modelId="{805660FE-E4AD-4681-BFA2-37085EEC3488}" type="presOf" srcId="{4D7C04E1-BF51-4FAE-8F1D-53CE7A9A61F4}" destId="{875D5A45-CA94-4875-9142-CC34ED438734}" srcOrd="0" destOrd="0" presId="urn:diagrams.loki3.com/BracketList"/>
    <dgm:cxn modelId="{49EA3BB3-A5CC-4547-BB6D-AA2A142D3B47}" type="presParOf" srcId="{194ABD7C-A7EC-49C8-B69C-BB49EA2434A3}" destId="{76F5712B-C9A8-46AF-A3A7-A05A325F25F4}" srcOrd="0" destOrd="0" presId="urn:diagrams.loki3.com/BracketList"/>
    <dgm:cxn modelId="{2FF50034-B07B-40A4-861E-A72628010218}" type="presParOf" srcId="{76F5712B-C9A8-46AF-A3A7-A05A325F25F4}" destId="{875D5A45-CA94-4875-9142-CC34ED438734}" srcOrd="0" destOrd="0" presId="urn:diagrams.loki3.com/BracketList"/>
    <dgm:cxn modelId="{18426BF1-0DFF-4AC1-A628-54AA38DC7175}" type="presParOf" srcId="{76F5712B-C9A8-46AF-A3A7-A05A325F25F4}" destId="{0FBAC244-5FD0-42A8-BBF5-F722211016AC}" srcOrd="1" destOrd="0" presId="urn:diagrams.loki3.com/BracketList"/>
    <dgm:cxn modelId="{0A7A542B-58CB-4F79-91EB-17288137D754}" type="presParOf" srcId="{76F5712B-C9A8-46AF-A3A7-A05A325F25F4}" destId="{6D32C746-E185-4ADB-BA20-7A970CF666E9}" srcOrd="2" destOrd="0" presId="urn:diagrams.loki3.com/BracketList"/>
    <dgm:cxn modelId="{546B6079-3D69-4BCF-9077-C9A5FC8B9947}" type="presParOf" srcId="{76F5712B-C9A8-46AF-A3A7-A05A325F25F4}" destId="{074242E0-7CF5-4C26-8F36-5E6AB545669B}" srcOrd="3" destOrd="0" presId="urn:diagrams.loki3.com/BracketList"/>
  </dgm:cxnLst>
  <dgm:bg/>
  <dgm:whole/>
  <dgm:extLst>
    <a:ext uri="http://schemas.microsoft.com/office/drawing/2008/diagram">
      <dsp:dataModelExt xmlns:dsp="http://schemas.microsoft.com/office/drawing/2008/diagram" relId="rId4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5589" y="130437"/>
          <a:ext cx="1428812" cy="905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5589" y="130437"/>
        <a:ext cx="1428812" cy="90596"/>
      </dsp:txXfrm>
    </dsp:sp>
    <dsp:sp modelId="{0FBAC244-5FD0-42A8-BBF5-F722211016AC}">
      <dsp:nvSpPr>
        <dsp:cNvPr id="0" name=""/>
        <dsp:cNvSpPr/>
      </dsp:nvSpPr>
      <dsp:spPr>
        <a:xfrm>
          <a:off x="1434402" y="204"/>
          <a:ext cx="285762" cy="351063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7263" y="408"/>
          <a:ext cx="3886370" cy="351063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01.01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Note: Location of meter defines MSB location</a:t>
          </a:r>
        </a:p>
      </dsp:txBody>
      <dsp:txXfrm>
        <a:off x="1837263" y="408"/>
        <a:ext cx="3886370" cy="351063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6" y="9340"/>
          <a:ext cx="1430209" cy="3366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6" y="9340"/>
        <a:ext cx="1430209" cy="336600"/>
      </dsp:txXfrm>
    </dsp:sp>
    <dsp:sp modelId="{0FBAC244-5FD0-42A8-BBF5-F722211016AC}">
      <dsp:nvSpPr>
        <dsp:cNvPr id="0" name=""/>
        <dsp:cNvSpPr/>
      </dsp:nvSpPr>
      <dsp:spPr>
        <a:xfrm>
          <a:off x="1433005" y="9340"/>
          <a:ext cx="286041" cy="3366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6260" y="18681"/>
          <a:ext cx="3890169" cy="336600"/>
        </a:xfrm>
        <a:prstGeom prst="rect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[Conductor x Core] [Cross-Sectional Area] [Insulation Material] [Type]</a:t>
          </a:r>
        </a:p>
      </dsp:txBody>
      <dsp:txXfrm>
        <a:off x="1836260" y="18681"/>
        <a:ext cx="3890169" cy="336600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3" y="2298"/>
          <a:ext cx="1429020" cy="3564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3" y="2298"/>
        <a:ext cx="1429020" cy="356400"/>
      </dsp:txXfrm>
    </dsp:sp>
    <dsp:sp modelId="{0FBAC244-5FD0-42A8-BBF5-F722211016AC}">
      <dsp:nvSpPr>
        <dsp:cNvPr id="0" name=""/>
        <dsp:cNvSpPr/>
      </dsp:nvSpPr>
      <dsp:spPr>
        <a:xfrm>
          <a:off x="1431814" y="2298"/>
          <a:ext cx="285804" cy="3564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1939" y="2298"/>
          <a:ext cx="3886935" cy="356400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if PVA has been completed.</a:t>
          </a:r>
        </a:p>
      </dsp:txBody>
      <dsp:txXfrm>
        <a:off x="1831939" y="2298"/>
        <a:ext cx="3886935" cy="356400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6" y="9340"/>
          <a:ext cx="1430209" cy="3366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6" y="9340"/>
        <a:ext cx="1430209" cy="336600"/>
      </dsp:txXfrm>
    </dsp:sp>
    <dsp:sp modelId="{0FBAC244-5FD0-42A8-BBF5-F722211016AC}">
      <dsp:nvSpPr>
        <dsp:cNvPr id="0" name=""/>
        <dsp:cNvSpPr/>
      </dsp:nvSpPr>
      <dsp:spPr>
        <a:xfrm>
          <a:off x="1433005" y="9340"/>
          <a:ext cx="286041" cy="3366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6260" y="18681"/>
          <a:ext cx="3890169" cy="336600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02.01 to 02.05 if IEB exists.</a:t>
          </a:r>
        </a:p>
      </dsp:txBody>
      <dsp:txXfrm>
        <a:off x="1836260" y="18681"/>
        <a:ext cx="3890169" cy="336600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6" y="2298"/>
          <a:ext cx="1430209" cy="3564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6" y="2298"/>
        <a:ext cx="1430209" cy="356400"/>
      </dsp:txXfrm>
    </dsp:sp>
    <dsp:sp modelId="{0FBAC244-5FD0-42A8-BBF5-F722211016AC}">
      <dsp:nvSpPr>
        <dsp:cNvPr id="0" name=""/>
        <dsp:cNvSpPr/>
      </dsp:nvSpPr>
      <dsp:spPr>
        <a:xfrm>
          <a:off x="1433005" y="2298"/>
          <a:ext cx="286041" cy="3564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6260" y="4596"/>
          <a:ext cx="3890169" cy="356400"/>
        </a:xfrm>
        <a:prstGeom prst="rect">
          <a:avLst/>
        </a:prstGeom>
        <a:solidFill>
          <a:schemeClr val="accent3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[Conductor x Core] [Cross-Sectional Area] [Insulation Material] [Type]</a:t>
          </a:r>
        </a:p>
      </dsp:txBody>
      <dsp:txXfrm>
        <a:off x="1836260" y="4596"/>
        <a:ext cx="3890169" cy="356400"/>
      </dsp:txXfrm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6" y="5114"/>
          <a:ext cx="1430209" cy="5346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6" y="5114"/>
        <a:ext cx="1430209" cy="534600"/>
      </dsp:txXfrm>
    </dsp:sp>
    <dsp:sp modelId="{0FBAC244-5FD0-42A8-BBF5-F722211016AC}">
      <dsp:nvSpPr>
        <dsp:cNvPr id="0" name=""/>
        <dsp:cNvSpPr/>
      </dsp:nvSpPr>
      <dsp:spPr>
        <a:xfrm>
          <a:off x="1433005" y="5114"/>
          <a:ext cx="286041" cy="5346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6260" y="10230"/>
          <a:ext cx="3890169" cy="534600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where relevant.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Note: Load MCB generally found in IEB in ODU application. If IDB exists, complete Load MCB section there if applicable.</a:t>
          </a:r>
        </a:p>
      </dsp:txBody>
      <dsp:txXfrm>
        <a:off x="1836260" y="10230"/>
        <a:ext cx="3890169" cy="534600"/>
      </dsp:txXfrm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6" y="2520"/>
          <a:ext cx="1430209" cy="7722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6" y="2520"/>
        <a:ext cx="1430209" cy="772200"/>
      </dsp:txXfrm>
    </dsp:sp>
    <dsp:sp modelId="{0FBAC244-5FD0-42A8-BBF5-F722211016AC}">
      <dsp:nvSpPr>
        <dsp:cNvPr id="0" name=""/>
        <dsp:cNvSpPr/>
      </dsp:nvSpPr>
      <dsp:spPr>
        <a:xfrm>
          <a:off x="1433005" y="2520"/>
          <a:ext cx="286041" cy="7722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6260" y="3442"/>
          <a:ext cx="3890169" cy="773798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where relevant.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If IDB does not exist, leave IDB section blank.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IDB Mains Isolation switch, typically not found.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Load MCB generally found in IDB in Shelter application</a:t>
          </a:r>
        </a:p>
      </dsp:txBody>
      <dsp:txXfrm>
        <a:off x="1836260" y="3442"/>
        <a:ext cx="3890169" cy="773798"/>
      </dsp:txXfrm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2796" y="7435"/>
          <a:ext cx="1430209" cy="33660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2796" y="7435"/>
        <a:ext cx="1430209" cy="336600"/>
      </dsp:txXfrm>
    </dsp:sp>
    <dsp:sp modelId="{0FBAC244-5FD0-42A8-BBF5-F722211016AC}">
      <dsp:nvSpPr>
        <dsp:cNvPr id="0" name=""/>
        <dsp:cNvSpPr/>
      </dsp:nvSpPr>
      <dsp:spPr>
        <a:xfrm>
          <a:off x="1433005" y="7435"/>
          <a:ext cx="286041" cy="336600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6260" y="14871"/>
          <a:ext cx="3890169" cy="336600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if available.</a:t>
          </a:r>
        </a:p>
      </dsp:txBody>
      <dsp:txXfrm>
        <a:off x="1836260" y="14871"/>
        <a:ext cx="3890169" cy="336600"/>
      </dsp:txXfrm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75D5A45-CA94-4875-9142-CC34ED438734}">
      <dsp:nvSpPr>
        <dsp:cNvPr id="0" name=""/>
        <dsp:cNvSpPr/>
      </dsp:nvSpPr>
      <dsp:spPr>
        <a:xfrm>
          <a:off x="5589" y="133281"/>
          <a:ext cx="1428812" cy="925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85344" tIns="30480" rIns="85344" bIns="30480" numCol="1" spcCol="1270" anchor="ctr" anchorCtr="0">
          <a:noAutofit/>
        </a:bodyPr>
        <a:lstStyle/>
        <a:p>
          <a:pPr marL="0" lvl="0" indent="0" algn="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AU" sz="1200" kern="1200"/>
        </a:p>
      </dsp:txBody>
      <dsp:txXfrm>
        <a:off x="5589" y="133281"/>
        <a:ext cx="1428812" cy="92528"/>
      </dsp:txXfrm>
    </dsp:sp>
    <dsp:sp modelId="{0FBAC244-5FD0-42A8-BBF5-F722211016AC}">
      <dsp:nvSpPr>
        <dsp:cNvPr id="0" name=""/>
        <dsp:cNvSpPr/>
      </dsp:nvSpPr>
      <dsp:spPr>
        <a:xfrm>
          <a:off x="1434402" y="271"/>
          <a:ext cx="285762" cy="358548"/>
        </a:xfrm>
        <a:prstGeom prst="leftBrace">
          <a:avLst>
            <a:gd name="adj1" fmla="val 35000"/>
            <a:gd name="adj2" fmla="val 50000"/>
          </a:avLst>
        </a:pr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4242E0-7CF5-4C26-8F36-5E6AB545669B}">
      <dsp:nvSpPr>
        <dsp:cNvPr id="0" name=""/>
        <dsp:cNvSpPr/>
      </dsp:nvSpPr>
      <dsp:spPr>
        <a:xfrm>
          <a:off x="1837263" y="543"/>
          <a:ext cx="3886370" cy="358548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Complete section if available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1000" kern="1200"/>
            <a:t>Note: Default values provide Optus standard requirements</a:t>
          </a:r>
        </a:p>
      </dsp:txBody>
      <dsp:txXfrm>
        <a:off x="1837263" y="543"/>
        <a:ext cx="3886370" cy="358548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diagrams.loki3.com/BracketList">
  <dgm:title val="Vertical Bracket List"/>
  <dgm:desc val="Use to show grouped blocks of information.  Works well with large amounts of Level 2 text."/>
  <dgm:catLst>
    <dgm:cat type="list" pri="4110"/>
    <dgm:cat type="officeonline" pri="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3" srcId="0" destId="1" srcOrd="0" destOrd="0"/>
        <dgm:cxn modelId="4" srcId="1" destId="11" srcOrd="0" destOrd="0"/>
        <dgm:cxn modelId="5" srcId="0" destId="2" srcOrd="0" destOrd="0"/>
        <dgm:cxn modelId="6" srcId="2" destId="21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V" refType="primFontSz" refFor="des" refForName="parTx" fact="0.1"/>
      <dgm:constr type="primFontSz" for="des" forName="parTx" val="65"/>
      <dgm:constr type="primFontSz" for="des" forName="desTx" refType="primFontSz" refFor="des" refForName="parTx"/>
      <dgm:constr type="h" for="des" forName="parTx" refType="primFontSz" refFor="des" refForName="parTx" fact="0.55"/>
      <dgm:constr type="h" for="des" forName="bracket" refType="primFontSz" refFor="des" refForName="parTx" fact="0.55"/>
      <dgm:constr type="h" for="des" forName="desTx" refType="primFontSz" refFor="des" refForName="parTx" fact="0.55"/>
    </dgm:constrLst>
    <dgm:ruleLst>
      <dgm:rule type="primFontSz" for="des" forName="parTx" val="5" fact="NaN" max="NaN"/>
    </dgm:ruleLst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Tx" refType="w" fact="0.25"/>
          <dgm:constr type="w" for="ch" forName="bracket" refType="w" fact="0.05"/>
          <dgm:constr type="w" for="ch" forName="spH" refType="w" fact="0.02"/>
          <dgm:constr type="w" for="ch" forName="desTx" refType="w" fact="0.68"/>
          <dgm:constr type="h" for="ch" forName="bracket" refType="h" refFor="ch" refForName="desTx" op="gte"/>
          <dgm:constr type="h" for="ch" forName="bracket" refType="h" refFor="ch" refForName="parTx" op="gte"/>
          <dgm:constr type="h" for="ch" forName="desTx" refType="h" refFor="ch" refForName="parTx" op="gte"/>
        </dgm:constrLst>
        <dgm:ruleLst/>
        <dgm:layoutNode name="parTx" styleLbl="revTx">
          <dgm:varLst>
            <dgm:chMax val="1"/>
            <dgm:bulletEnabled val="1"/>
          </dgm:varLst>
          <dgm:choose name="Name8">
            <dgm:if name="Name9" func="var" arg="dir" op="equ" val="norm">
              <dgm:alg type="tx">
                <dgm:param type="parTxLTRAlign" val="r"/>
              </dgm:alg>
            </dgm:if>
            <dgm:else name="Name10">
              <dgm:alg type="tx">
                <dgm:param type="parTxLTRAlign" val="l"/>
              </dgm:alg>
            </dgm:else>
          </dgm:choose>
          <dgm:shape xmlns:r="http://schemas.openxmlformats.org/officeDocument/2006/relationships" type="rect" r:blip="">
            <dgm:adjLst/>
          </dgm:shape>
          <dgm:presOf axis="self" ptType="node"/>
          <dgm:constrLst>
            <dgm:constr type="tMarg" refType="primFontSz" fact="0.2"/>
            <dgm:constr type="bMarg" refType="primFontSz" fact="0.2"/>
          </dgm:constrLst>
          <dgm:ruleLst>
            <dgm:rule type="h" val="INF" fact="NaN" max="NaN"/>
          </dgm:ruleLst>
        </dgm:layoutNode>
        <dgm:layoutNode name="bracket" styleLbl="parChTrans1D1">
          <dgm:alg type="sp"/>
          <dgm:choose name="Name11">
            <dgm:if name="Name12" func="var" arg="dir" op="equ" val="norm">
              <dgm:shape xmlns:r="http://schemas.openxmlformats.org/officeDocument/2006/relationships" type="leftBrace" r:blip="">
                <dgm:adjLst>
                  <dgm:adj idx="1" val="0.35"/>
                </dgm:adjLst>
              </dgm:shape>
            </dgm:if>
            <dgm:else name="Name13">
              <dgm:shape xmlns:r="http://schemas.openxmlformats.org/officeDocument/2006/relationships" rot="180" type="leftBrace" r:blip="">
                <dgm:adjLst>
                  <dgm:adj idx="1" val="0.35"/>
                </dgm:adjLst>
              </dgm:shape>
            </dgm:else>
          </dgm:choose>
          <dgm:presOf/>
        </dgm:layoutNode>
        <dgm:layoutNode name="spH">
          <dgm:alg type="sp"/>
        </dgm:layoutNode>
        <dgm:choose name="Name14">
          <dgm:if name="Name15" axis="ch" ptType="node" func="cnt" op="gte" val="1">
            <dgm:layoutNode name="desTx" styleLbl="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shape xmlns:r="http://schemas.openxmlformats.org/officeDocument/2006/relationships" type="rect" r:blip="">
                <dgm:adjLst/>
              </dgm:shape>
              <dgm:presOf axis="des" ptType="node"/>
              <dgm:constrLst>
                <dgm:constr type="secFontSz" refType="primFontSz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h" val="INF" fact="NaN" max="NaN"/>
              </dgm:ruleLst>
            </dgm:layoutNode>
          </dgm:if>
          <dgm:else name="Name16"/>
        </dgm:choose>
      </dgm:layoutNode>
      <dgm:forEach name="Name17" axis="followSib" ptType="sibTrans" cnt="1">
        <dgm:layoutNode name="spV">
          <dgm:alg type="sp"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diagramData" Target="../diagrams/data3.xml"/><Relationship Id="rId18" Type="http://schemas.openxmlformats.org/officeDocument/2006/relationships/diagramData" Target="../diagrams/data4.xml"/><Relationship Id="rId39" Type="http://schemas.openxmlformats.org/officeDocument/2006/relationships/diagramLayout" Target="../diagrams/layout8.xml"/><Relationship Id="rId26" Type="http://schemas.openxmlformats.org/officeDocument/2006/relationships/diagramColors" Target="../diagrams/colors5.xml"/><Relationship Id="rId34" Type="http://schemas.openxmlformats.org/officeDocument/2006/relationships/diagramLayout" Target="../diagrams/layout7.xml"/><Relationship Id="rId21" Type="http://schemas.openxmlformats.org/officeDocument/2006/relationships/diagramColors" Target="../diagrams/colors4.xml"/><Relationship Id="rId47" Type="http://schemas.microsoft.com/office/2007/relationships/diagramDrawing" Target="../diagrams/drawing9.xml"/><Relationship Id="rId42" Type="http://schemas.microsoft.com/office/2007/relationships/diagramDrawing" Target="../diagrams/drawing8.xml"/><Relationship Id="rId7" Type="http://schemas.microsoft.com/office/2007/relationships/diagramDrawing" Target="../diagrams/drawing1.xml"/><Relationship Id="rId29" Type="http://schemas.openxmlformats.org/officeDocument/2006/relationships/diagramLayout" Target="../diagrams/layout6.xml"/><Relationship Id="rId16" Type="http://schemas.openxmlformats.org/officeDocument/2006/relationships/diagramColors" Target="../diagrams/colors3.xml"/><Relationship Id="rId24" Type="http://schemas.openxmlformats.org/officeDocument/2006/relationships/diagramLayout" Target="../diagrams/layout5.xml"/><Relationship Id="rId40" Type="http://schemas.openxmlformats.org/officeDocument/2006/relationships/diagramQuickStyle" Target="../diagrams/quickStyle8.xml"/><Relationship Id="rId45" Type="http://schemas.openxmlformats.org/officeDocument/2006/relationships/diagramQuickStyle" Target="../diagrams/quickStyle9.xml"/><Relationship Id="rId6" Type="http://schemas.openxmlformats.org/officeDocument/2006/relationships/diagramColors" Target="../diagrams/colors1.xml"/><Relationship Id="rId11" Type="http://schemas.openxmlformats.org/officeDocument/2006/relationships/diagramColors" Target="../diagrams/colors2.xml"/><Relationship Id="rId32" Type="http://schemas.microsoft.com/office/2007/relationships/diagramDrawing" Target="../diagrams/drawing6.xml"/><Relationship Id="rId37" Type="http://schemas.microsoft.com/office/2007/relationships/diagramDrawing" Target="../diagrams/drawing7.xml"/><Relationship Id="rId23" Type="http://schemas.openxmlformats.org/officeDocument/2006/relationships/diagramData" Target="../diagrams/data5.xml"/><Relationship Id="rId28" Type="http://schemas.openxmlformats.org/officeDocument/2006/relationships/diagramData" Target="../diagrams/data6.xml"/><Relationship Id="rId5" Type="http://schemas.openxmlformats.org/officeDocument/2006/relationships/diagramQuickStyle" Target="../diagrams/quickStyle1.xml"/><Relationship Id="rId15" Type="http://schemas.openxmlformats.org/officeDocument/2006/relationships/diagramQuickStyle" Target="../diagrams/quickStyle3.xml"/><Relationship Id="rId36" Type="http://schemas.openxmlformats.org/officeDocument/2006/relationships/diagramColors" Target="../diagrams/colors7.xml"/><Relationship Id="rId49" Type="http://schemas.openxmlformats.org/officeDocument/2006/relationships/image" Target="../media/image2.png"/><Relationship Id="rId19" Type="http://schemas.openxmlformats.org/officeDocument/2006/relationships/diagramLayout" Target="../diagrams/layout4.xml"/><Relationship Id="rId44" Type="http://schemas.openxmlformats.org/officeDocument/2006/relationships/diagramLayout" Target="../diagrams/layout9.xml"/><Relationship Id="rId10" Type="http://schemas.openxmlformats.org/officeDocument/2006/relationships/diagramQuickStyle" Target="../diagrams/quickStyle2.xml"/><Relationship Id="rId31" Type="http://schemas.openxmlformats.org/officeDocument/2006/relationships/diagramColors" Target="../diagrams/colors6.xml"/><Relationship Id="rId43" Type="http://schemas.openxmlformats.org/officeDocument/2006/relationships/diagramData" Target="../diagrams/data9.xml"/><Relationship Id="rId4" Type="http://schemas.openxmlformats.org/officeDocument/2006/relationships/diagramLayout" Target="../diagrams/layout1.xml"/><Relationship Id="rId9" Type="http://schemas.openxmlformats.org/officeDocument/2006/relationships/diagramLayout" Target="../diagrams/layout2.xml"/><Relationship Id="rId14" Type="http://schemas.openxmlformats.org/officeDocument/2006/relationships/diagramLayout" Target="../diagrams/layout3.xml"/><Relationship Id="rId30" Type="http://schemas.openxmlformats.org/officeDocument/2006/relationships/diagramQuickStyle" Target="../diagrams/quickStyle6.xml"/><Relationship Id="rId35" Type="http://schemas.openxmlformats.org/officeDocument/2006/relationships/diagramQuickStyle" Target="../diagrams/quickStyle7.xml"/><Relationship Id="rId22" Type="http://schemas.microsoft.com/office/2007/relationships/diagramDrawing" Target="../diagrams/drawing4.xml"/><Relationship Id="rId27" Type="http://schemas.microsoft.com/office/2007/relationships/diagramDrawing" Target="../diagrams/drawing5.xml"/><Relationship Id="rId48" Type="http://schemas.openxmlformats.org/officeDocument/2006/relationships/image" Target="../media/image1.jpeg"/><Relationship Id="rId8" Type="http://schemas.openxmlformats.org/officeDocument/2006/relationships/diagramData" Target="../diagrams/data2.xml"/><Relationship Id="rId3" Type="http://schemas.openxmlformats.org/officeDocument/2006/relationships/diagramData" Target="../diagrams/data1.xml"/><Relationship Id="rId33" Type="http://schemas.openxmlformats.org/officeDocument/2006/relationships/diagramData" Target="../diagrams/data7.xml"/><Relationship Id="rId38" Type="http://schemas.openxmlformats.org/officeDocument/2006/relationships/diagramData" Target="../diagrams/data8.xml"/><Relationship Id="rId25" Type="http://schemas.openxmlformats.org/officeDocument/2006/relationships/diagramQuickStyle" Target="../diagrams/quickStyle5.xml"/><Relationship Id="rId46" Type="http://schemas.openxmlformats.org/officeDocument/2006/relationships/diagramColors" Target="../diagrams/colors9.xml"/><Relationship Id="rId12" Type="http://schemas.microsoft.com/office/2007/relationships/diagramDrawing" Target="../diagrams/drawing2.xml"/><Relationship Id="rId17" Type="http://schemas.microsoft.com/office/2007/relationships/diagramDrawing" Target="../diagrams/drawing3.xml"/><Relationship Id="rId20" Type="http://schemas.openxmlformats.org/officeDocument/2006/relationships/diagramQuickStyle" Target="../diagrams/quickStyle4.xml"/><Relationship Id="rId41" Type="http://schemas.openxmlformats.org/officeDocument/2006/relationships/diagramColors" Target="../diagrams/colors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449580</xdr:colOff>
          <xdr:row>140</xdr:row>
          <xdr:rowOff>68580</xdr:rowOff>
        </xdr:from>
        <xdr:to>
          <xdr:col>17</xdr:col>
          <xdr:colOff>335280</xdr:colOff>
          <xdr:row>141</xdr:row>
          <xdr:rowOff>144780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114300</xdr:rowOff>
        </xdr:from>
        <xdr:to>
          <xdr:col>4</xdr:col>
          <xdr:colOff>297180</xdr:colOff>
          <xdr:row>7</xdr:row>
          <xdr:rowOff>137160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9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6</xdr:row>
          <xdr:rowOff>114300</xdr:rowOff>
        </xdr:from>
        <xdr:to>
          <xdr:col>4</xdr:col>
          <xdr:colOff>556260</xdr:colOff>
          <xdr:row>7</xdr:row>
          <xdr:rowOff>137160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9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45</xdr:row>
          <xdr:rowOff>114300</xdr:rowOff>
        </xdr:from>
        <xdr:to>
          <xdr:col>4</xdr:col>
          <xdr:colOff>297180</xdr:colOff>
          <xdr:row>46</xdr:row>
          <xdr:rowOff>137160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9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45</xdr:row>
          <xdr:rowOff>114300</xdr:rowOff>
        </xdr:from>
        <xdr:to>
          <xdr:col>4</xdr:col>
          <xdr:colOff>556260</xdr:colOff>
          <xdr:row>46</xdr:row>
          <xdr:rowOff>137160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9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58</xdr:row>
          <xdr:rowOff>114300</xdr:rowOff>
        </xdr:from>
        <xdr:to>
          <xdr:col>4</xdr:col>
          <xdr:colOff>297180</xdr:colOff>
          <xdr:row>59</xdr:row>
          <xdr:rowOff>137160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9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58</xdr:row>
          <xdr:rowOff>114300</xdr:rowOff>
        </xdr:from>
        <xdr:to>
          <xdr:col>4</xdr:col>
          <xdr:colOff>556260</xdr:colOff>
          <xdr:row>59</xdr:row>
          <xdr:rowOff>137160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9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104</xdr:row>
          <xdr:rowOff>114300</xdr:rowOff>
        </xdr:from>
        <xdr:to>
          <xdr:col>4</xdr:col>
          <xdr:colOff>297180</xdr:colOff>
          <xdr:row>105</xdr:row>
          <xdr:rowOff>137160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9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104</xdr:row>
          <xdr:rowOff>114300</xdr:rowOff>
        </xdr:from>
        <xdr:to>
          <xdr:col>4</xdr:col>
          <xdr:colOff>556260</xdr:colOff>
          <xdr:row>105</xdr:row>
          <xdr:rowOff>137160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122</xdr:row>
          <xdr:rowOff>114300</xdr:rowOff>
        </xdr:from>
        <xdr:to>
          <xdr:col>4</xdr:col>
          <xdr:colOff>297180</xdr:colOff>
          <xdr:row>123</xdr:row>
          <xdr:rowOff>137160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122</xdr:row>
          <xdr:rowOff>114300</xdr:rowOff>
        </xdr:from>
        <xdr:to>
          <xdr:col>4</xdr:col>
          <xdr:colOff>556260</xdr:colOff>
          <xdr:row>123</xdr:row>
          <xdr:rowOff>137160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82</xdr:row>
          <xdr:rowOff>22860</xdr:rowOff>
        </xdr:from>
        <xdr:to>
          <xdr:col>5</xdr:col>
          <xdr:colOff>487680</xdr:colOff>
          <xdr:row>83</xdr:row>
          <xdr:rowOff>22860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9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47</xdr:row>
      <xdr:rowOff>123825</xdr:rowOff>
    </xdr:from>
    <xdr:to>
      <xdr:col>24</xdr:col>
      <xdr:colOff>238125</xdr:colOff>
      <xdr:row>49</xdr:row>
      <xdr:rowOff>61912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15</xdr:col>
      <xdr:colOff>0</xdr:colOff>
      <xdr:row>19</xdr:row>
      <xdr:rowOff>0</xdr:rowOff>
    </xdr:from>
    <xdr:to>
      <xdr:col>24</xdr:col>
      <xdr:colOff>238125</xdr:colOff>
      <xdr:row>20</xdr:row>
      <xdr:rowOff>147637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8" r:lo="rId9" r:qs="rId10" r:cs="rId11"/>
        </a:graphicData>
      </a:graphic>
    </xdr:graphicFrame>
    <xdr:clientData/>
  </xdr:twoCellAnchor>
  <xdr:twoCellAnchor>
    <xdr:from>
      <xdr:col>15</xdr:col>
      <xdr:colOff>0</xdr:colOff>
      <xdr:row>10</xdr:row>
      <xdr:rowOff>114300</xdr:rowOff>
    </xdr:from>
    <xdr:to>
      <xdr:col>24</xdr:col>
      <xdr:colOff>233364</xdr:colOff>
      <xdr:row>12</xdr:row>
      <xdr:rowOff>52387</xdr:rowOff>
    </xdr:to>
    <xdr:graphicFrame macro="">
      <xdr:nvGraphicFramePr>
        <xdr:cNvPr id="14" name="Diagram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3" r:lo="rId14" r:qs="rId15" r:cs="rId16"/>
        </a:graphicData>
      </a:graphic>
    </xdr:graphicFrame>
    <xdr:clientData/>
  </xdr:twoCellAnchor>
  <xdr:twoCellAnchor>
    <xdr:from>
      <xdr:col>15</xdr:col>
      <xdr:colOff>0</xdr:colOff>
      <xdr:row>62</xdr:row>
      <xdr:rowOff>0</xdr:rowOff>
    </xdr:from>
    <xdr:to>
      <xdr:col>24</xdr:col>
      <xdr:colOff>238125</xdr:colOff>
      <xdr:row>63</xdr:row>
      <xdr:rowOff>147637</xdr:rowOff>
    </xdr:to>
    <xdr:graphicFrame macro="">
      <xdr:nvGraphicFramePr>
        <xdr:cNvPr id="23" name="Diagra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8" r:lo="rId19" r:qs="rId20" r:cs="rId21"/>
        </a:graphicData>
      </a:graphic>
    </xdr:graphicFrame>
    <xdr:clientData/>
  </xdr:twoCellAnchor>
  <xdr:twoCellAnchor>
    <xdr:from>
      <xdr:col>15</xdr:col>
      <xdr:colOff>0</xdr:colOff>
      <xdr:row>69</xdr:row>
      <xdr:rowOff>114300</xdr:rowOff>
    </xdr:from>
    <xdr:to>
      <xdr:col>24</xdr:col>
      <xdr:colOff>238125</xdr:colOff>
      <xdr:row>71</xdr:row>
      <xdr:rowOff>52387</xdr:rowOff>
    </xdr:to>
    <xdr:graphicFrame macro="">
      <xdr:nvGraphicFramePr>
        <xdr:cNvPr id="26" name="Diagra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3" r:lo="rId24" r:qs="rId25" r:cs="rId26"/>
        </a:graphicData>
      </a:graphic>
    </xdr:graphicFrame>
    <xdr:clientData/>
  </xdr:twoCellAnchor>
  <xdr:twoCellAnchor>
    <xdr:from>
      <xdr:col>15</xdr:col>
      <xdr:colOff>0</xdr:colOff>
      <xdr:row>74</xdr:row>
      <xdr:rowOff>66675</xdr:rowOff>
    </xdr:from>
    <xdr:to>
      <xdr:col>24</xdr:col>
      <xdr:colOff>238125</xdr:colOff>
      <xdr:row>76</xdr:row>
      <xdr:rowOff>190500</xdr:rowOff>
    </xdr:to>
    <xdr:graphicFrame macro="">
      <xdr:nvGraphicFramePr>
        <xdr:cNvPr id="27" name="Diagra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8" r:lo="rId29" r:qs="rId30" r:cs="rId31"/>
        </a:graphicData>
      </a:graphic>
    </xdr:graphicFrame>
    <xdr:clientData/>
  </xdr:twoCellAnchor>
  <xdr:twoCellAnchor>
    <xdr:from>
      <xdr:col>15</xdr:col>
      <xdr:colOff>0</xdr:colOff>
      <xdr:row>106</xdr:row>
      <xdr:rowOff>152399</xdr:rowOff>
    </xdr:from>
    <xdr:to>
      <xdr:col>24</xdr:col>
      <xdr:colOff>238125</xdr:colOff>
      <xdr:row>110</xdr:row>
      <xdr:rowOff>95250</xdr:rowOff>
    </xdr:to>
    <xdr:graphicFrame macro="">
      <xdr:nvGraphicFramePr>
        <xdr:cNvPr id="29" name="Diagra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3" r:lo="rId34" r:qs="rId35" r:cs="rId36"/>
        </a:graphicData>
      </a:graphic>
    </xdr:graphicFrame>
    <xdr:clientData/>
  </xdr:twoCellAnchor>
  <xdr:twoCellAnchor>
    <xdr:from>
      <xdr:col>15</xdr:col>
      <xdr:colOff>0</xdr:colOff>
      <xdr:row>124</xdr:row>
      <xdr:rowOff>123825</xdr:rowOff>
    </xdr:from>
    <xdr:to>
      <xdr:col>24</xdr:col>
      <xdr:colOff>238125</xdr:colOff>
      <xdr:row>126</xdr:row>
      <xdr:rowOff>61912</xdr:rowOff>
    </xdr:to>
    <xdr:graphicFrame macro="">
      <xdr:nvGraphicFramePr>
        <xdr:cNvPr id="30" name="Diagra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8" r:lo="rId39" r:qs="rId40" r:cs="rId41"/>
        </a:graphicData>
      </a:graphic>
    </xdr:graphicFrame>
    <xdr:clientData/>
  </xdr:twoCellAnchor>
  <xdr:twoCellAnchor>
    <xdr:from>
      <xdr:col>15</xdr:col>
      <xdr:colOff>0</xdr:colOff>
      <xdr:row>82</xdr:row>
      <xdr:rowOff>133350</xdr:rowOff>
    </xdr:from>
    <xdr:to>
      <xdr:col>24</xdr:col>
      <xdr:colOff>238125</xdr:colOff>
      <xdr:row>84</xdr:row>
      <xdr:rowOff>71437</xdr:rowOff>
    </xdr:to>
    <xdr:graphicFrame macro="">
      <xdr:nvGraphicFramePr>
        <xdr:cNvPr id="31" name="Diagra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3" r:lo="rId44" r:qs="rId45" r:cs="rId4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342900</xdr:colOff>
          <xdr:row>180</xdr:row>
          <xdr:rowOff>38100</xdr:rowOff>
        </xdr:from>
        <xdr:to>
          <xdr:col>19</xdr:col>
          <xdr:colOff>342900</xdr:colOff>
          <xdr:row>181</xdr:row>
          <xdr:rowOff>114300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A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114300</xdr:rowOff>
        </xdr:from>
        <xdr:to>
          <xdr:col>4</xdr:col>
          <xdr:colOff>297180</xdr:colOff>
          <xdr:row>7</xdr:row>
          <xdr:rowOff>137160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A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6</xdr:row>
          <xdr:rowOff>114300</xdr:rowOff>
        </xdr:from>
        <xdr:to>
          <xdr:col>4</xdr:col>
          <xdr:colOff>556260</xdr:colOff>
          <xdr:row>7</xdr:row>
          <xdr:rowOff>137160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A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51</xdr:row>
          <xdr:rowOff>114300</xdr:rowOff>
        </xdr:from>
        <xdr:to>
          <xdr:col>4</xdr:col>
          <xdr:colOff>297180</xdr:colOff>
          <xdr:row>52</xdr:row>
          <xdr:rowOff>137160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A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51</xdr:row>
          <xdr:rowOff>114300</xdr:rowOff>
        </xdr:from>
        <xdr:to>
          <xdr:col>4</xdr:col>
          <xdr:colOff>556260</xdr:colOff>
          <xdr:row>52</xdr:row>
          <xdr:rowOff>137160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A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76</xdr:row>
          <xdr:rowOff>114300</xdr:rowOff>
        </xdr:from>
        <xdr:to>
          <xdr:col>4</xdr:col>
          <xdr:colOff>297180</xdr:colOff>
          <xdr:row>77</xdr:row>
          <xdr:rowOff>144780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A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76</xdr:row>
          <xdr:rowOff>114300</xdr:rowOff>
        </xdr:from>
        <xdr:to>
          <xdr:col>4</xdr:col>
          <xdr:colOff>556260</xdr:colOff>
          <xdr:row>77</xdr:row>
          <xdr:rowOff>144780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A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104</xdr:row>
          <xdr:rowOff>114300</xdr:rowOff>
        </xdr:from>
        <xdr:to>
          <xdr:col>4</xdr:col>
          <xdr:colOff>297180</xdr:colOff>
          <xdr:row>105</xdr:row>
          <xdr:rowOff>144780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A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104</xdr:row>
          <xdr:rowOff>114300</xdr:rowOff>
        </xdr:from>
        <xdr:to>
          <xdr:col>4</xdr:col>
          <xdr:colOff>556260</xdr:colOff>
          <xdr:row>105</xdr:row>
          <xdr:rowOff>144780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A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126</xdr:row>
          <xdr:rowOff>114300</xdr:rowOff>
        </xdr:from>
        <xdr:to>
          <xdr:col>4</xdr:col>
          <xdr:colOff>297180</xdr:colOff>
          <xdr:row>127</xdr:row>
          <xdr:rowOff>144780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A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126</xdr:row>
          <xdr:rowOff>114300</xdr:rowOff>
        </xdr:from>
        <xdr:to>
          <xdr:col>4</xdr:col>
          <xdr:colOff>556260</xdr:colOff>
          <xdr:row>127</xdr:row>
          <xdr:rowOff>144780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A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60960</xdr:colOff>
          <xdr:row>146</xdr:row>
          <xdr:rowOff>22860</xdr:rowOff>
        </xdr:from>
        <xdr:to>
          <xdr:col>19</xdr:col>
          <xdr:colOff>190500</xdr:colOff>
          <xdr:row>148</xdr:row>
          <xdr:rowOff>0</xdr:rowOff>
        </xdr:to>
        <xdr:sp macro="" textlink="">
          <xdr:nvSpPr>
            <xdr:cNvPr id="4310" name="Button 214" hidden="1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A00-0000D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Go to PLBC Calc.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419100</xdr:colOff>
          <xdr:row>281</xdr:row>
          <xdr:rowOff>68580</xdr:rowOff>
        </xdr:from>
        <xdr:to>
          <xdr:col>17</xdr:col>
          <xdr:colOff>304800</xdr:colOff>
          <xdr:row>282</xdr:row>
          <xdr:rowOff>144780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9</xdr:row>
          <xdr:rowOff>0</xdr:rowOff>
        </xdr:from>
        <xdr:to>
          <xdr:col>16</xdr:col>
          <xdr:colOff>601980</xdr:colOff>
          <xdr:row>10</xdr:row>
          <xdr:rowOff>22860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B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10</xdr:row>
          <xdr:rowOff>0</xdr:rowOff>
        </xdr:from>
        <xdr:to>
          <xdr:col>16</xdr:col>
          <xdr:colOff>601980</xdr:colOff>
          <xdr:row>11</xdr:row>
          <xdr:rowOff>22860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B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</xdr:row>
          <xdr:rowOff>0</xdr:rowOff>
        </xdr:from>
        <xdr:to>
          <xdr:col>16</xdr:col>
          <xdr:colOff>601980</xdr:colOff>
          <xdr:row>12</xdr:row>
          <xdr:rowOff>22860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B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</xdr:row>
          <xdr:rowOff>0</xdr:rowOff>
        </xdr:from>
        <xdr:to>
          <xdr:col>16</xdr:col>
          <xdr:colOff>601980</xdr:colOff>
          <xdr:row>13</xdr:row>
          <xdr:rowOff>22860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B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13</xdr:row>
          <xdr:rowOff>0</xdr:rowOff>
        </xdr:from>
        <xdr:to>
          <xdr:col>16</xdr:col>
          <xdr:colOff>601980</xdr:colOff>
          <xdr:row>14</xdr:row>
          <xdr:rowOff>22860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B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17</xdr:row>
          <xdr:rowOff>0</xdr:rowOff>
        </xdr:from>
        <xdr:to>
          <xdr:col>16</xdr:col>
          <xdr:colOff>601980</xdr:colOff>
          <xdr:row>18</xdr:row>
          <xdr:rowOff>22860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B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18</xdr:row>
          <xdr:rowOff>0</xdr:rowOff>
        </xdr:from>
        <xdr:to>
          <xdr:col>16</xdr:col>
          <xdr:colOff>601980</xdr:colOff>
          <xdr:row>19</xdr:row>
          <xdr:rowOff>22860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B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19</xdr:row>
          <xdr:rowOff>0</xdr:rowOff>
        </xdr:from>
        <xdr:to>
          <xdr:col>16</xdr:col>
          <xdr:colOff>601980</xdr:colOff>
          <xdr:row>20</xdr:row>
          <xdr:rowOff>22860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B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22</xdr:row>
          <xdr:rowOff>0</xdr:rowOff>
        </xdr:from>
        <xdr:to>
          <xdr:col>16</xdr:col>
          <xdr:colOff>601980</xdr:colOff>
          <xdr:row>23</xdr:row>
          <xdr:rowOff>22860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B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23</xdr:row>
          <xdr:rowOff>0</xdr:rowOff>
        </xdr:from>
        <xdr:to>
          <xdr:col>16</xdr:col>
          <xdr:colOff>601980</xdr:colOff>
          <xdr:row>24</xdr:row>
          <xdr:rowOff>22860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B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24</xdr:row>
          <xdr:rowOff>0</xdr:rowOff>
        </xdr:from>
        <xdr:to>
          <xdr:col>16</xdr:col>
          <xdr:colOff>601980</xdr:colOff>
          <xdr:row>25</xdr:row>
          <xdr:rowOff>22860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B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26</xdr:row>
          <xdr:rowOff>175260</xdr:rowOff>
        </xdr:from>
        <xdr:to>
          <xdr:col>16</xdr:col>
          <xdr:colOff>601980</xdr:colOff>
          <xdr:row>27</xdr:row>
          <xdr:rowOff>190500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B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34</xdr:row>
          <xdr:rowOff>190500</xdr:rowOff>
        </xdr:from>
        <xdr:to>
          <xdr:col>16</xdr:col>
          <xdr:colOff>601980</xdr:colOff>
          <xdr:row>36</xdr:row>
          <xdr:rowOff>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B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46</xdr:row>
          <xdr:rowOff>0</xdr:rowOff>
        </xdr:from>
        <xdr:to>
          <xdr:col>16</xdr:col>
          <xdr:colOff>601980</xdr:colOff>
          <xdr:row>47</xdr:row>
          <xdr:rowOff>22860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B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47</xdr:row>
          <xdr:rowOff>0</xdr:rowOff>
        </xdr:from>
        <xdr:to>
          <xdr:col>16</xdr:col>
          <xdr:colOff>601980</xdr:colOff>
          <xdr:row>48</xdr:row>
          <xdr:rowOff>22860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B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51</xdr:row>
          <xdr:rowOff>0</xdr:rowOff>
        </xdr:from>
        <xdr:to>
          <xdr:col>16</xdr:col>
          <xdr:colOff>601980</xdr:colOff>
          <xdr:row>52</xdr:row>
          <xdr:rowOff>22860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B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52</xdr:row>
          <xdr:rowOff>0</xdr:rowOff>
        </xdr:from>
        <xdr:to>
          <xdr:col>16</xdr:col>
          <xdr:colOff>601980</xdr:colOff>
          <xdr:row>53</xdr:row>
          <xdr:rowOff>22860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B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53</xdr:row>
          <xdr:rowOff>0</xdr:rowOff>
        </xdr:from>
        <xdr:to>
          <xdr:col>16</xdr:col>
          <xdr:colOff>601980</xdr:colOff>
          <xdr:row>54</xdr:row>
          <xdr:rowOff>22860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B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60</xdr:row>
          <xdr:rowOff>0</xdr:rowOff>
        </xdr:from>
        <xdr:to>
          <xdr:col>16</xdr:col>
          <xdr:colOff>601980</xdr:colOff>
          <xdr:row>61</xdr:row>
          <xdr:rowOff>22860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B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63</xdr:row>
          <xdr:rowOff>0</xdr:rowOff>
        </xdr:from>
        <xdr:to>
          <xdr:col>16</xdr:col>
          <xdr:colOff>601980</xdr:colOff>
          <xdr:row>64</xdr:row>
          <xdr:rowOff>22860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B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64</xdr:row>
          <xdr:rowOff>0</xdr:rowOff>
        </xdr:from>
        <xdr:to>
          <xdr:col>16</xdr:col>
          <xdr:colOff>601980</xdr:colOff>
          <xdr:row>65</xdr:row>
          <xdr:rowOff>22860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B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65</xdr:row>
          <xdr:rowOff>0</xdr:rowOff>
        </xdr:from>
        <xdr:to>
          <xdr:col>16</xdr:col>
          <xdr:colOff>601980</xdr:colOff>
          <xdr:row>66</xdr:row>
          <xdr:rowOff>22860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B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68</xdr:row>
          <xdr:rowOff>0</xdr:rowOff>
        </xdr:from>
        <xdr:to>
          <xdr:col>16</xdr:col>
          <xdr:colOff>601980</xdr:colOff>
          <xdr:row>69</xdr:row>
          <xdr:rowOff>22860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B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69</xdr:row>
          <xdr:rowOff>0</xdr:rowOff>
        </xdr:from>
        <xdr:to>
          <xdr:col>16</xdr:col>
          <xdr:colOff>601980</xdr:colOff>
          <xdr:row>70</xdr:row>
          <xdr:rowOff>22860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B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70</xdr:row>
          <xdr:rowOff>0</xdr:rowOff>
        </xdr:from>
        <xdr:to>
          <xdr:col>16</xdr:col>
          <xdr:colOff>601980</xdr:colOff>
          <xdr:row>71</xdr:row>
          <xdr:rowOff>22860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B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73</xdr:row>
          <xdr:rowOff>0</xdr:rowOff>
        </xdr:from>
        <xdr:to>
          <xdr:col>16</xdr:col>
          <xdr:colOff>601980</xdr:colOff>
          <xdr:row>74</xdr:row>
          <xdr:rowOff>22860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B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74</xdr:row>
          <xdr:rowOff>0</xdr:rowOff>
        </xdr:from>
        <xdr:to>
          <xdr:col>16</xdr:col>
          <xdr:colOff>601980</xdr:colOff>
          <xdr:row>75</xdr:row>
          <xdr:rowOff>22860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B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75</xdr:row>
          <xdr:rowOff>0</xdr:rowOff>
        </xdr:from>
        <xdr:to>
          <xdr:col>16</xdr:col>
          <xdr:colOff>601980</xdr:colOff>
          <xdr:row>76</xdr:row>
          <xdr:rowOff>22860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B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76</xdr:row>
          <xdr:rowOff>0</xdr:rowOff>
        </xdr:from>
        <xdr:to>
          <xdr:col>16</xdr:col>
          <xdr:colOff>601980</xdr:colOff>
          <xdr:row>77</xdr:row>
          <xdr:rowOff>22860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B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77</xdr:row>
          <xdr:rowOff>0</xdr:rowOff>
        </xdr:from>
        <xdr:to>
          <xdr:col>16</xdr:col>
          <xdr:colOff>601980</xdr:colOff>
          <xdr:row>78</xdr:row>
          <xdr:rowOff>22860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B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78</xdr:row>
          <xdr:rowOff>0</xdr:rowOff>
        </xdr:from>
        <xdr:to>
          <xdr:col>16</xdr:col>
          <xdr:colOff>601980</xdr:colOff>
          <xdr:row>79</xdr:row>
          <xdr:rowOff>22860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B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81</xdr:row>
          <xdr:rowOff>0</xdr:rowOff>
        </xdr:from>
        <xdr:to>
          <xdr:col>16</xdr:col>
          <xdr:colOff>601980</xdr:colOff>
          <xdr:row>82</xdr:row>
          <xdr:rowOff>22860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B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82</xdr:row>
          <xdr:rowOff>0</xdr:rowOff>
        </xdr:from>
        <xdr:to>
          <xdr:col>16</xdr:col>
          <xdr:colOff>601980</xdr:colOff>
          <xdr:row>83</xdr:row>
          <xdr:rowOff>22860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B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83</xdr:row>
          <xdr:rowOff>0</xdr:rowOff>
        </xdr:from>
        <xdr:to>
          <xdr:col>16</xdr:col>
          <xdr:colOff>601980</xdr:colOff>
          <xdr:row>84</xdr:row>
          <xdr:rowOff>22860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B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84</xdr:row>
          <xdr:rowOff>0</xdr:rowOff>
        </xdr:from>
        <xdr:to>
          <xdr:col>16</xdr:col>
          <xdr:colOff>601980</xdr:colOff>
          <xdr:row>85</xdr:row>
          <xdr:rowOff>22860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B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85</xdr:row>
          <xdr:rowOff>0</xdr:rowOff>
        </xdr:from>
        <xdr:to>
          <xdr:col>16</xdr:col>
          <xdr:colOff>601980</xdr:colOff>
          <xdr:row>86</xdr:row>
          <xdr:rowOff>22860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B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90</xdr:row>
          <xdr:rowOff>0</xdr:rowOff>
        </xdr:from>
        <xdr:to>
          <xdr:col>16</xdr:col>
          <xdr:colOff>601980</xdr:colOff>
          <xdr:row>91</xdr:row>
          <xdr:rowOff>22860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B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95</xdr:row>
          <xdr:rowOff>0</xdr:rowOff>
        </xdr:from>
        <xdr:to>
          <xdr:col>16</xdr:col>
          <xdr:colOff>601980</xdr:colOff>
          <xdr:row>96</xdr:row>
          <xdr:rowOff>22860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B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97</xdr:row>
          <xdr:rowOff>0</xdr:rowOff>
        </xdr:from>
        <xdr:to>
          <xdr:col>16</xdr:col>
          <xdr:colOff>601980</xdr:colOff>
          <xdr:row>98</xdr:row>
          <xdr:rowOff>22860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B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106</xdr:row>
          <xdr:rowOff>0</xdr:rowOff>
        </xdr:from>
        <xdr:to>
          <xdr:col>16</xdr:col>
          <xdr:colOff>601980</xdr:colOff>
          <xdr:row>107</xdr:row>
          <xdr:rowOff>22860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B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107</xdr:row>
          <xdr:rowOff>0</xdr:rowOff>
        </xdr:from>
        <xdr:to>
          <xdr:col>16</xdr:col>
          <xdr:colOff>601980</xdr:colOff>
          <xdr:row>108</xdr:row>
          <xdr:rowOff>22860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B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108</xdr:row>
          <xdr:rowOff>0</xdr:rowOff>
        </xdr:from>
        <xdr:to>
          <xdr:col>16</xdr:col>
          <xdr:colOff>601980</xdr:colOff>
          <xdr:row>109</xdr:row>
          <xdr:rowOff>22860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B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111</xdr:row>
          <xdr:rowOff>0</xdr:rowOff>
        </xdr:from>
        <xdr:to>
          <xdr:col>16</xdr:col>
          <xdr:colOff>601980</xdr:colOff>
          <xdr:row>112</xdr:row>
          <xdr:rowOff>22860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B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112</xdr:row>
          <xdr:rowOff>0</xdr:rowOff>
        </xdr:from>
        <xdr:to>
          <xdr:col>16</xdr:col>
          <xdr:colOff>601980</xdr:colOff>
          <xdr:row>113</xdr:row>
          <xdr:rowOff>22860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B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113</xdr:row>
          <xdr:rowOff>0</xdr:rowOff>
        </xdr:from>
        <xdr:to>
          <xdr:col>16</xdr:col>
          <xdr:colOff>601980</xdr:colOff>
          <xdr:row>114</xdr:row>
          <xdr:rowOff>22860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B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114</xdr:row>
          <xdr:rowOff>0</xdr:rowOff>
        </xdr:from>
        <xdr:to>
          <xdr:col>16</xdr:col>
          <xdr:colOff>601980</xdr:colOff>
          <xdr:row>115</xdr:row>
          <xdr:rowOff>22860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B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115</xdr:row>
          <xdr:rowOff>0</xdr:rowOff>
        </xdr:from>
        <xdr:to>
          <xdr:col>16</xdr:col>
          <xdr:colOff>601980</xdr:colOff>
          <xdr:row>116</xdr:row>
          <xdr:rowOff>22860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B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116</xdr:row>
          <xdr:rowOff>0</xdr:rowOff>
        </xdr:from>
        <xdr:to>
          <xdr:col>16</xdr:col>
          <xdr:colOff>601980</xdr:colOff>
          <xdr:row>117</xdr:row>
          <xdr:rowOff>22860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B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118</xdr:row>
          <xdr:rowOff>0</xdr:rowOff>
        </xdr:from>
        <xdr:to>
          <xdr:col>16</xdr:col>
          <xdr:colOff>601980</xdr:colOff>
          <xdr:row>119</xdr:row>
          <xdr:rowOff>22860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B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124</xdr:row>
          <xdr:rowOff>0</xdr:rowOff>
        </xdr:from>
        <xdr:to>
          <xdr:col>16</xdr:col>
          <xdr:colOff>601980</xdr:colOff>
          <xdr:row>125</xdr:row>
          <xdr:rowOff>22860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B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125</xdr:row>
          <xdr:rowOff>0</xdr:rowOff>
        </xdr:from>
        <xdr:to>
          <xdr:col>16</xdr:col>
          <xdr:colOff>601980</xdr:colOff>
          <xdr:row>126</xdr:row>
          <xdr:rowOff>22860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B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126</xdr:row>
          <xdr:rowOff>0</xdr:rowOff>
        </xdr:from>
        <xdr:to>
          <xdr:col>16</xdr:col>
          <xdr:colOff>601980</xdr:colOff>
          <xdr:row>127</xdr:row>
          <xdr:rowOff>22860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B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127</xdr:row>
          <xdr:rowOff>0</xdr:rowOff>
        </xdr:from>
        <xdr:to>
          <xdr:col>16</xdr:col>
          <xdr:colOff>601980</xdr:colOff>
          <xdr:row>128</xdr:row>
          <xdr:rowOff>22860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B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128</xdr:row>
          <xdr:rowOff>0</xdr:rowOff>
        </xdr:from>
        <xdr:to>
          <xdr:col>16</xdr:col>
          <xdr:colOff>601980</xdr:colOff>
          <xdr:row>129</xdr:row>
          <xdr:rowOff>22860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B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129</xdr:row>
          <xdr:rowOff>0</xdr:rowOff>
        </xdr:from>
        <xdr:to>
          <xdr:col>16</xdr:col>
          <xdr:colOff>601980</xdr:colOff>
          <xdr:row>130</xdr:row>
          <xdr:rowOff>22860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B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130</xdr:row>
          <xdr:rowOff>0</xdr:rowOff>
        </xdr:from>
        <xdr:to>
          <xdr:col>16</xdr:col>
          <xdr:colOff>601980</xdr:colOff>
          <xdr:row>131</xdr:row>
          <xdr:rowOff>22860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B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7</xdr:row>
          <xdr:rowOff>190500</xdr:rowOff>
        </xdr:from>
        <xdr:to>
          <xdr:col>16</xdr:col>
          <xdr:colOff>525780</xdr:colOff>
          <xdr:row>9</xdr:row>
          <xdr:rowOff>22860</xdr:rowOff>
        </xdr:to>
        <xdr:sp macro="" textlink="">
          <xdr:nvSpPr>
            <xdr:cNvPr id="10333" name="Button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B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44</xdr:row>
          <xdr:rowOff>190500</xdr:rowOff>
        </xdr:from>
        <xdr:to>
          <xdr:col>16</xdr:col>
          <xdr:colOff>525780</xdr:colOff>
          <xdr:row>46</xdr:row>
          <xdr:rowOff>22860</xdr:rowOff>
        </xdr:to>
        <xdr:sp macro="" textlink="">
          <xdr:nvSpPr>
            <xdr:cNvPr id="10344" name="Button 104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000000-0008-0000-0B00-00006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58</xdr:row>
          <xdr:rowOff>190500</xdr:rowOff>
        </xdr:from>
        <xdr:to>
          <xdr:col>16</xdr:col>
          <xdr:colOff>525780</xdr:colOff>
          <xdr:row>60</xdr:row>
          <xdr:rowOff>22860</xdr:rowOff>
        </xdr:to>
        <xdr:sp macro="" textlink="">
          <xdr:nvSpPr>
            <xdr:cNvPr id="10345" name="Button 105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00000000-0008-0000-0B00-00006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104</xdr:row>
          <xdr:rowOff>190500</xdr:rowOff>
        </xdr:from>
        <xdr:to>
          <xdr:col>16</xdr:col>
          <xdr:colOff>525780</xdr:colOff>
          <xdr:row>106</xdr:row>
          <xdr:rowOff>22860</xdr:rowOff>
        </xdr:to>
        <xdr:sp macro="" textlink="">
          <xdr:nvSpPr>
            <xdr:cNvPr id="10346" name="Button 106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00000000-0008-0000-0B00-00006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122</xdr:row>
          <xdr:rowOff>182880</xdr:rowOff>
        </xdr:from>
        <xdr:to>
          <xdr:col>16</xdr:col>
          <xdr:colOff>525780</xdr:colOff>
          <xdr:row>124</xdr:row>
          <xdr:rowOff>0</xdr:rowOff>
        </xdr:to>
        <xdr:sp macro="" textlink="">
          <xdr:nvSpPr>
            <xdr:cNvPr id="10347" name="Button 107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00000000-0008-0000-0B00-00006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6</xdr:row>
          <xdr:rowOff>137160</xdr:rowOff>
        </xdr:from>
        <xdr:to>
          <xdr:col>25</xdr:col>
          <xdr:colOff>190500</xdr:colOff>
          <xdr:row>7</xdr:row>
          <xdr:rowOff>182880</xdr:rowOff>
        </xdr:to>
        <xdr:sp macro="" textlink="">
          <xdr:nvSpPr>
            <xdr:cNvPr id="10373" name="Button 133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00000000-0008-0000-0B00-00008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RESET AC PSD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48</xdr:row>
          <xdr:rowOff>0</xdr:rowOff>
        </xdr:from>
        <xdr:to>
          <xdr:col>16</xdr:col>
          <xdr:colOff>601980</xdr:colOff>
          <xdr:row>49</xdr:row>
          <xdr:rowOff>22860</xdr:rowOff>
        </xdr:to>
        <xdr:sp macro="" textlink="">
          <xdr:nvSpPr>
            <xdr:cNvPr id="10393" name="Check Box 153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00000000-0008-0000-0B00-00009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114300</xdr:rowOff>
        </xdr:from>
        <xdr:to>
          <xdr:col>4</xdr:col>
          <xdr:colOff>297180</xdr:colOff>
          <xdr:row>7</xdr:row>
          <xdr:rowOff>137160</xdr:rowOff>
        </xdr:to>
        <xdr:sp macro="" textlink="">
          <xdr:nvSpPr>
            <xdr:cNvPr id="10414" name="Button 174" hidden="1">
              <a:extLst>
                <a:ext uri="{63B3BB69-23CF-44E3-9099-C40C66FF867C}">
                  <a14:compatExt spid="_x0000_s10414"/>
                </a:ext>
                <a:ext uri="{FF2B5EF4-FFF2-40B4-BE49-F238E27FC236}">
                  <a16:creationId xmlns:a16="http://schemas.microsoft.com/office/drawing/2014/main" id="{00000000-0008-0000-0B00-0000A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6</xdr:row>
          <xdr:rowOff>114300</xdr:rowOff>
        </xdr:from>
        <xdr:to>
          <xdr:col>4</xdr:col>
          <xdr:colOff>556260</xdr:colOff>
          <xdr:row>7</xdr:row>
          <xdr:rowOff>137160</xdr:rowOff>
        </xdr:to>
        <xdr:sp macro="" textlink="">
          <xdr:nvSpPr>
            <xdr:cNvPr id="10415" name="Button 175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00000000-0008-0000-0B00-0000A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43</xdr:row>
          <xdr:rowOff>114300</xdr:rowOff>
        </xdr:from>
        <xdr:to>
          <xdr:col>4</xdr:col>
          <xdr:colOff>297180</xdr:colOff>
          <xdr:row>44</xdr:row>
          <xdr:rowOff>137160</xdr:rowOff>
        </xdr:to>
        <xdr:sp macro="" textlink="">
          <xdr:nvSpPr>
            <xdr:cNvPr id="10416" name="Button 176" hidden="1">
              <a:extLst>
                <a:ext uri="{63B3BB69-23CF-44E3-9099-C40C66FF867C}">
                  <a14:compatExt spid="_x0000_s10416"/>
                </a:ext>
                <a:ext uri="{FF2B5EF4-FFF2-40B4-BE49-F238E27FC236}">
                  <a16:creationId xmlns:a16="http://schemas.microsoft.com/office/drawing/2014/main" id="{00000000-0008-0000-0B00-0000B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43</xdr:row>
          <xdr:rowOff>114300</xdr:rowOff>
        </xdr:from>
        <xdr:to>
          <xdr:col>4</xdr:col>
          <xdr:colOff>556260</xdr:colOff>
          <xdr:row>44</xdr:row>
          <xdr:rowOff>137160</xdr:rowOff>
        </xdr:to>
        <xdr:sp macro="" textlink="">
          <xdr:nvSpPr>
            <xdr:cNvPr id="10417" name="Button 177" hidden="1">
              <a:extLst>
                <a:ext uri="{63B3BB69-23CF-44E3-9099-C40C66FF867C}">
                  <a14:compatExt spid="_x0000_s10417"/>
                </a:ext>
                <a:ext uri="{FF2B5EF4-FFF2-40B4-BE49-F238E27FC236}">
                  <a16:creationId xmlns:a16="http://schemas.microsoft.com/office/drawing/2014/main" id="{00000000-0008-0000-0B00-0000B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56</xdr:row>
          <xdr:rowOff>114300</xdr:rowOff>
        </xdr:from>
        <xdr:to>
          <xdr:col>4</xdr:col>
          <xdr:colOff>297180</xdr:colOff>
          <xdr:row>57</xdr:row>
          <xdr:rowOff>137160</xdr:rowOff>
        </xdr:to>
        <xdr:sp macro="" textlink="">
          <xdr:nvSpPr>
            <xdr:cNvPr id="10418" name="Button 178" hidden="1">
              <a:extLst>
                <a:ext uri="{63B3BB69-23CF-44E3-9099-C40C66FF867C}">
                  <a14:compatExt spid="_x0000_s10418"/>
                </a:ext>
                <a:ext uri="{FF2B5EF4-FFF2-40B4-BE49-F238E27FC236}">
                  <a16:creationId xmlns:a16="http://schemas.microsoft.com/office/drawing/2014/main" id="{00000000-0008-0000-0B00-0000B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56</xdr:row>
          <xdr:rowOff>114300</xdr:rowOff>
        </xdr:from>
        <xdr:to>
          <xdr:col>4</xdr:col>
          <xdr:colOff>556260</xdr:colOff>
          <xdr:row>57</xdr:row>
          <xdr:rowOff>137160</xdr:rowOff>
        </xdr:to>
        <xdr:sp macro="" textlink="">
          <xdr:nvSpPr>
            <xdr:cNvPr id="10419" name="Button 179" hidden="1">
              <a:extLst>
                <a:ext uri="{63B3BB69-23CF-44E3-9099-C40C66FF867C}">
                  <a14:compatExt spid="_x0000_s10419"/>
                </a:ext>
                <a:ext uri="{FF2B5EF4-FFF2-40B4-BE49-F238E27FC236}">
                  <a16:creationId xmlns:a16="http://schemas.microsoft.com/office/drawing/2014/main" id="{00000000-0008-0000-0B00-0000B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121</xdr:row>
          <xdr:rowOff>114300</xdr:rowOff>
        </xdr:from>
        <xdr:to>
          <xdr:col>4</xdr:col>
          <xdr:colOff>297180</xdr:colOff>
          <xdr:row>122</xdr:row>
          <xdr:rowOff>137160</xdr:rowOff>
        </xdr:to>
        <xdr:sp macro="" textlink="">
          <xdr:nvSpPr>
            <xdr:cNvPr id="10422" name="Button 182" hidden="1">
              <a:extLst>
                <a:ext uri="{63B3BB69-23CF-44E3-9099-C40C66FF867C}">
                  <a14:compatExt spid="_x0000_s10422"/>
                </a:ext>
                <a:ext uri="{FF2B5EF4-FFF2-40B4-BE49-F238E27FC236}">
                  <a16:creationId xmlns:a16="http://schemas.microsoft.com/office/drawing/2014/main" id="{00000000-0008-0000-0B00-0000B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121</xdr:row>
          <xdr:rowOff>114300</xdr:rowOff>
        </xdr:from>
        <xdr:to>
          <xdr:col>4</xdr:col>
          <xdr:colOff>556260</xdr:colOff>
          <xdr:row>122</xdr:row>
          <xdr:rowOff>137160</xdr:rowOff>
        </xdr:to>
        <xdr:sp macro="" textlink="">
          <xdr:nvSpPr>
            <xdr:cNvPr id="10423" name="Button 183" hidden="1">
              <a:extLst>
                <a:ext uri="{63B3BB69-23CF-44E3-9099-C40C66FF867C}">
                  <a14:compatExt spid="_x0000_s10423"/>
                </a:ext>
                <a:ext uri="{FF2B5EF4-FFF2-40B4-BE49-F238E27FC236}">
                  <a16:creationId xmlns:a16="http://schemas.microsoft.com/office/drawing/2014/main" id="{00000000-0008-0000-0B00-0000B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138</xdr:row>
          <xdr:rowOff>114300</xdr:rowOff>
        </xdr:from>
        <xdr:to>
          <xdr:col>4</xdr:col>
          <xdr:colOff>297180</xdr:colOff>
          <xdr:row>139</xdr:row>
          <xdr:rowOff>137160</xdr:rowOff>
        </xdr:to>
        <xdr:sp macro="" textlink="">
          <xdr:nvSpPr>
            <xdr:cNvPr id="10424" name="Button 184" hidden="1">
              <a:extLst>
                <a:ext uri="{63B3BB69-23CF-44E3-9099-C40C66FF867C}">
                  <a14:compatExt spid="_x0000_s10424"/>
                </a:ext>
                <a:ext uri="{FF2B5EF4-FFF2-40B4-BE49-F238E27FC236}">
                  <a16:creationId xmlns:a16="http://schemas.microsoft.com/office/drawing/2014/main" id="{00000000-0008-0000-0B00-0000B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138</xdr:row>
          <xdr:rowOff>114300</xdr:rowOff>
        </xdr:from>
        <xdr:to>
          <xdr:col>4</xdr:col>
          <xdr:colOff>556260</xdr:colOff>
          <xdr:row>139</xdr:row>
          <xdr:rowOff>137160</xdr:rowOff>
        </xdr:to>
        <xdr:sp macro="" textlink="">
          <xdr:nvSpPr>
            <xdr:cNvPr id="10425" name="Button 185" hidden="1">
              <a:extLst>
                <a:ext uri="{63B3BB69-23CF-44E3-9099-C40C66FF867C}">
                  <a14:compatExt spid="_x0000_s10425"/>
                </a:ext>
                <a:ext uri="{FF2B5EF4-FFF2-40B4-BE49-F238E27FC236}">
                  <a16:creationId xmlns:a16="http://schemas.microsoft.com/office/drawing/2014/main" id="{00000000-0008-0000-0B00-0000B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173</xdr:row>
          <xdr:rowOff>114300</xdr:rowOff>
        </xdr:from>
        <xdr:to>
          <xdr:col>4</xdr:col>
          <xdr:colOff>297180</xdr:colOff>
          <xdr:row>174</xdr:row>
          <xdr:rowOff>137160</xdr:rowOff>
        </xdr:to>
        <xdr:sp macro="" textlink="">
          <xdr:nvSpPr>
            <xdr:cNvPr id="10426" name="Button 186" hidden="1">
              <a:extLst>
                <a:ext uri="{63B3BB69-23CF-44E3-9099-C40C66FF867C}">
                  <a14:compatExt spid="_x0000_s10426"/>
                </a:ext>
                <a:ext uri="{FF2B5EF4-FFF2-40B4-BE49-F238E27FC236}">
                  <a16:creationId xmlns:a16="http://schemas.microsoft.com/office/drawing/2014/main" id="{00000000-0008-0000-0B00-0000B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173</xdr:row>
          <xdr:rowOff>114300</xdr:rowOff>
        </xdr:from>
        <xdr:to>
          <xdr:col>4</xdr:col>
          <xdr:colOff>556260</xdr:colOff>
          <xdr:row>174</xdr:row>
          <xdr:rowOff>137160</xdr:rowOff>
        </xdr:to>
        <xdr:sp macro="" textlink="">
          <xdr:nvSpPr>
            <xdr:cNvPr id="10427" name="Button 187" hidden="1">
              <a:extLst>
                <a:ext uri="{63B3BB69-23CF-44E3-9099-C40C66FF867C}">
                  <a14:compatExt spid="_x0000_s10427"/>
                </a:ext>
                <a:ext uri="{FF2B5EF4-FFF2-40B4-BE49-F238E27FC236}">
                  <a16:creationId xmlns:a16="http://schemas.microsoft.com/office/drawing/2014/main" id="{00000000-0008-0000-0B00-0000B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196</xdr:row>
          <xdr:rowOff>114300</xdr:rowOff>
        </xdr:from>
        <xdr:to>
          <xdr:col>4</xdr:col>
          <xdr:colOff>297180</xdr:colOff>
          <xdr:row>197</xdr:row>
          <xdr:rowOff>137160</xdr:rowOff>
        </xdr:to>
        <xdr:sp macro="" textlink="">
          <xdr:nvSpPr>
            <xdr:cNvPr id="10428" name="Button 188" hidden="1">
              <a:extLst>
                <a:ext uri="{63B3BB69-23CF-44E3-9099-C40C66FF867C}">
                  <a14:compatExt spid="_x0000_s10428"/>
                </a:ext>
                <a:ext uri="{FF2B5EF4-FFF2-40B4-BE49-F238E27FC236}">
                  <a16:creationId xmlns:a16="http://schemas.microsoft.com/office/drawing/2014/main" id="{00000000-0008-0000-0B00-0000B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196</xdr:row>
          <xdr:rowOff>114300</xdr:rowOff>
        </xdr:from>
        <xdr:to>
          <xdr:col>4</xdr:col>
          <xdr:colOff>556260</xdr:colOff>
          <xdr:row>197</xdr:row>
          <xdr:rowOff>137160</xdr:rowOff>
        </xdr:to>
        <xdr:sp macro="" textlink="">
          <xdr:nvSpPr>
            <xdr:cNvPr id="10429" name="Button 189" hidden="1">
              <a:extLst>
                <a:ext uri="{63B3BB69-23CF-44E3-9099-C40C66FF867C}">
                  <a14:compatExt spid="_x0000_s10429"/>
                </a:ext>
                <a:ext uri="{FF2B5EF4-FFF2-40B4-BE49-F238E27FC236}">
                  <a16:creationId xmlns:a16="http://schemas.microsoft.com/office/drawing/2014/main" id="{00000000-0008-0000-0B00-0000B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216</xdr:row>
          <xdr:rowOff>114300</xdr:rowOff>
        </xdr:from>
        <xdr:to>
          <xdr:col>4</xdr:col>
          <xdr:colOff>297180</xdr:colOff>
          <xdr:row>217</xdr:row>
          <xdr:rowOff>144780</xdr:rowOff>
        </xdr:to>
        <xdr:sp macro="" textlink="">
          <xdr:nvSpPr>
            <xdr:cNvPr id="10430" name="Button 190" hidden="1">
              <a:extLst>
                <a:ext uri="{63B3BB69-23CF-44E3-9099-C40C66FF867C}">
                  <a14:compatExt spid="_x0000_s10430"/>
                </a:ext>
                <a:ext uri="{FF2B5EF4-FFF2-40B4-BE49-F238E27FC236}">
                  <a16:creationId xmlns:a16="http://schemas.microsoft.com/office/drawing/2014/main" id="{00000000-0008-0000-0B00-0000B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216</xdr:row>
          <xdr:rowOff>114300</xdr:rowOff>
        </xdr:from>
        <xdr:to>
          <xdr:col>4</xdr:col>
          <xdr:colOff>556260</xdr:colOff>
          <xdr:row>217</xdr:row>
          <xdr:rowOff>144780</xdr:rowOff>
        </xdr:to>
        <xdr:sp macro="" textlink="">
          <xdr:nvSpPr>
            <xdr:cNvPr id="10431" name="Button 191" hidden="1">
              <a:extLst>
                <a:ext uri="{63B3BB69-23CF-44E3-9099-C40C66FF867C}">
                  <a14:compatExt spid="_x0000_s10431"/>
                </a:ext>
                <a:ext uri="{FF2B5EF4-FFF2-40B4-BE49-F238E27FC236}">
                  <a16:creationId xmlns:a16="http://schemas.microsoft.com/office/drawing/2014/main" id="{00000000-0008-0000-0B00-0000B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240</xdr:row>
          <xdr:rowOff>114300</xdr:rowOff>
        </xdr:from>
        <xdr:to>
          <xdr:col>4</xdr:col>
          <xdr:colOff>297180</xdr:colOff>
          <xdr:row>241</xdr:row>
          <xdr:rowOff>144780</xdr:rowOff>
        </xdr:to>
        <xdr:sp macro="" textlink="">
          <xdr:nvSpPr>
            <xdr:cNvPr id="10432" name="Button 192" hidden="1">
              <a:extLst>
                <a:ext uri="{63B3BB69-23CF-44E3-9099-C40C66FF867C}">
                  <a14:compatExt spid="_x0000_s10432"/>
                </a:ext>
                <a:ext uri="{FF2B5EF4-FFF2-40B4-BE49-F238E27FC236}">
                  <a16:creationId xmlns:a16="http://schemas.microsoft.com/office/drawing/2014/main" id="{00000000-0008-0000-0B00-0000C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240</xdr:row>
          <xdr:rowOff>114300</xdr:rowOff>
        </xdr:from>
        <xdr:to>
          <xdr:col>4</xdr:col>
          <xdr:colOff>556260</xdr:colOff>
          <xdr:row>241</xdr:row>
          <xdr:rowOff>144780</xdr:rowOff>
        </xdr:to>
        <xdr:sp macro="" textlink="">
          <xdr:nvSpPr>
            <xdr:cNvPr id="10433" name="Button 193" hidden="1">
              <a:extLst>
                <a:ext uri="{63B3BB69-23CF-44E3-9099-C40C66FF867C}">
                  <a14:compatExt spid="_x0000_s10433"/>
                </a:ext>
                <a:ext uri="{FF2B5EF4-FFF2-40B4-BE49-F238E27FC236}">
                  <a16:creationId xmlns:a16="http://schemas.microsoft.com/office/drawing/2014/main" id="{00000000-0008-0000-0B00-0000C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248</xdr:row>
          <xdr:rowOff>182880</xdr:rowOff>
        </xdr:from>
        <xdr:to>
          <xdr:col>8</xdr:col>
          <xdr:colOff>0</xdr:colOff>
          <xdr:row>250</xdr:row>
          <xdr:rowOff>68580</xdr:rowOff>
        </xdr:to>
        <xdr:sp macro="" textlink="">
          <xdr:nvSpPr>
            <xdr:cNvPr id="10446" name="Button 206" hidden="1">
              <a:extLst>
                <a:ext uri="{63B3BB69-23CF-44E3-9099-C40C66FF867C}">
                  <a14:compatExt spid="_x0000_s10446"/>
                </a:ext>
                <a:ext uri="{FF2B5EF4-FFF2-40B4-BE49-F238E27FC236}">
                  <a16:creationId xmlns:a16="http://schemas.microsoft.com/office/drawing/2014/main" id="{00000000-0008-0000-0B00-0000C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248</xdr:row>
          <xdr:rowOff>182880</xdr:rowOff>
        </xdr:from>
        <xdr:to>
          <xdr:col>10</xdr:col>
          <xdr:colOff>594360</xdr:colOff>
          <xdr:row>250</xdr:row>
          <xdr:rowOff>68580</xdr:rowOff>
        </xdr:to>
        <xdr:sp macro="" textlink="">
          <xdr:nvSpPr>
            <xdr:cNvPr id="10448" name="Button 208" hidden="1">
              <a:extLst>
                <a:ext uri="{63B3BB69-23CF-44E3-9099-C40C66FF867C}">
                  <a14:compatExt spid="_x0000_s10448"/>
                </a:ext>
                <a:ext uri="{FF2B5EF4-FFF2-40B4-BE49-F238E27FC236}">
                  <a16:creationId xmlns:a16="http://schemas.microsoft.com/office/drawing/2014/main" id="{00000000-0008-0000-0B00-0000D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91</xdr:row>
          <xdr:rowOff>0</xdr:rowOff>
        </xdr:from>
        <xdr:to>
          <xdr:col>16</xdr:col>
          <xdr:colOff>601980</xdr:colOff>
          <xdr:row>92</xdr:row>
          <xdr:rowOff>22860</xdr:rowOff>
        </xdr:to>
        <xdr:sp macro="" textlink="">
          <xdr:nvSpPr>
            <xdr:cNvPr id="10453" name="Check Box 213" hidden="1">
              <a:extLst>
                <a:ext uri="{63B3BB69-23CF-44E3-9099-C40C66FF867C}">
                  <a14:compatExt spid="_x0000_s10453"/>
                </a:ext>
                <a:ext uri="{FF2B5EF4-FFF2-40B4-BE49-F238E27FC236}">
                  <a16:creationId xmlns:a16="http://schemas.microsoft.com/office/drawing/2014/main" id="{00000000-0008-0000-0B00-0000D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342900</xdr:colOff>
          <xdr:row>149</xdr:row>
          <xdr:rowOff>38100</xdr:rowOff>
        </xdr:from>
        <xdr:to>
          <xdr:col>19</xdr:col>
          <xdr:colOff>342900</xdr:colOff>
          <xdr:row>150</xdr:row>
          <xdr:rowOff>114300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C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114300</xdr:rowOff>
        </xdr:from>
        <xdr:to>
          <xdr:col>4</xdr:col>
          <xdr:colOff>297180</xdr:colOff>
          <xdr:row>7</xdr:row>
          <xdr:rowOff>137160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C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6</xdr:row>
          <xdr:rowOff>114300</xdr:rowOff>
        </xdr:from>
        <xdr:to>
          <xdr:col>4</xdr:col>
          <xdr:colOff>556260</xdr:colOff>
          <xdr:row>7</xdr:row>
          <xdr:rowOff>137160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C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51</xdr:row>
          <xdr:rowOff>114300</xdr:rowOff>
        </xdr:from>
        <xdr:to>
          <xdr:col>4</xdr:col>
          <xdr:colOff>297180</xdr:colOff>
          <xdr:row>52</xdr:row>
          <xdr:rowOff>137160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C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51</xdr:row>
          <xdr:rowOff>114300</xdr:rowOff>
        </xdr:from>
        <xdr:to>
          <xdr:col>4</xdr:col>
          <xdr:colOff>556260</xdr:colOff>
          <xdr:row>52</xdr:row>
          <xdr:rowOff>137160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C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76</xdr:row>
          <xdr:rowOff>114300</xdr:rowOff>
        </xdr:from>
        <xdr:to>
          <xdr:col>4</xdr:col>
          <xdr:colOff>297180</xdr:colOff>
          <xdr:row>77</xdr:row>
          <xdr:rowOff>144780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C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76</xdr:row>
          <xdr:rowOff>114300</xdr:rowOff>
        </xdr:from>
        <xdr:to>
          <xdr:col>4</xdr:col>
          <xdr:colOff>556260</xdr:colOff>
          <xdr:row>77</xdr:row>
          <xdr:rowOff>144780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C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102</xdr:row>
          <xdr:rowOff>114300</xdr:rowOff>
        </xdr:from>
        <xdr:to>
          <xdr:col>4</xdr:col>
          <xdr:colOff>297180</xdr:colOff>
          <xdr:row>103</xdr:row>
          <xdr:rowOff>144780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C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102</xdr:row>
          <xdr:rowOff>114300</xdr:rowOff>
        </xdr:from>
        <xdr:to>
          <xdr:col>4</xdr:col>
          <xdr:colOff>556260</xdr:colOff>
          <xdr:row>103</xdr:row>
          <xdr:rowOff>144780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C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124</xdr:row>
          <xdr:rowOff>114300</xdr:rowOff>
        </xdr:from>
        <xdr:to>
          <xdr:col>4</xdr:col>
          <xdr:colOff>297180</xdr:colOff>
          <xdr:row>125</xdr:row>
          <xdr:rowOff>144780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C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124</xdr:row>
          <xdr:rowOff>114300</xdr:rowOff>
        </xdr:from>
        <xdr:to>
          <xdr:col>4</xdr:col>
          <xdr:colOff>556260</xdr:colOff>
          <xdr:row>125</xdr:row>
          <xdr:rowOff>144780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C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12</xdr:row>
          <xdr:rowOff>22860</xdr:rowOff>
        </xdr:from>
        <xdr:to>
          <xdr:col>7</xdr:col>
          <xdr:colOff>7620</xdr:colOff>
          <xdr:row>13</xdr:row>
          <xdr:rowOff>60960</xdr:rowOff>
        </xdr:to>
        <xdr:sp macro="" textlink="">
          <xdr:nvSpPr>
            <xdr:cNvPr id="5121" name="admin_passwor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175260</xdr:colOff>
          <xdr:row>12</xdr:row>
          <xdr:rowOff>22860</xdr:rowOff>
        </xdr:from>
        <xdr:to>
          <xdr:col>8</xdr:col>
          <xdr:colOff>289560</xdr:colOff>
          <xdr:row>13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</xdr:row>
          <xdr:rowOff>175260</xdr:rowOff>
        </xdr:from>
        <xdr:to>
          <xdr:col>6</xdr:col>
          <xdr:colOff>152400</xdr:colOff>
          <xdr:row>10</xdr:row>
          <xdr:rowOff>22860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E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476249</xdr:colOff>
      <xdr:row>0</xdr:row>
      <xdr:rowOff>0</xdr:rowOff>
    </xdr:from>
    <xdr:to>
      <xdr:col>4</xdr:col>
      <xdr:colOff>8403</xdr:colOff>
      <xdr:row>3</xdr:row>
      <xdr:rowOff>152635</xdr:rowOff>
    </xdr:to>
    <xdr:pic>
      <xdr:nvPicPr>
        <xdr:cNvPr id="6" name="Picture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49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123825</xdr:colOff>
      <xdr:row>1</xdr:row>
      <xdr:rowOff>171451</xdr:rowOff>
    </xdr:from>
    <xdr:to>
      <xdr:col>3</xdr:col>
      <xdr:colOff>9525</xdr:colOff>
      <xdr:row>5</xdr:row>
      <xdr:rowOff>125257</xdr:rowOff>
    </xdr:to>
    <xdr:pic>
      <xdr:nvPicPr>
        <xdr:cNvPr id="7" name="Picture 10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403860</xdr:colOff>
          <xdr:row>113</xdr:row>
          <xdr:rowOff>38100</xdr:rowOff>
        </xdr:from>
        <xdr:to>
          <xdr:col>17</xdr:col>
          <xdr:colOff>289560</xdr:colOff>
          <xdr:row>114</xdr:row>
          <xdr:rowOff>114300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F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114300</xdr:rowOff>
        </xdr:from>
        <xdr:to>
          <xdr:col>4</xdr:col>
          <xdr:colOff>297180</xdr:colOff>
          <xdr:row>7</xdr:row>
          <xdr:rowOff>137160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F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6</xdr:row>
          <xdr:rowOff>114300</xdr:rowOff>
        </xdr:from>
        <xdr:to>
          <xdr:col>4</xdr:col>
          <xdr:colOff>556260</xdr:colOff>
          <xdr:row>7</xdr:row>
          <xdr:rowOff>137160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F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37</xdr:row>
          <xdr:rowOff>114300</xdr:rowOff>
        </xdr:from>
        <xdr:to>
          <xdr:col>4</xdr:col>
          <xdr:colOff>297180</xdr:colOff>
          <xdr:row>38</xdr:row>
          <xdr:rowOff>137160</xdr:rowOff>
        </xdr:to>
        <xdr:sp macro="" textlink="">
          <xdr:nvSpPr>
            <xdr:cNvPr id="9269" name="Button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F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37</xdr:row>
          <xdr:rowOff>114300</xdr:rowOff>
        </xdr:from>
        <xdr:to>
          <xdr:col>4</xdr:col>
          <xdr:colOff>556260</xdr:colOff>
          <xdr:row>38</xdr:row>
          <xdr:rowOff>137160</xdr:rowOff>
        </xdr:to>
        <xdr:sp macro="" textlink="">
          <xdr:nvSpPr>
            <xdr:cNvPr id="9270" name="Button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F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58</xdr:row>
          <xdr:rowOff>114300</xdr:rowOff>
        </xdr:from>
        <xdr:to>
          <xdr:col>4</xdr:col>
          <xdr:colOff>297180</xdr:colOff>
          <xdr:row>59</xdr:row>
          <xdr:rowOff>137160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F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58</xdr:row>
          <xdr:rowOff>114300</xdr:rowOff>
        </xdr:from>
        <xdr:to>
          <xdr:col>4</xdr:col>
          <xdr:colOff>556260</xdr:colOff>
          <xdr:row>59</xdr:row>
          <xdr:rowOff>137160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F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92</xdr:row>
          <xdr:rowOff>114300</xdr:rowOff>
        </xdr:from>
        <xdr:to>
          <xdr:col>4</xdr:col>
          <xdr:colOff>297180</xdr:colOff>
          <xdr:row>93</xdr:row>
          <xdr:rowOff>144780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F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92</xdr:row>
          <xdr:rowOff>114300</xdr:rowOff>
        </xdr:from>
        <xdr:to>
          <xdr:col>4</xdr:col>
          <xdr:colOff>556260</xdr:colOff>
          <xdr:row>93</xdr:row>
          <xdr:rowOff>144780</xdr:rowOff>
        </xdr:to>
        <xdr:sp macro="" textlink="">
          <xdr:nvSpPr>
            <xdr:cNvPr id="9274" name="Button 58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F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b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8080"/>
                  </a:solidFill>
                  <a:latin typeface="Wingdings"/>
                </a:rPr>
                <a:t>ê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1457325</xdr:colOff>
      <xdr:row>50</xdr:row>
      <xdr:rowOff>95250</xdr:rowOff>
    </xdr:from>
    <xdr:ext cx="1376966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 txBox="1"/>
          </xdr:nvSpPr>
          <xdr:spPr>
            <a:xfrm>
              <a:off x="1457325" y="7905750"/>
              <a:ext cx="1376966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AU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AU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m:rPr>
                            <m:nor/>
                          </m:rPr>
                          <a:rPr lang="en-AU" sz="1100" b="0" i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dc</m:t>
                        </m:r>
                      </m:sub>
                    </m:sSub>
                    <m:r>
                      <a:rPr lang="en-AU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AU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AU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n-AU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AU" sz="1100" b="0" i="1">
                            <a:latin typeface="Cambria Math" panose="02040503050406030204" pitchFamily="18" charset="0"/>
                          </a:rPr>
                          <m:t>𝐿</m:t>
                        </m:r>
                        <m:r>
                          <a:rPr lang="en-AU" sz="1100" b="0" i="1">
                            <a:latin typeface="Cambria Math" panose="02040503050406030204" pitchFamily="18" charset="0"/>
                          </a:rPr>
                          <m:t> 2</m:t>
                        </m:r>
                        <m:sSub>
                          <m:sSubPr>
                            <m:ctrlPr>
                              <a:rPr lang="en-A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AU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AU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AU" sz="1100" b="0" i="1">
                            <a:latin typeface="Cambria Math" panose="02040503050406030204" pitchFamily="18" charset="0"/>
                          </a:rPr>
                          <m:t>1000</m:t>
                        </m:r>
                      </m:den>
                    </m:f>
                  </m:oMath>
                </m:oMathPara>
              </a14:m>
              <a:endParaRPr lang="en-AU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EA8596A-7A86-4C6E-BE13-92EE52D231CF}"/>
                </a:ext>
              </a:extLst>
            </xdr:cNvPr>
            <xdr:cNvSpPr txBox="1"/>
          </xdr:nvSpPr>
          <xdr:spPr>
            <a:xfrm>
              <a:off x="1457325" y="7905750"/>
              <a:ext cx="1376966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AU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</a:t>
              </a:r>
              <a:r>
                <a:rPr lang="en-AU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"dc</a:t>
              </a:r>
              <a:r>
                <a:rPr lang="en-AU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AU" sz="1100" i="0">
                  <a:latin typeface="Cambria Math" panose="02040503050406030204" pitchFamily="18" charset="0"/>
                </a:rPr>
                <a:t>=(</a:t>
              </a:r>
              <a:r>
                <a:rPr lang="en-AU" sz="1100" b="0" i="0">
                  <a:latin typeface="Cambria Math" panose="02040503050406030204" pitchFamily="18" charset="0"/>
                </a:rPr>
                <a:t>𝐼 𝐿 2</a:t>
              </a:r>
              <a:r>
                <a:rPr lang="en-AU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𝑅_𝑐)/</a:t>
              </a:r>
              <a:r>
                <a:rPr lang="en-AU" sz="1100" b="0" i="0">
                  <a:latin typeface="Cambria Math" panose="02040503050406030204" pitchFamily="18" charset="0"/>
                </a:rPr>
                <a:t>1000</a:t>
              </a:r>
              <a:endParaRPr lang="en-AU" sz="11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476249</xdr:colOff>
      <xdr:row>0</xdr:row>
      <xdr:rowOff>0</xdr:rowOff>
    </xdr:from>
    <xdr:to>
      <xdr:col>4</xdr:col>
      <xdr:colOff>8403</xdr:colOff>
      <xdr:row>3</xdr:row>
      <xdr:rowOff>152635</xdr:rowOff>
    </xdr:to>
    <xdr:pic>
      <xdr:nvPicPr>
        <xdr:cNvPr id="4" name="Picture 9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49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123825</xdr:colOff>
      <xdr:row>1</xdr:row>
      <xdr:rowOff>171451</xdr:rowOff>
    </xdr:from>
    <xdr:to>
      <xdr:col>3</xdr:col>
      <xdr:colOff>9525</xdr:colOff>
      <xdr:row>5</xdr:row>
      <xdr:rowOff>125257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4" name="Picture 9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71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9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2</xdr:row>
          <xdr:rowOff>22860</xdr:rowOff>
        </xdr:from>
        <xdr:to>
          <xdr:col>9</xdr:col>
          <xdr:colOff>1363980</xdr:colOff>
          <xdr:row>4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89529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2395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0</xdr:rowOff>
    </xdr:from>
    <xdr:to>
      <xdr:col>4</xdr:col>
      <xdr:colOff>8404</xdr:colOff>
      <xdr:row>3</xdr:row>
      <xdr:rowOff>152635</xdr:rowOff>
    </xdr:to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0"/>
          <a:ext cx="1360954" cy="5336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123826</xdr:colOff>
      <xdr:row>1</xdr:row>
      <xdr:rowOff>171451</xdr:rowOff>
    </xdr:from>
    <xdr:to>
      <xdr:col>3</xdr:col>
      <xdr:colOff>9526</xdr:colOff>
      <xdr:row>5</xdr:row>
      <xdr:rowOff>125257</xdr:rowOff>
    </xdr:to>
    <xdr:pic>
      <xdr:nvPicPr>
        <xdr:cNvPr id="3" name="Picture 10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171451"/>
          <a:ext cx="1104900" cy="715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/Users/P1307130/AppData/Local/Microsoft/Windows/INetCache/Content.Outlook/H3KITXJC/B8073---Optus%20Power%20Design%20Tool%20V8.3.xlsm" TargetMode="External"/><Relationship Id="rId2" Type="http://schemas.openxmlformats.org/officeDocument/2006/relationships/externalLinkPath" Target="file:///C:\Users\P1307130\AppData\Local\Microsoft\Windows\INetCache\Content.Outlook\H3KITXJC\B8073---Optus%20Power%20Design%20Tool%20V8.3.xlsm" TargetMode="External"/><Relationship Id="rId1" Type="http://schemas.openxmlformats.org/officeDocument/2006/relationships/externalLinkPath" Target="/Users/P1307130/AppData/Local/Microsoft/Windows/INetCache/Content.Outlook/H3KITXJC/B8073---Optus%20Power%20Design%20Tool%20V8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ASH"/>
      <sheetName val="PSU UG"/>
      <sheetName val="EXISTING DETAILS"/>
      <sheetName val="EXISTING CALCS"/>
      <sheetName val="PROPOSED DETAILS"/>
      <sheetName val="PROPOSED CALCS"/>
      <sheetName val="T30"/>
      <sheetName val="T35"/>
      <sheetName val="RPT"/>
      <sheetName val="DYNAOPLIST"/>
      <sheetName val="AOPMAP"/>
      <sheetName val="AUTOAOP"/>
      <sheetName val="GFMDB"/>
      <sheetName val="UGMDB"/>
      <sheetName val="ACSUMMARY"/>
      <sheetName val="PSU UG DB"/>
      <sheetName val="DC"/>
      <sheetName val="VDC"/>
      <sheetName val="DBPSU"/>
      <sheetName val="DBCooling"/>
      <sheetName val="DBBattery"/>
      <sheetName val="DBeNB"/>
      <sheetName val="DBTxEQ"/>
      <sheetName val="PRESETCONF"/>
      <sheetName val="DocCONF"/>
      <sheetName val="MNIS_Export"/>
      <sheetName val="SONBBTSUMMARY"/>
      <sheetName val="BBT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xcel Services" refreshedDate="46099.717570486115" createdVersion="8" refreshedVersion="8" minRefreshableVersion="3" recordCount="46" xr:uid="{C5055EA6-B8A1-43CD-AF4C-8A5244EF1FA0}">
  <cacheSource type="worksheet">
    <worksheetSource ref="H9:Q100" sheet="DBCOOLING"/>
  </cacheSource>
  <cacheFields count="10">
    <cacheField name="ALIAS" numFmtId="0">
      <sharedItems containsBlank="1" count="26">
        <s v="Lenmic L600P"/>
        <s v="Emailair MAY 220"/>
        <s v="Emailair MAY 180"/>
        <s v="MHI Split System SRK63"/>
        <s v="MHI Split System SRK71"/>
        <s v="MHI Split System SRK80"/>
        <s v="Emailair WS066H"/>
        <s v="Emailair WS088H"/>
        <s v="Fujitsu AXT24"/>
        <s v="Kelvinator KC25QW"/>
        <s v="Panasonic S-100PK1E5A"/>
        <s v="HRUC A 025/N/E/A"/>
        <s v="HRUC A 015/N/E/A"/>
        <s v="HRUC A 040/N/D"/>
        <s v="DC Split System 48V 4kW"/>
        <s v="L355SCD DC Eco-fan"/>
        <s v="L350 AC Eco-fan (+DC Inverter)"/>
        <s v="L350 AC Eco-fan"/>
        <s v="ICS ODC FAN"/>
        <s v="VERTIV ODC FAN"/>
        <s v="SRK10YSA-W / SRC10YSA-W"/>
        <s v="SRK13YSA-W / SRC13YSA-W"/>
        <s v="DGWA1-DC48V-12K"/>
        <m/>
        <s v="ICS ODU FAN" u="1"/>
        <s v="VERTIV ODU FAN" u="1"/>
      </sharedItems>
    </cacheField>
    <cacheField name="PWR TYPE" numFmtId="0">
      <sharedItems containsBlank="1"/>
    </cacheField>
    <cacheField name="UNIT TYPE" numFmtId="0">
      <sharedItems containsBlank="1" count="3">
        <s v="A/C"/>
        <s v="FAN"/>
        <m/>
      </sharedItems>
    </cacheField>
    <cacheField name="APPLICATION" numFmtId="0">
      <sharedItems containsBlank="1" count="12">
        <s v="SHELTER"/>
        <s v="SHELTER;IN-SITU"/>
        <s v="ICS ODC;VERTIV ODC"/>
        <s v="VERTIV ODC;ICS ODC;SHELTER"/>
        <s v="ICS ODC"/>
        <s v="VERTIV ODC"/>
        <m/>
        <s v="ODC" u="1"/>
        <s v="ODC;SHELTER" u="1"/>
        <s v="ODC/SHELTER" u="1"/>
        <s v="ODU" u="1"/>
        <s v="ODU/SHELTER" u="1"/>
      </sharedItems>
    </cacheField>
    <cacheField name="DESCRIPTION" numFmtId="0">
      <sharedItems containsNonDate="0" containsString="0" containsBlank="1"/>
    </cacheField>
    <cacheField name="COOLING CAPACITY" numFmtId="0">
      <sharedItems containsNonDate="0" containsString="0" containsBlank="1"/>
    </cacheField>
    <cacheField name="Cooling Capacity (Operating)" numFmtId="0">
      <sharedItems containsString="0" containsBlank="1" containsNumber="1" containsInteger="1" minValue="1200" maxValue="6365"/>
    </cacheField>
    <cacheField name="Cooling Capacity (Max)" numFmtId="0">
      <sharedItems containsNonDate="0" containsString="0" containsBlank="1"/>
    </cacheField>
    <cacheField name="Operating Power (W)" numFmtId="0">
      <sharedItems containsString="0" containsBlank="1" containsNumber="1" minValue="129.6" maxValue="6600"/>
    </cacheField>
    <cacheField name="Inrush/Max Power (W)" numFmtId="0">
      <sharedItems containsBlank="1" containsMixedTypes="1" containsNumber="1" minValue="0" maxValue="39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s v="AC"/>
    <x v="0"/>
    <x v="0"/>
    <m/>
    <m/>
    <n v="5430"/>
    <m/>
    <n v="1920"/>
    <n v="2760"/>
  </r>
  <r>
    <x v="1"/>
    <s v="AC"/>
    <x v="0"/>
    <x v="0"/>
    <m/>
    <m/>
    <n v="4350"/>
    <m/>
    <n v="3000"/>
    <n v="3450"/>
  </r>
  <r>
    <x v="2"/>
    <s v="AC"/>
    <x v="0"/>
    <x v="0"/>
    <m/>
    <m/>
    <n v="3750"/>
    <m/>
    <n v="2587"/>
    <n v="3450"/>
  </r>
  <r>
    <x v="3"/>
    <s v="AC"/>
    <x v="0"/>
    <x v="1"/>
    <m/>
    <m/>
    <n v="4700"/>
    <m/>
    <n v="1840"/>
    <n v="3910"/>
  </r>
  <r>
    <x v="4"/>
    <s v="AC"/>
    <x v="0"/>
    <x v="1"/>
    <m/>
    <m/>
    <n v="5100"/>
    <m/>
    <n v="2231"/>
    <n v="3910"/>
  </r>
  <r>
    <x v="5"/>
    <s v="AC"/>
    <x v="0"/>
    <x v="1"/>
    <m/>
    <m/>
    <n v="5700"/>
    <m/>
    <n v="2415"/>
    <n v="3910"/>
  </r>
  <r>
    <x v="6"/>
    <s v="AC"/>
    <x v="0"/>
    <x v="0"/>
    <m/>
    <m/>
    <n v="3832"/>
    <m/>
    <n v="4790"/>
    <s v="NA"/>
  </r>
  <r>
    <x v="7"/>
    <s v="AC"/>
    <x v="0"/>
    <x v="0"/>
    <m/>
    <m/>
    <n v="5280"/>
    <m/>
    <n v="6600"/>
    <s v="NA"/>
  </r>
  <r>
    <x v="8"/>
    <s v="AC"/>
    <x v="0"/>
    <x v="1"/>
    <m/>
    <m/>
    <n v="5520"/>
    <m/>
    <n v="3480"/>
    <s v="NA"/>
  </r>
  <r>
    <x v="9"/>
    <s v="AC"/>
    <x v="0"/>
    <x v="1"/>
    <m/>
    <m/>
    <n v="4880"/>
    <m/>
    <n v="2664"/>
    <s v="NA"/>
  </r>
  <r>
    <x v="10"/>
    <s v="AC"/>
    <x v="0"/>
    <x v="1"/>
    <m/>
    <m/>
    <n v="6365"/>
    <m/>
    <n v="3103"/>
    <n v="3910"/>
  </r>
  <r>
    <x v="11"/>
    <s v="AC"/>
    <x v="0"/>
    <x v="2"/>
    <m/>
    <m/>
    <n v="2000"/>
    <m/>
    <n v="1010"/>
    <n v="1010"/>
  </r>
  <r>
    <x v="12"/>
    <s v="AC"/>
    <x v="0"/>
    <x v="2"/>
    <m/>
    <m/>
    <n v="1200"/>
    <m/>
    <n v="570"/>
    <n v="570"/>
  </r>
  <r>
    <x v="13"/>
    <s v="DC"/>
    <x v="0"/>
    <x v="3"/>
    <m/>
    <m/>
    <n v="3625"/>
    <m/>
    <n v="1390"/>
    <n v="0"/>
  </r>
  <r>
    <x v="14"/>
    <s v="DC"/>
    <x v="0"/>
    <x v="1"/>
    <m/>
    <m/>
    <n v="4330"/>
    <m/>
    <n v="1041"/>
    <n v="0"/>
  </r>
  <r>
    <x v="15"/>
    <s v="DC"/>
    <x v="1"/>
    <x v="0"/>
    <m/>
    <m/>
    <n v="3200"/>
    <m/>
    <n v="220"/>
    <n v="220"/>
  </r>
  <r>
    <x v="16"/>
    <s v="AC"/>
    <x v="1"/>
    <x v="0"/>
    <m/>
    <m/>
    <n v="3200"/>
    <m/>
    <n v="163"/>
    <n v="163"/>
  </r>
  <r>
    <x v="17"/>
    <s v="AC"/>
    <x v="1"/>
    <x v="0"/>
    <m/>
    <m/>
    <n v="3200"/>
    <m/>
    <n v="138"/>
    <n v="138"/>
  </r>
  <r>
    <x v="18"/>
    <s v="DC"/>
    <x v="1"/>
    <x v="4"/>
    <m/>
    <m/>
    <n v="1508"/>
    <m/>
    <n v="129.6"/>
    <n v="129.6"/>
  </r>
  <r>
    <x v="19"/>
    <s v="DC"/>
    <x v="1"/>
    <x v="5"/>
    <m/>
    <m/>
    <n v="1508"/>
    <m/>
    <n v="129.6"/>
    <n v="129.6"/>
  </r>
  <r>
    <x v="20"/>
    <s v="AC"/>
    <x v="0"/>
    <x v="0"/>
    <m/>
    <m/>
    <n v="2250"/>
    <m/>
    <n v="550"/>
    <n v="1224"/>
  </r>
  <r>
    <x v="21"/>
    <s v="AC"/>
    <x v="0"/>
    <x v="0"/>
    <m/>
    <m/>
    <n v="3150"/>
    <m/>
    <n v="850"/>
    <n v="1842"/>
  </r>
  <r>
    <x v="22"/>
    <s v="DC"/>
    <x v="0"/>
    <x v="0"/>
    <m/>
    <m/>
    <n v="3150"/>
    <m/>
    <n v="1020"/>
    <n v="0"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  <r>
    <x v="23"/>
    <m/>
    <x v="2"/>
    <x v="6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B4B9-4670-4F48-BBAE-271CA7071D12}" name="PivotTable2" cacheId="151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ODC FAN Units">
  <location ref="F8" firstHeaderRow="1" firstDataRow="1" firstDataCol="1" rowPageCount="2" colPageCount="1"/>
  <pivotFields count="10">
    <pivotField axis="axisRow" showAll="0">
      <items count="27">
        <item x="14"/>
        <item x="2"/>
        <item x="1"/>
        <item x="6"/>
        <item x="7"/>
        <item x="8"/>
        <item x="12"/>
        <item x="11"/>
        <item x="13"/>
        <item m="1" x="24"/>
        <item x="9"/>
        <item x="17"/>
        <item x="16"/>
        <item x="15"/>
        <item x="0"/>
        <item x="3"/>
        <item x="4"/>
        <item x="5"/>
        <item x="10"/>
        <item m="1" x="25"/>
        <item x="23"/>
        <item x="18"/>
        <item x="19"/>
        <item x="20"/>
        <item x="21"/>
        <item x="22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13">
        <item m="1" x="10"/>
        <item m="1" x="11"/>
        <item x="0"/>
        <item x="6"/>
        <item m="1" x="7"/>
        <item m="1" x="9"/>
        <item x="1"/>
        <item m="1" x="8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colItems count="1">
    <i/>
  </colItems>
  <pageFields count="2">
    <pageField fld="2" item="1" hier="-1"/>
    <pageField fld="3" item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6EEFA-F553-40AC-B169-0E36633D3BA2}" name="PivotTable4" cacheId="151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Shelter FAN Units">
  <location ref="L8:L11" firstHeaderRow="1" firstDataRow="1" firstDataCol="1" rowPageCount="2" colPageCount="1"/>
  <pivotFields count="10">
    <pivotField axis="axisRow" showAll="0">
      <items count="27">
        <item x="14"/>
        <item x="2"/>
        <item x="1"/>
        <item x="6"/>
        <item x="7"/>
        <item x="8"/>
        <item x="12"/>
        <item x="11"/>
        <item x="13"/>
        <item m="1" x="24"/>
        <item x="9"/>
        <item x="17"/>
        <item x="16"/>
        <item x="15"/>
        <item x="0"/>
        <item x="3"/>
        <item x="4"/>
        <item x="5"/>
        <item x="10"/>
        <item m="1" x="25"/>
        <item x="23"/>
        <item x="18"/>
        <item x="19"/>
        <item x="20"/>
        <item x="21"/>
        <item x="22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13">
        <item m="1" x="10"/>
        <item m="1" x="11"/>
        <item x="0"/>
        <item x="6"/>
        <item m="1" x="7"/>
        <item m="1" x="9"/>
        <item x="1"/>
        <item m="1" x="8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3">
    <i>
      <x v="11"/>
    </i>
    <i>
      <x v="12"/>
    </i>
    <i>
      <x v="13"/>
    </i>
  </rowItems>
  <colItems count="1">
    <i/>
  </colItems>
  <pageFields count="2">
    <pageField fld="2" item="1" hier="-1"/>
    <pageField fld="3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C44200-A3E2-4790-975D-449C1921C37E}" name="PivotTable3" cacheId="151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A/C Units">
  <location ref="I8:I26" firstHeaderRow="1" firstDataRow="1" firstDataCol="1" rowPageCount="1" colPageCount="1"/>
  <pivotFields count="10">
    <pivotField axis="axisRow" showAll="0">
      <items count="27">
        <item x="14"/>
        <item x="2"/>
        <item x="1"/>
        <item x="6"/>
        <item x="7"/>
        <item x="8"/>
        <item x="12"/>
        <item x="11"/>
        <item x="13"/>
        <item m="1" x="24"/>
        <item x="9"/>
        <item x="17"/>
        <item x="16"/>
        <item x="15"/>
        <item x="0"/>
        <item x="3"/>
        <item x="4"/>
        <item x="5"/>
        <item x="10"/>
        <item m="1" x="25"/>
        <item x="23"/>
        <item x="18"/>
        <item x="19"/>
        <item x="20"/>
        <item x="21"/>
        <item x="22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4"/>
    </i>
    <i>
      <x v="15"/>
    </i>
    <i>
      <x v="16"/>
    </i>
    <i>
      <x v="17"/>
    </i>
    <i>
      <x v="18"/>
    </i>
    <i>
      <x v="23"/>
    </i>
    <i>
      <x v="24"/>
    </i>
    <i>
      <x v="25"/>
    </i>
  </rowItems>
  <colItems count="1">
    <i/>
  </colItems>
  <pageFields count="1">
    <pageField fld="2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7.xml"/><Relationship Id="rId21" Type="http://schemas.openxmlformats.org/officeDocument/2006/relationships/ctrlProp" Target="../ctrlProps/ctrlProp42.xml"/><Relationship Id="rId42" Type="http://schemas.openxmlformats.org/officeDocument/2006/relationships/ctrlProp" Target="../ctrlProps/ctrlProp63.xml"/><Relationship Id="rId47" Type="http://schemas.openxmlformats.org/officeDocument/2006/relationships/ctrlProp" Target="../ctrlProps/ctrlProp68.xml"/><Relationship Id="rId63" Type="http://schemas.openxmlformats.org/officeDocument/2006/relationships/ctrlProp" Target="../ctrlProps/ctrlProp84.xml"/><Relationship Id="rId68" Type="http://schemas.openxmlformats.org/officeDocument/2006/relationships/ctrlProp" Target="../ctrlProps/ctrlProp89.xml"/><Relationship Id="rId84" Type="http://schemas.openxmlformats.org/officeDocument/2006/relationships/ctrlProp" Target="../ctrlProps/ctrlProp105.xml"/><Relationship Id="rId16" Type="http://schemas.openxmlformats.org/officeDocument/2006/relationships/ctrlProp" Target="../ctrlProps/ctrlProp37.xml"/><Relationship Id="rId11" Type="http://schemas.openxmlformats.org/officeDocument/2006/relationships/ctrlProp" Target="../ctrlProps/ctrlProp32.xml"/><Relationship Id="rId32" Type="http://schemas.openxmlformats.org/officeDocument/2006/relationships/ctrlProp" Target="../ctrlProps/ctrlProp53.xml"/><Relationship Id="rId37" Type="http://schemas.openxmlformats.org/officeDocument/2006/relationships/ctrlProp" Target="../ctrlProps/ctrlProp58.xml"/><Relationship Id="rId53" Type="http://schemas.openxmlformats.org/officeDocument/2006/relationships/ctrlProp" Target="../ctrlProps/ctrlProp74.xml"/><Relationship Id="rId58" Type="http://schemas.openxmlformats.org/officeDocument/2006/relationships/ctrlProp" Target="../ctrlProps/ctrlProp79.xml"/><Relationship Id="rId74" Type="http://schemas.openxmlformats.org/officeDocument/2006/relationships/ctrlProp" Target="../ctrlProps/ctrlProp95.xml"/><Relationship Id="rId79" Type="http://schemas.openxmlformats.org/officeDocument/2006/relationships/ctrlProp" Target="../ctrlProps/ctrlProp100.xml"/><Relationship Id="rId5" Type="http://schemas.openxmlformats.org/officeDocument/2006/relationships/ctrlProp" Target="../ctrlProps/ctrlProp26.xml"/><Relationship Id="rId19" Type="http://schemas.openxmlformats.org/officeDocument/2006/relationships/ctrlProp" Target="../ctrlProps/ctrlProp4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Relationship Id="rId30" Type="http://schemas.openxmlformats.org/officeDocument/2006/relationships/ctrlProp" Target="../ctrlProps/ctrlProp51.xml"/><Relationship Id="rId35" Type="http://schemas.openxmlformats.org/officeDocument/2006/relationships/ctrlProp" Target="../ctrlProps/ctrlProp56.xml"/><Relationship Id="rId43" Type="http://schemas.openxmlformats.org/officeDocument/2006/relationships/ctrlProp" Target="../ctrlProps/ctrlProp64.xml"/><Relationship Id="rId48" Type="http://schemas.openxmlformats.org/officeDocument/2006/relationships/ctrlProp" Target="../ctrlProps/ctrlProp69.xml"/><Relationship Id="rId56" Type="http://schemas.openxmlformats.org/officeDocument/2006/relationships/ctrlProp" Target="../ctrlProps/ctrlProp77.xml"/><Relationship Id="rId64" Type="http://schemas.openxmlformats.org/officeDocument/2006/relationships/ctrlProp" Target="../ctrlProps/ctrlProp85.xml"/><Relationship Id="rId69" Type="http://schemas.openxmlformats.org/officeDocument/2006/relationships/ctrlProp" Target="../ctrlProps/ctrlProp90.xml"/><Relationship Id="rId77" Type="http://schemas.openxmlformats.org/officeDocument/2006/relationships/ctrlProp" Target="../ctrlProps/ctrlProp98.xml"/><Relationship Id="rId8" Type="http://schemas.openxmlformats.org/officeDocument/2006/relationships/ctrlProp" Target="../ctrlProps/ctrlProp29.xml"/><Relationship Id="rId51" Type="http://schemas.openxmlformats.org/officeDocument/2006/relationships/ctrlProp" Target="../ctrlProps/ctrlProp72.xml"/><Relationship Id="rId72" Type="http://schemas.openxmlformats.org/officeDocument/2006/relationships/ctrlProp" Target="../ctrlProps/ctrlProp93.xml"/><Relationship Id="rId80" Type="http://schemas.openxmlformats.org/officeDocument/2006/relationships/ctrlProp" Target="../ctrlProps/ctrlProp101.xml"/><Relationship Id="rId85" Type="http://schemas.openxmlformats.org/officeDocument/2006/relationships/ctrlProp" Target="../ctrlProps/ctrlProp106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33" Type="http://schemas.openxmlformats.org/officeDocument/2006/relationships/ctrlProp" Target="../ctrlProps/ctrlProp54.xml"/><Relationship Id="rId38" Type="http://schemas.openxmlformats.org/officeDocument/2006/relationships/ctrlProp" Target="../ctrlProps/ctrlProp59.xml"/><Relationship Id="rId46" Type="http://schemas.openxmlformats.org/officeDocument/2006/relationships/ctrlProp" Target="../ctrlProps/ctrlProp67.xml"/><Relationship Id="rId59" Type="http://schemas.openxmlformats.org/officeDocument/2006/relationships/ctrlProp" Target="../ctrlProps/ctrlProp80.xml"/><Relationship Id="rId67" Type="http://schemas.openxmlformats.org/officeDocument/2006/relationships/ctrlProp" Target="../ctrlProps/ctrlProp88.xml"/><Relationship Id="rId20" Type="http://schemas.openxmlformats.org/officeDocument/2006/relationships/ctrlProp" Target="../ctrlProps/ctrlProp41.xml"/><Relationship Id="rId41" Type="http://schemas.openxmlformats.org/officeDocument/2006/relationships/ctrlProp" Target="../ctrlProps/ctrlProp62.xml"/><Relationship Id="rId54" Type="http://schemas.openxmlformats.org/officeDocument/2006/relationships/ctrlProp" Target="../ctrlProps/ctrlProp75.xml"/><Relationship Id="rId62" Type="http://schemas.openxmlformats.org/officeDocument/2006/relationships/ctrlProp" Target="../ctrlProps/ctrlProp83.xml"/><Relationship Id="rId70" Type="http://schemas.openxmlformats.org/officeDocument/2006/relationships/ctrlProp" Target="../ctrlProps/ctrlProp91.xml"/><Relationship Id="rId75" Type="http://schemas.openxmlformats.org/officeDocument/2006/relationships/ctrlProp" Target="../ctrlProps/ctrlProp96.xml"/><Relationship Id="rId83" Type="http://schemas.openxmlformats.org/officeDocument/2006/relationships/ctrlProp" Target="../ctrlProps/ctrlProp104.xml"/><Relationship Id="rId88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28" Type="http://schemas.openxmlformats.org/officeDocument/2006/relationships/ctrlProp" Target="../ctrlProps/ctrlProp49.xml"/><Relationship Id="rId36" Type="http://schemas.openxmlformats.org/officeDocument/2006/relationships/ctrlProp" Target="../ctrlProps/ctrlProp57.xml"/><Relationship Id="rId49" Type="http://schemas.openxmlformats.org/officeDocument/2006/relationships/ctrlProp" Target="../ctrlProps/ctrlProp70.xml"/><Relationship Id="rId57" Type="http://schemas.openxmlformats.org/officeDocument/2006/relationships/ctrlProp" Target="../ctrlProps/ctrlProp78.xml"/><Relationship Id="rId10" Type="http://schemas.openxmlformats.org/officeDocument/2006/relationships/ctrlProp" Target="../ctrlProps/ctrlProp31.xml"/><Relationship Id="rId31" Type="http://schemas.openxmlformats.org/officeDocument/2006/relationships/ctrlProp" Target="../ctrlProps/ctrlProp52.xml"/><Relationship Id="rId44" Type="http://schemas.openxmlformats.org/officeDocument/2006/relationships/ctrlProp" Target="../ctrlProps/ctrlProp65.xml"/><Relationship Id="rId52" Type="http://schemas.openxmlformats.org/officeDocument/2006/relationships/ctrlProp" Target="../ctrlProps/ctrlProp73.xml"/><Relationship Id="rId60" Type="http://schemas.openxmlformats.org/officeDocument/2006/relationships/ctrlProp" Target="../ctrlProps/ctrlProp81.xml"/><Relationship Id="rId65" Type="http://schemas.openxmlformats.org/officeDocument/2006/relationships/ctrlProp" Target="../ctrlProps/ctrlProp86.xml"/><Relationship Id="rId73" Type="http://schemas.openxmlformats.org/officeDocument/2006/relationships/ctrlProp" Target="../ctrlProps/ctrlProp94.xml"/><Relationship Id="rId78" Type="http://schemas.openxmlformats.org/officeDocument/2006/relationships/ctrlProp" Target="../ctrlProps/ctrlProp99.xml"/><Relationship Id="rId81" Type="http://schemas.openxmlformats.org/officeDocument/2006/relationships/ctrlProp" Target="../ctrlProps/ctrlProp102.xml"/><Relationship Id="rId86" Type="http://schemas.openxmlformats.org/officeDocument/2006/relationships/ctrlProp" Target="../ctrlProps/ctrlProp107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39" Type="http://schemas.openxmlformats.org/officeDocument/2006/relationships/ctrlProp" Target="../ctrlProps/ctrlProp60.xml"/><Relationship Id="rId34" Type="http://schemas.openxmlformats.org/officeDocument/2006/relationships/ctrlProp" Target="../ctrlProps/ctrlProp55.xml"/><Relationship Id="rId50" Type="http://schemas.openxmlformats.org/officeDocument/2006/relationships/ctrlProp" Target="../ctrlProps/ctrlProp71.xml"/><Relationship Id="rId55" Type="http://schemas.openxmlformats.org/officeDocument/2006/relationships/ctrlProp" Target="../ctrlProps/ctrlProp76.xml"/><Relationship Id="rId76" Type="http://schemas.openxmlformats.org/officeDocument/2006/relationships/ctrlProp" Target="../ctrlProps/ctrlProp97.xml"/><Relationship Id="rId7" Type="http://schemas.openxmlformats.org/officeDocument/2006/relationships/ctrlProp" Target="../ctrlProps/ctrlProp28.xml"/><Relationship Id="rId71" Type="http://schemas.openxmlformats.org/officeDocument/2006/relationships/ctrlProp" Target="../ctrlProps/ctrlProp9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50.xml"/><Relationship Id="rId24" Type="http://schemas.openxmlformats.org/officeDocument/2006/relationships/ctrlProp" Target="../ctrlProps/ctrlProp45.xml"/><Relationship Id="rId40" Type="http://schemas.openxmlformats.org/officeDocument/2006/relationships/ctrlProp" Target="../ctrlProps/ctrlProp61.xml"/><Relationship Id="rId45" Type="http://schemas.openxmlformats.org/officeDocument/2006/relationships/ctrlProp" Target="../ctrlProps/ctrlProp66.xml"/><Relationship Id="rId66" Type="http://schemas.openxmlformats.org/officeDocument/2006/relationships/ctrlProp" Target="../ctrlProps/ctrlProp87.xml"/><Relationship Id="rId87" Type="http://schemas.openxmlformats.org/officeDocument/2006/relationships/ctrlProp" Target="../ctrlProps/ctrlProp108.xml"/><Relationship Id="rId61" Type="http://schemas.openxmlformats.org/officeDocument/2006/relationships/ctrlProp" Target="../ctrlProps/ctrlProp82.xml"/><Relationship Id="rId82" Type="http://schemas.openxmlformats.org/officeDocument/2006/relationships/ctrlProp" Target="../ctrlProps/ctrlProp10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4.xml"/><Relationship Id="rId13" Type="http://schemas.openxmlformats.org/officeDocument/2006/relationships/ctrlProp" Target="../ctrlProps/ctrlProp1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3.xml"/><Relationship Id="rId12" Type="http://schemas.openxmlformats.org/officeDocument/2006/relationships/ctrlProp" Target="../ctrlProps/ctrlProp1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2.xml"/><Relationship Id="rId11" Type="http://schemas.openxmlformats.org/officeDocument/2006/relationships/ctrlProp" Target="../ctrlProps/ctrlProp117.xml"/><Relationship Id="rId5" Type="http://schemas.openxmlformats.org/officeDocument/2006/relationships/ctrlProp" Target="../ctrlProps/ctrlProp111.xml"/><Relationship Id="rId10" Type="http://schemas.openxmlformats.org/officeDocument/2006/relationships/ctrlProp" Target="../ctrlProps/ctrlProp116.xml"/><Relationship Id="rId4" Type="http://schemas.openxmlformats.org/officeDocument/2006/relationships/ctrlProp" Target="../ctrlProps/ctrlProp110.xml"/><Relationship Id="rId9" Type="http://schemas.openxmlformats.org/officeDocument/2006/relationships/ctrlProp" Target="../ctrlProps/ctrlProp115.xml"/><Relationship Id="rId14" Type="http://schemas.openxmlformats.org/officeDocument/2006/relationships/ctrlProp" Target="../ctrlProps/ctrlProp1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2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5" Type="http://schemas.openxmlformats.org/officeDocument/2006/relationships/ctrlProp" Target="../ctrlProps/ctrlProp124.xml"/><Relationship Id="rId10" Type="http://schemas.openxmlformats.org/officeDocument/2006/relationships/ctrlProp" Target="../ctrlProps/ctrlProp129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32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3.xml"/><Relationship Id="rId4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C8B5B-6B1A-417B-A712-2A9EFED57DCE}">
  <sheetPr codeName="Sheet01">
    <tabColor rgb="FFC00000"/>
  </sheetPr>
  <dimension ref="A1:U2"/>
  <sheetViews>
    <sheetView zoomScaleNormal="100" workbookViewId="0">
      <selection activeCell="F8" sqref="F8"/>
    </sheetView>
  </sheetViews>
  <sheetFormatPr defaultRowHeight="14.45"/>
  <cols>
    <col min="1" max="1" width="22.5703125" bestFit="1" customWidth="1"/>
    <col min="2" max="2" width="16.28515625" bestFit="1" customWidth="1"/>
    <col min="3" max="3" width="25.28515625" bestFit="1" customWidth="1"/>
    <col min="4" max="4" width="19" bestFit="1" customWidth="1"/>
    <col min="5" max="5" width="28.28515625" bestFit="1" customWidth="1"/>
    <col min="6" max="7" width="18.28515625" bestFit="1" customWidth="1"/>
    <col min="8" max="8" width="23.7109375" bestFit="1" customWidth="1"/>
    <col min="9" max="9" width="17" bestFit="1" customWidth="1"/>
    <col min="10" max="10" width="12" bestFit="1" customWidth="1"/>
    <col min="11" max="11" width="12.28515625" bestFit="1" customWidth="1"/>
    <col min="12" max="12" width="12.7109375" bestFit="1" customWidth="1"/>
    <col min="13" max="13" width="18" bestFit="1" customWidth="1"/>
    <col min="14" max="14" width="20" bestFit="1" customWidth="1"/>
    <col min="15" max="15" width="34.28515625" bestFit="1" customWidth="1"/>
    <col min="16" max="16" width="30.7109375" bestFit="1" customWidth="1"/>
    <col min="17" max="17" width="17.7109375" bestFit="1" customWidth="1"/>
    <col min="18" max="18" width="23.28515625" bestFit="1" customWidth="1"/>
    <col min="19" max="19" width="24.28515625" bestFit="1" customWidth="1"/>
    <col min="20" max="20" width="23" bestFit="1" customWidth="1"/>
    <col min="21" max="21" width="23.7109375" bestFit="1" customWidth="1"/>
    <col min="22" max="22" width="16.28515625" customWidth="1"/>
    <col min="23" max="23" width="18.28515625" customWidth="1"/>
    <col min="24" max="24" width="19.5703125" customWidth="1"/>
    <col min="25" max="25" width="21.28515625" customWidth="1"/>
    <col min="26" max="26" width="12.28515625" customWidth="1"/>
    <col min="27" max="27" width="15.7109375" customWidth="1"/>
    <col min="28" max="28" width="19.7109375" customWidth="1"/>
    <col min="29" max="29" width="21.7109375" customWidth="1"/>
    <col min="30" max="30" width="15.28515625" customWidth="1"/>
    <col min="31" max="31" width="13.7109375" customWidth="1"/>
    <col min="32" max="32" width="17.7109375" customWidth="1"/>
    <col min="33" max="33" width="17" customWidth="1"/>
    <col min="34" max="34" width="17.7109375" customWidth="1"/>
    <col min="35" max="35" width="17.5703125" customWidth="1"/>
    <col min="36" max="36" width="17.7109375" customWidth="1"/>
    <col min="37" max="37" width="17.28515625" customWidth="1"/>
    <col min="38" max="38" width="14.28515625" customWidth="1"/>
  </cols>
  <sheetData>
    <row r="1" spans="1:21" s="150" customFormat="1">
      <c r="A1" s="150" t="s">
        <v>0</v>
      </c>
      <c r="B1" s="150" t="s">
        <v>1</v>
      </c>
      <c r="C1" s="150" t="s">
        <v>2</v>
      </c>
      <c r="D1" s="150" t="s">
        <v>3</v>
      </c>
      <c r="E1" s="150" t="s">
        <v>4</v>
      </c>
      <c r="F1" s="150" t="s">
        <v>5</v>
      </c>
      <c r="G1" s="150" t="s">
        <v>6</v>
      </c>
      <c r="H1" s="150" t="s">
        <v>7</v>
      </c>
    </row>
    <row r="2" spans="1:21">
      <c r="A2" s="89">
        <f>DASH!H10</f>
        <v>658102</v>
      </c>
      <c r="B2" s="89" t="str">
        <f>DASH!H12</f>
        <v>OPTUS</v>
      </c>
      <c r="C2" s="89" t="str">
        <f>DASH!H13</f>
        <v>H8097</v>
      </c>
      <c r="D2" s="89" t="str">
        <f>DASH!H14</f>
        <v>AUSTINS FERRY</v>
      </c>
      <c r="E2" s="89" t="str">
        <f>DASH!H15</f>
        <v>TAS</v>
      </c>
      <c r="F2" s="89" t="str">
        <f>DASH!H19</f>
        <v>JH3038</v>
      </c>
      <c r="G2" s="155" t="str">
        <f>DASH!H28</f>
        <v>A</v>
      </c>
      <c r="H2" s="250">
        <f>IF(DASH!H29="","0",DASH!H29)</f>
        <v>45750</v>
      </c>
      <c r="I2" s="89"/>
      <c r="J2" s="156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</row>
  </sheetData>
  <pageMargins left="0.7" right="0.7" top="0.75" bottom="0.75" header="0.3" footer="0.3"/>
  <headerFooter>
    <oddHeader>&amp;C&amp;"Calibri"&amp;10&amp;K000000 [Confidential]&amp;1#_x000D_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2A8D1-65FC-4B21-B053-069F5144460E}">
  <sheetPr codeName="Sheet02">
    <tabColor rgb="FFC00000"/>
  </sheetPr>
  <dimension ref="A1:X18"/>
  <sheetViews>
    <sheetView topLeftCell="Q1" zoomScaleNormal="100" workbookViewId="0">
      <selection activeCell="F8" sqref="F8"/>
    </sheetView>
  </sheetViews>
  <sheetFormatPr defaultRowHeight="14.45"/>
  <cols>
    <col min="1" max="1" width="22.5703125" bestFit="1" customWidth="1"/>
    <col min="2" max="2" width="16.28515625" bestFit="1" customWidth="1"/>
    <col min="3" max="3" width="25.28515625" bestFit="1" customWidth="1"/>
    <col min="4" max="4" width="19" bestFit="1" customWidth="1"/>
    <col min="5" max="5" width="28.28515625" bestFit="1" customWidth="1"/>
    <col min="6" max="6" width="14.7109375" bestFit="1" customWidth="1"/>
    <col min="7" max="7" width="18.28515625" bestFit="1" customWidth="1"/>
    <col min="8" max="8" width="17" bestFit="1" customWidth="1"/>
    <col min="9" max="9" width="12" bestFit="1" customWidth="1"/>
    <col min="10" max="10" width="12.28515625" bestFit="1" customWidth="1"/>
    <col min="11" max="11" width="12.7109375" bestFit="1" customWidth="1"/>
    <col min="12" max="12" width="18.7109375" customWidth="1"/>
    <col min="13" max="13" width="20" bestFit="1" customWidth="1"/>
    <col min="14" max="14" width="34.28515625" bestFit="1" customWidth="1"/>
    <col min="15" max="15" width="30.7109375" bestFit="1" customWidth="1"/>
    <col min="16" max="16" width="17.7109375" bestFit="1" customWidth="1"/>
    <col min="17" max="17" width="23.28515625" bestFit="1" customWidth="1"/>
    <col min="18" max="18" width="24.28515625" bestFit="1" customWidth="1"/>
    <col min="19" max="19" width="23" bestFit="1" customWidth="1"/>
    <col min="20" max="20" width="33.85546875" bestFit="1" customWidth="1"/>
    <col min="21" max="21" width="18.7109375" bestFit="1" customWidth="1"/>
    <col min="22" max="22" width="29.42578125" bestFit="1" customWidth="1"/>
    <col min="23" max="23" width="25.7109375" customWidth="1"/>
    <col min="24" max="24" width="26.85546875" customWidth="1"/>
    <col min="25" max="25" width="15.7109375" customWidth="1"/>
    <col min="26" max="26" width="19.7109375" customWidth="1"/>
    <col min="27" max="27" width="21.7109375" customWidth="1"/>
    <col min="28" max="28" width="15.28515625" customWidth="1"/>
    <col min="29" max="29" width="13.7109375" customWidth="1"/>
    <col min="30" max="30" width="17.7109375" customWidth="1"/>
    <col min="31" max="31" width="17" customWidth="1"/>
    <col min="32" max="32" width="17.7109375" customWidth="1"/>
    <col min="33" max="33" width="17.5703125" customWidth="1"/>
    <col min="34" max="34" width="17.7109375" customWidth="1"/>
    <col min="35" max="35" width="17.28515625" customWidth="1"/>
    <col min="36" max="36" width="14.28515625" customWidth="1"/>
  </cols>
  <sheetData>
    <row r="1" spans="1:24" s="150" customFormat="1">
      <c r="A1" s="150" t="s">
        <v>8</v>
      </c>
      <c r="B1" s="150" t="s">
        <v>9</v>
      </c>
      <c r="C1" s="150" t="s">
        <v>10</v>
      </c>
      <c r="D1" s="150" t="s">
        <v>11</v>
      </c>
      <c r="E1" s="150" t="s">
        <v>12</v>
      </c>
      <c r="F1" s="150" t="s">
        <v>13</v>
      </c>
      <c r="G1" s="150" t="s">
        <v>14</v>
      </c>
      <c r="H1" s="150" t="s">
        <v>15</v>
      </c>
      <c r="I1" s="150" t="s">
        <v>16</v>
      </c>
      <c r="J1" s="150" t="s">
        <v>17</v>
      </c>
      <c r="K1" s="223" t="s">
        <v>18</v>
      </c>
      <c r="L1" s="223" t="s">
        <v>19</v>
      </c>
      <c r="M1" s="150" t="s">
        <v>20</v>
      </c>
      <c r="N1" s="150" t="s">
        <v>21</v>
      </c>
      <c r="O1" s="150" t="s">
        <v>22</v>
      </c>
      <c r="P1" s="150" t="s">
        <v>23</v>
      </c>
      <c r="Q1" s="150" t="s">
        <v>24</v>
      </c>
      <c r="R1" s="150" t="s">
        <v>25</v>
      </c>
      <c r="S1" s="150" t="s">
        <v>26</v>
      </c>
      <c r="T1" s="150" t="s">
        <v>27</v>
      </c>
      <c r="U1" s="150" t="s">
        <v>28</v>
      </c>
      <c r="V1" s="150" t="s">
        <v>29</v>
      </c>
      <c r="W1" s="150" t="s">
        <v>30</v>
      </c>
      <c r="X1" s="150" t="s">
        <v>31</v>
      </c>
    </row>
    <row r="2" spans="1:24" ht="21.75" customHeight="1">
      <c r="A2" t="str">
        <f>'PRP-SOL'!R10</f>
        <v>Tas Networks - 132 004</v>
      </c>
      <c r="B2" t="str">
        <f>'PRP-SOL'!R11</f>
        <v>3P 415V</v>
      </c>
      <c r="C2" s="89" t="str">
        <f>'PRP-SOL'!R12</f>
        <v xml:space="preserve">PID 100544 </v>
      </c>
      <c r="D2" s="89" t="str">
        <f>'PRP-SOL'!R13</f>
        <v xml:space="preserve">T20 0037 </v>
      </c>
      <c r="E2" s="89" t="str">
        <f>'PRP-SOL'!R14</f>
        <v xml:space="preserve">315kVA  </v>
      </c>
      <c r="F2" s="155" t="str">
        <f>'PRP-SOL'!R18</f>
        <v xml:space="preserve">4 Core 95mm2 Aluminium  </v>
      </c>
      <c r="G2" s="89">
        <f>'PRP-SOL'!R19</f>
        <v>15</v>
      </c>
      <c r="H2" s="89" t="str">
        <f>'PRP-SOL'!R20</f>
        <v>148A</v>
      </c>
      <c r="I2" s="156" t="str">
        <f>'PRP-SOL'!R28</f>
        <v>Optus submain fed from the multi meter board on Telstra compound to the Optus shelter via UG 
conduit.</v>
      </c>
      <c r="J2" s="89" t="str">
        <f>'PRP-SOL'!R36</f>
        <v>Consumer main fed from POLE PID 100544  to the multi meter board via Turret 904120 &amp; 2 x pit in UG conduit</v>
      </c>
      <c r="K2" s="89" t="str">
        <f>'PRP-SOL'!R23</f>
        <v>MCCB</v>
      </c>
      <c r="L2" s="89">
        <f>'PRP-SOL'!R24</f>
        <v>100</v>
      </c>
      <c r="M2" s="89" t="str">
        <f>'PRP-SOL'!R25</f>
        <v>C Curve</v>
      </c>
      <c r="N2" s="157">
        <f>CALC!T140</f>
        <v>20640.799999999996</v>
      </c>
      <c r="O2" s="157">
        <f>CALC!U140</f>
        <v>27250.349999999991</v>
      </c>
      <c r="P2" s="89">
        <f>'PRP-SOL'!F220</f>
        <v>0</v>
      </c>
      <c r="Q2" s="89">
        <f>'PRP-SOL'!F228</f>
        <v>0</v>
      </c>
      <c r="R2" s="89">
        <f>'PRP-SOL'!I235</f>
        <v>0</v>
      </c>
      <c r="S2" s="89">
        <f>'PRP-SOL'!I236</f>
        <v>0</v>
      </c>
      <c r="T2" s="89">
        <f>_xlfn.MINIFS('PRP-SOL'!AO7:AO10, 'PRP-SOL'!AO7:AO10, "&lt;&gt;0")</f>
        <v>50</v>
      </c>
      <c r="U2" t="str">
        <f>'PLBC-CALC'!J10</f>
        <v>No</v>
      </c>
      <c r="V2" t="str">
        <f>IF('PLBC-CALC'!J10="No", "N/A", 'PLBC-CALC'!J12&amp;", "&amp;'PLBC-CALC'!J13)</f>
        <v>N/A</v>
      </c>
      <c r="W2" t="str">
        <f>IF('PLBC-CALC'!J10="No", "N/A",'PLBC-CALC'!I22)</f>
        <v>N/A</v>
      </c>
      <c r="X2" s="255" t="str">
        <f>IF(AND('PLBC-CALC'!J10="Yes",'PLBC-CALC'!I22="Temporary"),'PLBC-CALC'!I23,"N/A")</f>
        <v>N/A</v>
      </c>
    </row>
    <row r="9" spans="1:24">
      <c r="X9" s="255"/>
    </row>
    <row r="18" spans="14:14">
      <c r="N18" s="255"/>
    </row>
  </sheetData>
  <pageMargins left="0.7" right="0.7" top="0.75" bottom="0.75" header="0.3" footer="0.3"/>
  <headerFooter>
    <oddHeader>&amp;C&amp;"Calibri"&amp;10&amp;K000000 [Confidential]&amp;1#_x000D_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7567-F5A4-486A-BCA2-55B76DE4891C}">
  <sheetPr codeName="Sheet03">
    <tabColor rgb="FFC00000"/>
  </sheetPr>
  <dimension ref="A1:F2"/>
  <sheetViews>
    <sheetView zoomScale="115" zoomScaleNormal="115" workbookViewId="0">
      <selection activeCell="F8" sqref="F8"/>
    </sheetView>
  </sheetViews>
  <sheetFormatPr defaultRowHeight="14.45"/>
  <cols>
    <col min="1" max="1" width="15.28515625" bestFit="1" customWidth="1"/>
    <col min="2" max="2" width="12" customWidth="1"/>
    <col min="3" max="3" width="19.28515625" bestFit="1" customWidth="1"/>
    <col min="4" max="4" width="25.28515625" customWidth="1"/>
    <col min="5" max="5" width="30" customWidth="1"/>
    <col min="6" max="6" width="31.7109375" customWidth="1"/>
  </cols>
  <sheetData>
    <row r="1" spans="1:6" s="150" customFormat="1">
      <c r="A1" s="150" t="s">
        <v>32</v>
      </c>
      <c r="B1" s="150" t="s">
        <v>33</v>
      </c>
      <c r="C1" s="150" t="s">
        <v>34</v>
      </c>
      <c r="D1" s="150" t="s">
        <v>35</v>
      </c>
      <c r="E1" s="150" t="s">
        <v>36</v>
      </c>
      <c r="F1" s="150" t="s">
        <v>37</v>
      </c>
    </row>
    <row r="2" spans="1:6" s="89" customFormat="1">
      <c r="A2" s="89" t="str">
        <f>'PRP-SOL'!R47</f>
        <v>Free Standing (Leasor Compound)</v>
      </c>
      <c r="B2" s="89" t="str">
        <f>'PRP-SOL'!R48</f>
        <v>Free Standing GMP</v>
      </c>
      <c r="C2" s="89" t="str">
        <f>'PRP-SOL'!R49</f>
        <v>3P 415V</v>
      </c>
      <c r="D2" s="89" t="str">
        <f>'PRP-SOL'!R52</f>
        <v>MCB</v>
      </c>
      <c r="E2" s="89">
        <f>'PRP-SOL'!R53</f>
        <v>50</v>
      </c>
      <c r="F2" s="89" t="str">
        <f>'PRP-SOL'!R54</f>
        <v>C Curve</v>
      </c>
    </row>
  </sheetData>
  <pageMargins left="0.7" right="0.7" top="0.75" bottom="0.75" header="0.3" footer="0.3"/>
  <headerFooter>
    <oddHeader>&amp;C&amp;"Calibri"&amp;10&amp;K000000 [Confidential]&amp;1#_x000D_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90CC8-F19A-4787-A64F-C2E4A830D821}">
  <sheetPr codeName="Sheet04">
    <tabColor rgb="FFC00000"/>
  </sheetPr>
  <dimension ref="A1:AH2"/>
  <sheetViews>
    <sheetView topLeftCell="Z1" workbookViewId="0">
      <selection activeCell="F8" sqref="F8"/>
    </sheetView>
  </sheetViews>
  <sheetFormatPr defaultRowHeight="14.45"/>
  <cols>
    <col min="1" max="1" width="14" bestFit="1" customWidth="1"/>
    <col min="2" max="2" width="12.7109375" bestFit="1" customWidth="1"/>
    <col min="3" max="3" width="18" bestFit="1" customWidth="1"/>
    <col min="4" max="4" width="20" bestFit="1" customWidth="1"/>
    <col min="5" max="5" width="18.5703125" bestFit="1" customWidth="1"/>
    <col min="6" max="6" width="18.7109375" bestFit="1" customWidth="1"/>
    <col min="7" max="7" width="22.28515625" bestFit="1" customWidth="1"/>
    <col min="8" max="8" width="20.7109375" bestFit="1" customWidth="1"/>
    <col min="9" max="11" width="27.28515625" bestFit="1" customWidth="1"/>
    <col min="12" max="14" width="23.28515625" bestFit="1" customWidth="1"/>
    <col min="15" max="15" width="27.5703125" bestFit="1" customWidth="1"/>
    <col min="16" max="16" width="19.7109375" bestFit="1" customWidth="1"/>
    <col min="17" max="17" width="27.28515625" bestFit="1" customWidth="1"/>
    <col min="18" max="18" width="24.7109375" bestFit="1" customWidth="1"/>
    <col min="19" max="19" width="32.28515625" bestFit="1" customWidth="1"/>
    <col min="20" max="20" width="22.28515625" bestFit="1" customWidth="1"/>
    <col min="21" max="21" width="21.5703125" bestFit="1" customWidth="1"/>
    <col min="22" max="22" width="13.28515625" bestFit="1" customWidth="1"/>
    <col min="23" max="23" width="18.28515625" bestFit="1" customWidth="1"/>
    <col min="24" max="24" width="20.28515625" bestFit="1" customWidth="1"/>
    <col min="25" max="27" width="27.28515625" bestFit="1" customWidth="1"/>
    <col min="28" max="30" width="23.7109375" bestFit="1" customWidth="1"/>
    <col min="31" max="31" width="37" bestFit="1" customWidth="1"/>
  </cols>
  <sheetData>
    <row r="1" spans="1:34" s="150" customFormat="1">
      <c r="A1" s="150" t="s">
        <v>38</v>
      </c>
      <c r="B1" s="150" t="s">
        <v>39</v>
      </c>
      <c r="C1" s="150" t="s">
        <v>40</v>
      </c>
      <c r="D1" s="150" t="s">
        <v>41</v>
      </c>
      <c r="E1" s="150" t="s">
        <v>42</v>
      </c>
      <c r="F1" s="150" t="s">
        <v>43</v>
      </c>
      <c r="G1" s="150" t="s">
        <v>44</v>
      </c>
      <c r="H1" s="150" t="s">
        <v>45</v>
      </c>
      <c r="I1" s="150" t="s">
        <v>46</v>
      </c>
      <c r="J1" s="150" t="s">
        <v>47</v>
      </c>
      <c r="K1" s="150" t="s">
        <v>48</v>
      </c>
      <c r="L1" s="150" t="s">
        <v>49</v>
      </c>
      <c r="M1" s="150" t="s">
        <v>50</v>
      </c>
      <c r="N1" s="150" t="s">
        <v>51</v>
      </c>
      <c r="O1" s="158" t="s">
        <v>52</v>
      </c>
      <c r="P1" s="150" t="s">
        <v>53</v>
      </c>
      <c r="Q1" s="150" t="s">
        <v>54</v>
      </c>
      <c r="R1" s="150" t="s">
        <v>55</v>
      </c>
      <c r="S1" s="150" t="s">
        <v>56</v>
      </c>
      <c r="T1" s="150" t="s">
        <v>57</v>
      </c>
      <c r="U1" s="150" t="s">
        <v>58</v>
      </c>
      <c r="V1" s="150" t="s">
        <v>59</v>
      </c>
      <c r="W1" s="150" t="s">
        <v>60</v>
      </c>
      <c r="X1" s="150" t="s">
        <v>61</v>
      </c>
      <c r="Y1" s="150" t="s">
        <v>62</v>
      </c>
      <c r="Z1" s="150" t="s">
        <v>63</v>
      </c>
      <c r="AA1" s="150" t="s">
        <v>64</v>
      </c>
      <c r="AB1" s="150" t="s">
        <v>65</v>
      </c>
      <c r="AC1" s="150" t="s">
        <v>66</v>
      </c>
      <c r="AD1" s="150" t="s">
        <v>67</v>
      </c>
      <c r="AE1" s="150" t="s">
        <v>68</v>
      </c>
    </row>
    <row r="2" spans="1:34">
      <c r="A2" s="89" t="str">
        <f>'PRP-SOL'!R61</f>
        <v>Optus Enclosure Wall</v>
      </c>
      <c r="B2" s="89" t="str">
        <f>'PRP-SOL'!R64</f>
        <v>MCB</v>
      </c>
      <c r="C2" s="89">
        <f>'PRP-SOL'!R65</f>
        <v>50</v>
      </c>
      <c r="D2" s="89" t="str">
        <f>'PRP-SOL'!R66</f>
        <v>C Curve</v>
      </c>
      <c r="E2" s="89">
        <v>50</v>
      </c>
      <c r="F2" s="89" t="str">
        <f>'PRP-SOL'!R69</f>
        <v>16mm XLPE</v>
      </c>
      <c r="G2" s="89">
        <f>'PRP-SOL'!R70</f>
        <v>10</v>
      </c>
      <c r="H2" s="89">
        <f>'PRP-SOL'!R71</f>
        <v>86</v>
      </c>
      <c r="I2" s="89">
        <f>'PRP-SOL'!R74</f>
        <v>0</v>
      </c>
      <c r="J2" s="89">
        <f>'PRP-SOL'!R75</f>
        <v>0</v>
      </c>
      <c r="K2" s="89">
        <f>'PRP-SOL'!R76</f>
        <v>0</v>
      </c>
      <c r="L2" s="89">
        <f>'PRP-SOL'!R77</f>
        <v>0</v>
      </c>
      <c r="M2" s="89">
        <f>'PRP-SOL'!R78</f>
        <v>0</v>
      </c>
      <c r="N2" s="89">
        <f>'PRP-SOL'!R79</f>
        <v>0</v>
      </c>
      <c r="O2" s="89" t="str">
        <f>IF(P2=0,"No","Yes")</f>
        <v>Yes</v>
      </c>
      <c r="P2" s="89" t="str">
        <f>'PRP-SOL'!R84</f>
        <v>Clipsal or Compatible</v>
      </c>
      <c r="Q2" s="89" t="str">
        <f>'PRP-SOL'!R83</f>
        <v>3P 415V</v>
      </c>
      <c r="R2" s="89" t="str">
        <f>'PRP-SOL'!R85</f>
        <v>On enclosure wall</v>
      </c>
      <c r="S2" s="89" t="str">
        <f>IF('PRP-SOL'!R91="Other location",'PRP-SOL'!R92,'PRP-SOL'!R91)</f>
        <v>Near inlet in compound</v>
      </c>
      <c r="T2" s="89">
        <f>'PRP-SOL'!R96</f>
        <v>5</v>
      </c>
      <c r="U2" s="89" t="str">
        <f>'PRP-SOL'!R98</f>
        <v>NR</v>
      </c>
      <c r="V2" s="89" t="str">
        <f>'PRP-SOL'!R107</f>
        <v>MCB</v>
      </c>
      <c r="W2" s="89" t="str">
        <f>'PRP-SOL'!R108</f>
        <v>MCB</v>
      </c>
      <c r="X2" s="89" t="str">
        <f>'PRP-SOL'!R109</f>
        <v>C Curve</v>
      </c>
      <c r="Y2" s="89">
        <f>'PRP-SOL'!R112</f>
        <v>0</v>
      </c>
      <c r="Z2" s="89">
        <f>'PRP-SOL'!R113</f>
        <v>0</v>
      </c>
      <c r="AA2" s="89">
        <f>'PRP-SOL'!R114</f>
        <v>0</v>
      </c>
      <c r="AB2" s="89">
        <f>'PRP-SOL'!R115</f>
        <v>40</v>
      </c>
      <c r="AC2" s="89">
        <f>'PRP-SOL'!R116</f>
        <v>40</v>
      </c>
      <c r="AD2" s="89">
        <f>'PRP-SOL'!R117</f>
        <v>0</v>
      </c>
      <c r="AE2" s="89">
        <f>'PRP-SOL'!R119</f>
        <v>50</v>
      </c>
      <c r="AF2" s="89"/>
      <c r="AG2" s="89"/>
      <c r="AH2" s="89"/>
    </row>
  </sheetData>
  <pageMargins left="0.7" right="0.7" top="0.75" bottom="0.75" header="0.3" footer="0.3"/>
  <headerFooter>
    <oddHeader>&amp;C&amp;"Calibri"&amp;10&amp;K000000 [Confidential]&amp;1#_x000D_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5349F-3AB8-4728-9AC5-7AC532C5F464}">
  <sheetPr codeName="Sheet05">
    <tabColor rgb="FFC00000"/>
  </sheetPr>
  <dimension ref="A1:G2"/>
  <sheetViews>
    <sheetView workbookViewId="0">
      <selection activeCell="F8" sqref="F8"/>
    </sheetView>
  </sheetViews>
  <sheetFormatPr defaultRowHeight="14.45"/>
  <cols>
    <col min="1" max="1" width="18.7109375" bestFit="1" customWidth="1"/>
    <col min="2" max="2" width="17" bestFit="1" customWidth="1"/>
    <col min="3" max="3" width="18.28515625" bestFit="1" customWidth="1"/>
    <col min="4" max="4" width="16" bestFit="1" customWidth="1"/>
    <col min="5" max="5" width="15.5703125" bestFit="1" customWidth="1"/>
    <col min="6" max="6" width="20.7109375" bestFit="1" customWidth="1"/>
    <col min="7" max="7" width="15.28515625" bestFit="1" customWidth="1"/>
  </cols>
  <sheetData>
    <row r="1" spans="1:7" s="150" customFormat="1">
      <c r="A1" s="150" t="s">
        <v>69</v>
      </c>
      <c r="B1" s="150" t="s">
        <v>70</v>
      </c>
      <c r="C1" s="150" t="s">
        <v>71</v>
      </c>
      <c r="D1" s="150" t="s">
        <v>72</v>
      </c>
      <c r="E1" s="150" t="s">
        <v>73</v>
      </c>
      <c r="F1" s="150" t="s">
        <v>74</v>
      </c>
      <c r="G1" s="150" t="s">
        <v>75</v>
      </c>
    </row>
    <row r="2" spans="1:7">
      <c r="A2" s="89">
        <f>'PRP-SOL'!R125</f>
        <v>0</v>
      </c>
      <c r="B2" s="89">
        <f>'PRP-SOL'!R126</f>
        <v>0</v>
      </c>
      <c r="C2" s="89">
        <f>'PRP-SOL'!R127</f>
        <v>0</v>
      </c>
      <c r="D2" s="89">
        <f>'PRP-SOL'!R128</f>
        <v>0</v>
      </c>
      <c r="E2" s="89">
        <f>'PRP-SOL'!R129</f>
        <v>0</v>
      </c>
      <c r="F2" s="89">
        <f>'PRP-SOL'!R130</f>
        <v>0</v>
      </c>
      <c r="G2" s="89">
        <f>'PRP-SOL'!R131</f>
        <v>0</v>
      </c>
    </row>
  </sheetData>
  <pageMargins left="0.7" right="0.7" top="0.75" bottom="0.75" header="0.3" footer="0.3"/>
  <headerFooter>
    <oddHeader>&amp;C&amp;"Calibri"&amp;10&amp;K000000 [Confidential]&amp;1#_x000D_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F37E3-5DDA-4206-9234-BFB4F82C79D5}">
  <sheetPr codeName="Sheet06">
    <tabColor rgb="FFC00000"/>
  </sheetPr>
  <dimension ref="A1:BA4"/>
  <sheetViews>
    <sheetView topLeftCell="AR1" zoomScale="85" zoomScaleNormal="85" workbookViewId="0">
      <selection activeCell="F8" sqref="F8"/>
    </sheetView>
  </sheetViews>
  <sheetFormatPr defaultRowHeight="14.45"/>
  <cols>
    <col min="1" max="1" width="11.7109375" bestFit="1" customWidth="1"/>
    <col min="2" max="2" width="24.28515625" bestFit="1" customWidth="1"/>
    <col min="3" max="3" width="26.28515625" customWidth="1"/>
    <col min="4" max="4" width="25.7109375" customWidth="1"/>
    <col min="5" max="5" width="26.5703125" bestFit="1" customWidth="1"/>
    <col min="6" max="6" width="31.28515625" bestFit="1" customWidth="1"/>
    <col min="7" max="7" width="25.7109375" bestFit="1" customWidth="1"/>
    <col min="8" max="8" width="27.7109375" bestFit="1" customWidth="1"/>
    <col min="9" max="9" width="20.7109375" bestFit="1" customWidth="1"/>
    <col min="10" max="10" width="17.5703125" bestFit="1" customWidth="1"/>
    <col min="11" max="11" width="22.5703125" bestFit="1" customWidth="1"/>
    <col min="12" max="12" width="19" bestFit="1" customWidth="1"/>
    <col min="13" max="13" width="17.7109375" bestFit="1" customWidth="1"/>
    <col min="14" max="14" width="15.28515625" bestFit="1" customWidth="1"/>
    <col min="15" max="15" width="25.7109375" bestFit="1" customWidth="1"/>
    <col min="16" max="16" width="29.7109375" bestFit="1" customWidth="1"/>
    <col min="17" max="17" width="40.28515625" customWidth="1"/>
    <col min="18" max="18" width="11.7109375" bestFit="1" customWidth="1"/>
    <col min="19" max="19" width="24.28515625" bestFit="1" customWidth="1"/>
    <col min="20" max="20" width="17.28515625" bestFit="1" customWidth="1"/>
    <col min="21" max="21" width="20.28515625" bestFit="1" customWidth="1"/>
    <col min="22" max="22" width="26.5703125" bestFit="1" customWidth="1"/>
    <col min="23" max="23" width="31.28515625" bestFit="1" customWidth="1"/>
    <col min="24" max="24" width="25.7109375" bestFit="1" customWidth="1"/>
    <col min="25" max="25" width="27.7109375" bestFit="1" customWidth="1"/>
    <col min="26" max="26" width="27.7109375" customWidth="1"/>
    <col min="27" max="27" width="17.5703125" bestFit="1" customWidth="1"/>
    <col min="28" max="28" width="22.5703125" bestFit="1" customWidth="1"/>
    <col min="29" max="29" width="19" bestFit="1" customWidth="1"/>
    <col min="30" max="30" width="17.7109375" bestFit="1" customWidth="1"/>
    <col min="31" max="31" width="15.28515625" bestFit="1" customWidth="1"/>
    <col min="32" max="32" width="25.7109375" bestFit="1" customWidth="1"/>
    <col min="33" max="33" width="29.7109375" bestFit="1" customWidth="1"/>
    <col min="34" max="34" width="34.5703125" bestFit="1" customWidth="1"/>
    <col min="35" max="35" width="11.7109375" bestFit="1" customWidth="1"/>
    <col min="36" max="36" width="24.28515625" bestFit="1" customWidth="1"/>
    <col min="37" max="37" width="17.28515625" bestFit="1" customWidth="1"/>
    <col min="38" max="38" width="20.28515625" bestFit="1" customWidth="1"/>
    <col min="39" max="39" width="26.5703125" bestFit="1" customWidth="1"/>
    <col min="40" max="40" width="31.28515625" bestFit="1" customWidth="1"/>
    <col min="41" max="41" width="25.7109375" bestFit="1" customWidth="1"/>
    <col min="42" max="42" width="27.7109375" bestFit="1" customWidth="1"/>
    <col min="43" max="43" width="27.7109375" customWidth="1"/>
    <col min="44" max="44" width="17.5703125" bestFit="1" customWidth="1"/>
    <col min="45" max="45" width="22.5703125" bestFit="1" customWidth="1"/>
    <col min="46" max="46" width="19" bestFit="1" customWidth="1"/>
    <col min="47" max="47" width="17.7109375" bestFit="1" customWidth="1"/>
    <col min="48" max="48" width="15.28515625" bestFit="1" customWidth="1"/>
    <col min="49" max="49" width="25.7109375" bestFit="1" customWidth="1"/>
    <col min="50" max="50" width="29.7109375" bestFit="1" customWidth="1"/>
    <col min="51" max="51" width="34.28515625" bestFit="1" customWidth="1"/>
    <col min="52" max="52" width="15.7109375" customWidth="1"/>
    <col min="53" max="53" width="25.42578125" customWidth="1"/>
  </cols>
  <sheetData>
    <row r="1" spans="1:53">
      <c r="A1" s="150" t="s">
        <v>76</v>
      </c>
      <c r="B1" s="150" t="s">
        <v>77</v>
      </c>
      <c r="C1" s="150" t="s">
        <v>78</v>
      </c>
      <c r="D1" s="150" t="s">
        <v>79</v>
      </c>
      <c r="E1" s="150" t="s">
        <v>80</v>
      </c>
      <c r="F1" s="150" t="s">
        <v>81</v>
      </c>
      <c r="G1" s="150" t="s">
        <v>82</v>
      </c>
      <c r="H1" s="150" t="s">
        <v>83</v>
      </c>
      <c r="I1" s="150" t="s">
        <v>84</v>
      </c>
      <c r="J1" s="150" t="s">
        <v>85</v>
      </c>
      <c r="K1" s="150" t="s">
        <v>86</v>
      </c>
      <c r="L1" s="150" t="s">
        <v>87</v>
      </c>
      <c r="M1" s="150" t="s">
        <v>88</v>
      </c>
      <c r="N1" s="150" t="s">
        <v>89</v>
      </c>
      <c r="O1" s="150" t="s">
        <v>90</v>
      </c>
      <c r="P1" s="150" t="s">
        <v>91</v>
      </c>
      <c r="Q1" s="150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  <c r="AH1" t="s">
        <v>109</v>
      </c>
      <c r="AI1" s="150" t="s">
        <v>110</v>
      </c>
      <c r="AJ1" s="150" t="s">
        <v>111</v>
      </c>
      <c r="AK1" s="150" t="s">
        <v>112</v>
      </c>
      <c r="AL1" s="150" t="s">
        <v>113</v>
      </c>
      <c r="AM1" s="150" t="s">
        <v>114</v>
      </c>
      <c r="AN1" s="150" t="s">
        <v>115</v>
      </c>
      <c r="AO1" s="150" t="s">
        <v>116</v>
      </c>
      <c r="AP1" s="150" t="s">
        <v>117</v>
      </c>
      <c r="AQ1" s="150" t="s">
        <v>118</v>
      </c>
      <c r="AR1" s="150" t="s">
        <v>119</v>
      </c>
      <c r="AS1" s="150" t="s">
        <v>120</v>
      </c>
      <c r="AT1" s="150" t="s">
        <v>121</v>
      </c>
      <c r="AU1" s="150" t="s">
        <v>122</v>
      </c>
      <c r="AV1" s="150" t="s">
        <v>123</v>
      </c>
      <c r="AW1" s="150" t="s">
        <v>124</v>
      </c>
      <c r="AX1" s="150" t="s">
        <v>125</v>
      </c>
      <c r="AY1" s="150" t="s">
        <v>126</v>
      </c>
      <c r="AZ1" t="s">
        <v>127</v>
      </c>
      <c r="BA1" s="161" t="s">
        <v>128</v>
      </c>
    </row>
    <row r="2" spans="1:53" s="261" customFormat="1">
      <c r="A2" s="261" t="str">
        <f>CALC!J80</f>
        <v>PSU-1-O</v>
      </c>
      <c r="B2" s="261" t="str">
        <f>CALC!H9</f>
        <v>OPTUS</v>
      </c>
      <c r="C2" s="261" t="str">
        <f>CALC!J61</f>
        <v>VERTIV 7100 [31.5kW] IDU</v>
      </c>
      <c r="D2" s="261" t="str">
        <f>CALC!J62</f>
        <v>VERTIV R48-3000e3 [HE 3k]</v>
      </c>
      <c r="E2" s="261" t="str">
        <f>CALC!J83</f>
        <v>6 + 3 Future</v>
      </c>
      <c r="F2" s="261">
        <f>CALC!J64</f>
        <v>10</v>
      </c>
      <c r="G2" s="261" t="str">
        <f>CALC!J73</f>
        <v>LFeLi-48100ZN</v>
      </c>
      <c r="H2" s="261">
        <f>CALC!J74</f>
        <v>5</v>
      </c>
      <c r="I2" s="261" t="str">
        <f>CALC!J75</f>
        <v>No</v>
      </c>
      <c r="J2" s="263">
        <f>CALC!J90</f>
        <v>3.4703752363251836</v>
      </c>
      <c r="K2" s="263">
        <f ca="1">CALC!J91</f>
        <v>5.8974987990486127</v>
      </c>
      <c r="L2" s="264">
        <f>'PLBC-CALC'!G64</f>
        <v>0</v>
      </c>
      <c r="M2" s="265">
        <f>'PLBC-CALC'!G69</f>
        <v>2.7766875</v>
      </c>
      <c r="N2" s="264">
        <f>'PLBC-CALC'!H70</f>
        <v>1388.34375</v>
      </c>
      <c r="O2" s="265">
        <f>'PLBC-CALC'!G78</f>
        <v>0</v>
      </c>
      <c r="P2" s="264">
        <f>CALC!J86</f>
        <v>6241.4</v>
      </c>
      <c r="Q2" s="264">
        <f>CALC!J87</f>
        <v>11106.75</v>
      </c>
      <c r="R2" s="261" t="str">
        <f>CALC!T80</f>
        <v>PSU-1-V</v>
      </c>
      <c r="S2" s="261" t="str">
        <f>CALC!R9</f>
        <v>VODAFONE</v>
      </c>
      <c r="T2" s="261" t="str">
        <f>CALC!T61</f>
        <v>VERTIV 7100 [31.5kW] IDU</v>
      </c>
      <c r="U2" s="261" t="str">
        <f>CALC!T62</f>
        <v>VERTIV R48-3000e3 [HE 3k]</v>
      </c>
      <c r="V2" s="261" t="str">
        <f>CALC!T83</f>
        <v>6 + 3 Future</v>
      </c>
      <c r="W2" s="261">
        <f>CALC!T64</f>
        <v>10</v>
      </c>
      <c r="X2" s="261" t="str">
        <f>CALC!T73</f>
        <v>LFeLi-48100ZN</v>
      </c>
      <c r="Y2" s="261">
        <f>CALC!T74</f>
        <v>5</v>
      </c>
      <c r="Z2" s="261" t="str">
        <f>CALC!T75</f>
        <v>No</v>
      </c>
      <c r="AA2" s="263">
        <f>CALC!T90</f>
        <v>2.5170241941106748</v>
      </c>
      <c r="AB2" s="263">
        <f ca="1">CALC!T91</f>
        <v>7.4843807905610698</v>
      </c>
      <c r="AC2" s="264">
        <f>'PLBC-CALC'!M64</f>
        <v>0</v>
      </c>
      <c r="AD2" s="265">
        <f>'PLBC-CALC'!M69</f>
        <v>2.6424510638297876</v>
      </c>
      <c r="AE2" s="264">
        <f>'PLBC-CALC'!N70</f>
        <v>1321.2255319148937</v>
      </c>
      <c r="AF2" s="265">
        <f>'PLBC-CALC'!M78</f>
        <v>0</v>
      </c>
      <c r="AG2" s="264">
        <f>CALC!T86</f>
        <v>8605.4</v>
      </c>
      <c r="AH2" s="264">
        <f>CALC!T87</f>
        <v>10349.6</v>
      </c>
      <c r="AI2" s="261">
        <f>CALC!AD80</f>
        <v>0</v>
      </c>
      <c r="AJ2" s="261" t="str">
        <f>CALC!AB9</f>
        <v>OPTUS</v>
      </c>
      <c r="AK2" s="261" t="str">
        <f>CALC!AD61</f>
        <v>VERTIV 7100 [31.5kW] IDU</v>
      </c>
      <c r="AL2" s="261" t="str">
        <f>CALC!AD62</f>
        <v>VERTIV R48-3000e3 [HE 3k]</v>
      </c>
      <c r="AM2" s="261" t="str">
        <f>CALC!AD83</f>
        <v>6 + 3 Future</v>
      </c>
      <c r="AN2" s="261">
        <f>CALC!AD64</f>
        <v>10</v>
      </c>
      <c r="AO2" s="261" t="str">
        <f>CALC!AD73</f>
        <v>LPFG12-100S</v>
      </c>
      <c r="AP2" s="261">
        <f>CALC!AD74</f>
        <v>5</v>
      </c>
      <c r="AQ2" s="261" t="str">
        <f>CALC!AD75</f>
        <v>No</v>
      </c>
      <c r="AR2" s="263" t="str">
        <f>CALC!AD90</f>
        <v/>
      </c>
      <c r="AS2" s="263" t="str">
        <f ca="1">CALC!AD91</f>
        <v/>
      </c>
      <c r="AT2" s="264">
        <f>'PLBC-CALC'!S64</f>
        <v>0</v>
      </c>
      <c r="AU2" s="265" t="str">
        <f>'PLBC-CALC'!S69</f>
        <v/>
      </c>
      <c r="AV2" s="264">
        <f>'PLBC-CALC'!T70</f>
        <v>0</v>
      </c>
      <c r="AW2" s="265" t="str">
        <f>'PLBC-CALC'!S78</f>
        <v/>
      </c>
      <c r="AX2" s="264">
        <f>CALC!AD86</f>
        <v>0</v>
      </c>
      <c r="AY2" s="264">
        <f>CALC!AD87</f>
        <v>0</v>
      </c>
      <c r="AZ2" s="261" t="str">
        <f>CALC!J99</f>
        <v>NA</v>
      </c>
      <c r="BA2" s="262" t="str">
        <f>CALC!J100</f>
        <v>NR</v>
      </c>
    </row>
    <row r="3" spans="1:53" s="228" customFormat="1">
      <c r="J3" s="258"/>
      <c r="K3" s="258"/>
      <c r="L3" s="259"/>
      <c r="M3" s="260"/>
      <c r="N3" s="259"/>
      <c r="O3" s="260"/>
      <c r="P3" s="259"/>
      <c r="Q3" s="259"/>
      <c r="BA3" s="257"/>
    </row>
    <row r="4" spans="1:53">
      <c r="A4" s="89"/>
      <c r="B4" s="89"/>
      <c r="C4" s="89"/>
      <c r="D4" s="89"/>
      <c r="E4" s="89"/>
      <c r="F4" s="89"/>
      <c r="G4" s="89"/>
      <c r="H4" s="89"/>
      <c r="I4" s="89"/>
      <c r="J4" s="159"/>
      <c r="K4" s="159"/>
      <c r="L4" s="157"/>
      <c r="M4" s="160"/>
      <c r="N4" s="157"/>
      <c r="O4" s="160"/>
      <c r="P4" s="157"/>
      <c r="Q4" s="157"/>
      <c r="R4" s="89"/>
      <c r="S4" s="89"/>
      <c r="T4" s="89"/>
      <c r="U4" s="89"/>
      <c r="V4" s="89"/>
      <c r="W4" s="89"/>
      <c r="X4" s="89"/>
      <c r="Y4" s="89"/>
      <c r="Z4" s="89"/>
      <c r="AA4" s="159"/>
      <c r="AB4" s="159"/>
      <c r="AC4" s="157"/>
      <c r="AD4" s="160"/>
      <c r="AE4" s="157"/>
      <c r="AF4" s="160"/>
      <c r="AG4" s="157"/>
      <c r="AH4" s="157"/>
      <c r="AI4" s="89"/>
      <c r="AJ4" s="89"/>
      <c r="AK4" s="89"/>
      <c r="AL4" s="89"/>
      <c r="AM4" s="89"/>
      <c r="AN4" s="89"/>
      <c r="AO4" s="89"/>
      <c r="AP4" s="89"/>
      <c r="AQ4" s="89"/>
      <c r="AR4" s="159"/>
      <c r="AS4" s="159"/>
      <c r="AT4" s="157"/>
      <c r="AU4" s="160"/>
      <c r="AV4" s="157"/>
      <c r="AW4" s="160"/>
      <c r="AX4" s="157"/>
      <c r="AY4" s="157"/>
      <c r="AZ4" s="89"/>
      <c r="BA4" s="89"/>
    </row>
  </sheetData>
  <pageMargins left="0.7" right="0.7" top="0.75" bottom="0.75" header="0.3" footer="0.3"/>
  <headerFooter>
    <oddHeader>&amp;C&amp;"Calibri"&amp;10&amp;K000000 [Confidential]&amp;1#_x000D_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4FFD4-C492-43B6-88A8-D81DC64F8846}">
  <sheetPr codeName="Sheet07">
    <tabColor rgb="FFC00000"/>
  </sheetPr>
  <dimension ref="A1:V2"/>
  <sheetViews>
    <sheetView workbookViewId="0">
      <selection activeCell="F8" sqref="F8"/>
    </sheetView>
  </sheetViews>
  <sheetFormatPr defaultRowHeight="14.45"/>
  <cols>
    <col min="1" max="1" width="18.5703125" bestFit="1" customWidth="1"/>
    <col min="2" max="2" width="14.42578125" bestFit="1" customWidth="1"/>
    <col min="3" max="3" width="19.85546875" bestFit="1" customWidth="1"/>
    <col min="4" max="4" width="25.5703125" bestFit="1" customWidth="1"/>
    <col min="5" max="5" width="25.140625" bestFit="1" customWidth="1"/>
    <col min="6" max="6" width="22.7109375" bestFit="1" customWidth="1"/>
    <col min="7" max="7" width="21.7109375" bestFit="1" customWidth="1"/>
    <col min="8" max="8" width="21.28515625" bestFit="1" customWidth="1"/>
    <col min="9" max="9" width="18.85546875" bestFit="1" customWidth="1"/>
    <col min="10" max="10" width="21.7109375" bestFit="1" customWidth="1"/>
    <col min="11" max="11" width="21.28515625" bestFit="1" customWidth="1"/>
    <col min="12" max="12" width="18.85546875" customWidth="1"/>
    <col min="13" max="13" width="21.7109375" bestFit="1" customWidth="1"/>
    <col min="14" max="14" width="21.28515625" bestFit="1" customWidth="1"/>
    <col min="15" max="15" width="18.85546875" bestFit="1" customWidth="1"/>
    <col min="16" max="16" width="21.7109375" bestFit="1" customWidth="1"/>
    <col min="17" max="17" width="21.28515625" bestFit="1" customWidth="1"/>
    <col min="18" max="18" width="18.85546875" bestFit="1" customWidth="1"/>
    <col min="19" max="19" width="29.42578125" bestFit="1" customWidth="1"/>
    <col min="20" max="20" width="21.28515625" bestFit="1" customWidth="1"/>
    <col min="21" max="21" width="27.140625" bestFit="1" customWidth="1"/>
    <col min="22" max="22" width="22.7109375" bestFit="1" customWidth="1"/>
  </cols>
  <sheetData>
    <row r="1" spans="1:22" s="150" customFormat="1">
      <c r="A1" s="150" t="s">
        <v>129</v>
      </c>
      <c r="B1" s="150" t="s">
        <v>130</v>
      </c>
      <c r="C1" s="150" t="s">
        <v>131</v>
      </c>
      <c r="D1" s="150" t="s">
        <v>132</v>
      </c>
      <c r="E1" s="150" t="s">
        <v>133</v>
      </c>
      <c r="F1" s="150" t="s">
        <v>134</v>
      </c>
      <c r="G1" s="150" t="s">
        <v>135</v>
      </c>
      <c r="H1" s="150" t="s">
        <v>136</v>
      </c>
      <c r="I1" s="150" t="s">
        <v>137</v>
      </c>
      <c r="J1" s="150" t="s">
        <v>138</v>
      </c>
      <c r="K1" s="150" t="s">
        <v>139</v>
      </c>
      <c r="L1" s="150" t="s">
        <v>140</v>
      </c>
      <c r="M1" s="150" t="s">
        <v>141</v>
      </c>
      <c r="N1" s="150" t="s">
        <v>142</v>
      </c>
      <c r="O1" s="150" t="s">
        <v>143</v>
      </c>
      <c r="P1" s="150" t="s">
        <v>144</v>
      </c>
      <c r="Q1" s="150" t="s">
        <v>145</v>
      </c>
      <c r="R1" s="150" t="s">
        <v>146</v>
      </c>
      <c r="S1" s="150" t="s">
        <v>147</v>
      </c>
      <c r="T1" s="150" t="s">
        <v>148</v>
      </c>
      <c r="U1" s="150" t="s">
        <v>149</v>
      </c>
      <c r="V1" s="150" t="s">
        <v>150</v>
      </c>
    </row>
    <row r="2" spans="1:22">
      <c r="A2" s="89" t="str">
        <f>CALC!J108</f>
        <v>ICS ODC</v>
      </c>
      <c r="B2" s="89" t="str">
        <f>CALC!J109</f>
        <v>Free Air</v>
      </c>
      <c r="C2" s="89">
        <f>CALC!J110</f>
        <v>6</v>
      </c>
      <c r="D2" s="89">
        <f>CALC!J111</f>
        <v>0</v>
      </c>
      <c r="E2" s="157" t="str">
        <f>CALC!N111</f>
        <v/>
      </c>
      <c r="F2" s="157">
        <f>CALC!O111</f>
        <v>0</v>
      </c>
      <c r="G2" s="89">
        <f>CALC!J112</f>
        <v>0</v>
      </c>
      <c r="H2" s="157" t="str">
        <f>CALC!N112</f>
        <v/>
      </c>
      <c r="I2" s="157">
        <f>CALC!O112</f>
        <v>0</v>
      </c>
      <c r="J2" s="157">
        <f>CALC!J113</f>
        <v>0</v>
      </c>
      <c r="K2" s="157" t="str">
        <f>CALC!N113</f>
        <v/>
      </c>
      <c r="L2" s="157">
        <f>CALC!O113</f>
        <v>0</v>
      </c>
      <c r="M2" s="89">
        <f>CALC!J114</f>
        <v>0</v>
      </c>
      <c r="N2" s="157" t="str">
        <f>CALC!N114</f>
        <v/>
      </c>
      <c r="O2" s="157">
        <f>CALC!O114</f>
        <v>0</v>
      </c>
      <c r="P2" s="89">
        <f>CALC!J115</f>
        <v>0</v>
      </c>
      <c r="Q2" s="157" t="str">
        <f>CALC!N115</f>
        <v/>
      </c>
      <c r="R2" s="157">
        <f>CALC!O115</f>
        <v>0</v>
      </c>
      <c r="S2" s="185">
        <f>CALC!J119</f>
        <v>1412.7680000000005</v>
      </c>
      <c r="T2" s="185">
        <f>CALC!J120</f>
        <v>0</v>
      </c>
      <c r="U2" s="185">
        <f>CALC!J121</f>
        <v>9048</v>
      </c>
      <c r="V2" s="185">
        <f>CALC!J122</f>
        <v>777.59999999999991</v>
      </c>
    </row>
  </sheetData>
  <phoneticPr fontId="10" type="noConversion"/>
  <pageMargins left="0.7" right="0.7" top="0.75" bottom="0.75" header="0.3" footer="0.3"/>
  <headerFooter>
    <oddHeader>&amp;C&amp;"Calibri"&amp;10&amp;K000000 [Confidential]&amp;1#_x000D_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AD517-785D-4F8B-BB4A-E3B117AF1624}">
  <sheetPr codeName="Sheet41">
    <tabColor rgb="FF00A3AD"/>
  </sheetPr>
  <dimension ref="B1:U93"/>
  <sheetViews>
    <sheetView showGridLines="0" topLeftCell="B15" zoomScaleNormal="100" workbookViewId="0">
      <selection activeCell="P10" sqref="P10"/>
    </sheetView>
  </sheetViews>
  <sheetFormatPr defaultRowHeight="14.45"/>
  <cols>
    <col min="1" max="1" width="0" hidden="1" customWidth="1"/>
    <col min="2" max="4" width="9.28515625" style="1"/>
    <col min="7" max="7" width="9.5703125" bestFit="1" customWidth="1"/>
  </cols>
  <sheetData>
    <row r="1" spans="2:21" ht="16.5" hidden="1" customHeight="1"/>
    <row r="2" spans="2:21" ht="16.5" customHeight="1">
      <c r="F2" s="287" t="s">
        <v>151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6"/>
      <c r="S2" s="286"/>
      <c r="T2" s="286"/>
      <c r="U2" s="286"/>
    </row>
    <row r="3" spans="2:21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6"/>
      <c r="S3" s="286"/>
      <c r="T3" s="286"/>
      <c r="U3" s="286"/>
    </row>
    <row r="4" spans="2:21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6"/>
      <c r="S4" s="286"/>
      <c r="T4" s="286"/>
      <c r="U4" s="286"/>
    </row>
    <row r="5" spans="2:21" ht="16.5" customHeight="1"/>
    <row r="6" spans="2:21" ht="16.5" customHeight="1"/>
    <row r="7" spans="2:21" ht="16.5" customHeight="1">
      <c r="C7" s="2" t="s">
        <v>152</v>
      </c>
      <c r="D7" s="12">
        <f>DCVer</f>
        <v>12.7</v>
      </c>
      <c r="F7" s="292" t="s">
        <v>153</v>
      </c>
      <c r="G7" s="292"/>
      <c r="H7" s="292"/>
      <c r="I7" s="292"/>
      <c r="J7" s="292"/>
      <c r="K7" s="292"/>
      <c r="L7" s="292"/>
    </row>
    <row r="8" spans="2:21" ht="16.5" customHeight="1">
      <c r="F8" s="292"/>
      <c r="G8" s="292"/>
      <c r="H8" s="292"/>
      <c r="I8" s="292"/>
      <c r="J8" s="292"/>
      <c r="K8" s="292"/>
      <c r="L8" s="292"/>
    </row>
    <row r="9" spans="2:21" ht="16.5" customHeight="1">
      <c r="B9" s="289"/>
      <c r="C9" s="289"/>
      <c r="D9" s="289"/>
      <c r="F9" s="25"/>
      <c r="G9" s="25"/>
      <c r="H9" s="25"/>
      <c r="I9" s="25"/>
      <c r="J9" s="25"/>
      <c r="K9" s="25"/>
      <c r="L9" s="25"/>
    </row>
    <row r="10" spans="2:21" ht="16.5" customHeight="1">
      <c r="B10" s="290" t="s">
        <v>151</v>
      </c>
      <c r="C10" s="291"/>
      <c r="D10" s="291"/>
      <c r="F10" s="282" t="s">
        <v>154</v>
      </c>
      <c r="G10" s="284"/>
      <c r="H10" s="279">
        <v>658102</v>
      </c>
      <c r="I10" s="281"/>
      <c r="J10" s="280"/>
      <c r="K10" s="25"/>
      <c r="L10" s="25"/>
    </row>
    <row r="11" spans="2:21" ht="16.5" customHeight="1">
      <c r="B11" s="285" t="s">
        <v>155</v>
      </c>
      <c r="C11" s="289"/>
      <c r="D11" s="289"/>
      <c r="F11" s="25"/>
      <c r="G11" s="25"/>
      <c r="H11" s="25"/>
      <c r="I11" s="25"/>
      <c r="J11" s="25"/>
      <c r="K11" s="25"/>
      <c r="L11" s="25"/>
    </row>
    <row r="12" spans="2:21" ht="16.5" customHeight="1">
      <c r="B12" s="285"/>
      <c r="C12" s="285"/>
      <c r="D12" s="285"/>
      <c r="F12" s="282" t="s">
        <v>156</v>
      </c>
      <c r="G12" s="284"/>
      <c r="H12" s="279" t="s">
        <v>157</v>
      </c>
      <c r="I12" s="280"/>
      <c r="J12" s="135" t="s">
        <v>158</v>
      </c>
      <c r="K12" s="25"/>
      <c r="L12" s="25"/>
    </row>
    <row r="13" spans="2:21" ht="16.5" customHeight="1">
      <c r="B13" s="285" t="s">
        <v>159</v>
      </c>
      <c r="C13" s="285"/>
      <c r="D13" s="285"/>
      <c r="F13" s="282" t="s">
        <v>160</v>
      </c>
      <c r="G13" s="284"/>
      <c r="H13" s="279" t="s">
        <v>161</v>
      </c>
      <c r="I13" s="280"/>
    </row>
    <row r="14" spans="2:21" ht="16.5" customHeight="1">
      <c r="B14" s="285" t="s">
        <v>162</v>
      </c>
      <c r="C14" s="285"/>
      <c r="D14" s="285"/>
      <c r="F14" s="282" t="s">
        <v>163</v>
      </c>
      <c r="G14" s="284"/>
      <c r="H14" s="279" t="s">
        <v>164</v>
      </c>
      <c r="I14" s="281"/>
      <c r="J14" s="281"/>
      <c r="K14" s="281"/>
      <c r="L14" s="280"/>
    </row>
    <row r="15" spans="2:21" ht="16.5" customHeight="1">
      <c r="B15" s="285"/>
      <c r="C15" s="285"/>
      <c r="D15" s="285"/>
      <c r="F15" s="282" t="s">
        <v>165</v>
      </c>
      <c r="G15" s="284"/>
      <c r="H15" s="205" t="s">
        <v>166</v>
      </c>
      <c r="I15" s="135" t="s">
        <v>158</v>
      </c>
    </row>
    <row r="16" spans="2:21" ht="16.5" customHeight="1">
      <c r="B16" s="285" t="s">
        <v>167</v>
      </c>
      <c r="C16" s="285"/>
      <c r="D16" s="285"/>
      <c r="F16" s="282" t="s">
        <v>168</v>
      </c>
      <c r="G16" s="284"/>
      <c r="H16" s="279" t="s">
        <v>169</v>
      </c>
      <c r="I16" s="280"/>
      <c r="J16" s="135" t="s">
        <v>158</v>
      </c>
    </row>
    <row r="17" spans="2:13" ht="16.5" customHeight="1">
      <c r="B17" s="285" t="s">
        <v>170</v>
      </c>
      <c r="C17" s="285"/>
      <c r="D17" s="285"/>
      <c r="F17" s="282" t="s">
        <v>171</v>
      </c>
      <c r="G17" s="284"/>
      <c r="H17" s="199" t="s">
        <v>172</v>
      </c>
      <c r="I17" s="135" t="s">
        <v>158</v>
      </c>
    </row>
    <row r="18" spans="2:13" ht="16.5" customHeight="1">
      <c r="B18" s="285" t="s">
        <v>173</v>
      </c>
      <c r="C18" s="285"/>
      <c r="D18" s="285"/>
    </row>
    <row r="19" spans="2:13" ht="16.5" customHeight="1">
      <c r="B19" s="285"/>
      <c r="C19" s="285"/>
      <c r="D19" s="285"/>
      <c r="F19" s="282" t="s">
        <v>174</v>
      </c>
      <c r="G19" s="284"/>
      <c r="H19" s="279" t="s">
        <v>175</v>
      </c>
      <c r="I19" s="280"/>
    </row>
    <row r="20" spans="2:13" ht="16.5" customHeight="1">
      <c r="B20" s="285" t="s">
        <v>176</v>
      </c>
      <c r="C20" s="285"/>
      <c r="D20" s="285"/>
    </row>
    <row r="21" spans="2:13" ht="16.5" customHeight="1">
      <c r="B21" s="285"/>
      <c r="C21" s="285"/>
      <c r="D21" s="285"/>
      <c r="F21" s="282" t="s">
        <v>177</v>
      </c>
      <c r="G21" s="284"/>
      <c r="H21" s="279" t="s">
        <v>178</v>
      </c>
      <c r="I21" s="280"/>
      <c r="J21" s="135" t="s">
        <v>158</v>
      </c>
    </row>
    <row r="22" spans="2:13" ht="16.5" customHeight="1">
      <c r="B22" s="285"/>
      <c r="C22" s="285"/>
      <c r="D22" s="285"/>
      <c r="F22" s="282" t="s">
        <v>179</v>
      </c>
      <c r="G22" s="283"/>
      <c r="H22" s="279" t="s">
        <v>180</v>
      </c>
      <c r="I22" s="281"/>
      <c r="J22" s="281"/>
      <c r="K22" s="281"/>
      <c r="L22" s="280"/>
    </row>
    <row r="23" spans="2:13" ht="16.5" customHeight="1">
      <c r="B23" s="285"/>
      <c r="C23" s="285"/>
      <c r="D23" s="285"/>
      <c r="F23" s="282" t="s">
        <v>181</v>
      </c>
      <c r="G23" s="284"/>
      <c r="H23" s="279" t="s">
        <v>180</v>
      </c>
      <c r="I23" s="281"/>
      <c r="J23" s="281"/>
      <c r="K23" s="281"/>
      <c r="L23" s="280"/>
      <c r="M23" s="222"/>
    </row>
    <row r="24" spans="2:13" ht="16.5" customHeight="1">
      <c r="B24" s="285"/>
      <c r="C24" s="285"/>
      <c r="D24" s="285"/>
    </row>
    <row r="25" spans="2:13" ht="16.5" customHeight="1">
      <c r="B25" s="285" t="s">
        <v>182</v>
      </c>
      <c r="C25" s="285"/>
      <c r="D25" s="285"/>
      <c r="F25" s="278" t="s">
        <v>183</v>
      </c>
      <c r="G25" s="278"/>
      <c r="H25" s="278"/>
      <c r="I25" s="278"/>
      <c r="J25" s="278"/>
      <c r="K25" s="278"/>
      <c r="L25" s="278"/>
    </row>
    <row r="26" spans="2:13" ht="16.5" customHeight="1">
      <c r="B26" s="285"/>
      <c r="C26" s="285"/>
      <c r="D26" s="285"/>
      <c r="F26" s="278"/>
      <c r="G26" s="278"/>
      <c r="H26" s="278"/>
      <c r="I26" s="278"/>
      <c r="J26" s="278"/>
      <c r="K26" s="278"/>
      <c r="L26" s="278"/>
    </row>
    <row r="27" spans="2:13" ht="16.5" customHeight="1">
      <c r="B27" s="285"/>
      <c r="C27" s="285"/>
      <c r="D27" s="285"/>
      <c r="F27" s="243"/>
      <c r="G27" s="243"/>
      <c r="H27" s="243"/>
      <c r="I27" s="243"/>
      <c r="J27" s="243"/>
      <c r="K27" s="243"/>
      <c r="L27" s="243"/>
    </row>
    <row r="28" spans="2:13" ht="16.5" customHeight="1">
      <c r="B28" s="293"/>
      <c r="C28" s="293"/>
      <c r="D28" s="293"/>
      <c r="F28" s="273" t="s">
        <v>184</v>
      </c>
      <c r="G28" s="274"/>
      <c r="H28" s="276" t="s">
        <v>185</v>
      </c>
      <c r="I28" s="276"/>
    </row>
    <row r="29" spans="2:13" ht="16.5" customHeight="1">
      <c r="B29" s="293"/>
      <c r="C29" s="293"/>
      <c r="D29" s="293"/>
      <c r="F29" s="275" t="s">
        <v>186</v>
      </c>
      <c r="G29" s="275"/>
      <c r="H29" s="277">
        <v>45750</v>
      </c>
      <c r="I29" s="277"/>
    </row>
    <row r="30" spans="2:13" ht="16.5" customHeight="1">
      <c r="B30" s="293"/>
      <c r="C30" s="293"/>
      <c r="D30" s="293"/>
      <c r="H30" s="248"/>
      <c r="I30" s="248"/>
    </row>
    <row r="31" spans="2:13" ht="16.5" customHeight="1">
      <c r="B31" s="293"/>
      <c r="C31" s="293"/>
      <c r="D31" s="293"/>
    </row>
    <row r="32" spans="2:13" ht="16.5" customHeight="1">
      <c r="B32" s="289"/>
      <c r="C32" s="289"/>
      <c r="D32" s="289"/>
      <c r="F32" s="138" t="s">
        <v>184</v>
      </c>
      <c r="G32" s="138" t="s">
        <v>186</v>
      </c>
      <c r="H32" s="269" t="s">
        <v>187</v>
      </c>
      <c r="I32" s="269"/>
      <c r="J32" s="269"/>
      <c r="K32" s="269"/>
      <c r="L32" s="269"/>
    </row>
    <row r="33" spans="2:12" ht="16.5" customHeight="1">
      <c r="B33" s="289"/>
      <c r="C33" s="289"/>
      <c r="D33" s="289"/>
      <c r="F33" s="249" t="s">
        <v>185</v>
      </c>
      <c r="G33" s="256">
        <v>45750</v>
      </c>
      <c r="H33" s="270" t="s">
        <v>188</v>
      </c>
      <c r="I33" s="271"/>
      <c r="J33" s="271"/>
      <c r="K33" s="271"/>
      <c r="L33" s="272"/>
    </row>
    <row r="34" spans="2:12" ht="16.5" customHeight="1">
      <c r="B34" s="289"/>
      <c r="C34" s="289"/>
      <c r="D34" s="289"/>
      <c r="F34" s="249"/>
      <c r="G34" s="249"/>
      <c r="H34" s="266"/>
      <c r="I34" s="267"/>
      <c r="J34" s="267"/>
      <c r="K34" s="267"/>
      <c r="L34" s="268"/>
    </row>
    <row r="35" spans="2:12" ht="16.5" customHeight="1">
      <c r="B35" s="289"/>
      <c r="C35" s="289"/>
      <c r="D35" s="289"/>
      <c r="F35" s="249"/>
      <c r="G35" s="249"/>
      <c r="H35" s="266"/>
      <c r="I35" s="267"/>
      <c r="J35" s="267"/>
      <c r="K35" s="267"/>
      <c r="L35" s="268"/>
    </row>
    <row r="36" spans="2:12" ht="16.5" customHeight="1">
      <c r="B36" s="289"/>
      <c r="C36" s="289"/>
      <c r="D36" s="289"/>
      <c r="F36" s="249"/>
      <c r="G36" s="249"/>
      <c r="H36" s="266"/>
      <c r="I36" s="267"/>
      <c r="J36" s="267"/>
      <c r="K36" s="267"/>
      <c r="L36" s="268"/>
    </row>
    <row r="37" spans="2:12" ht="16.5" customHeight="1">
      <c r="B37" s="289"/>
      <c r="C37" s="289"/>
      <c r="D37" s="289"/>
      <c r="F37" s="249"/>
      <c r="G37" s="249"/>
      <c r="H37" s="500"/>
      <c r="I37" s="501"/>
      <c r="J37" s="501"/>
      <c r="K37" s="501"/>
      <c r="L37" s="502"/>
    </row>
    <row r="38" spans="2:12" ht="16.5" customHeight="1">
      <c r="B38" s="289"/>
      <c r="C38" s="289"/>
      <c r="D38" s="289"/>
      <c r="F38" s="249"/>
      <c r="G38" s="249"/>
      <c r="H38" s="500"/>
      <c r="I38" s="501"/>
      <c r="J38" s="501"/>
      <c r="K38" s="501"/>
      <c r="L38" s="502"/>
    </row>
    <row r="39" spans="2:12" ht="16.5" customHeight="1">
      <c r="B39" s="289"/>
      <c r="C39" s="289"/>
      <c r="D39" s="289"/>
      <c r="F39" s="249"/>
      <c r="G39" s="249"/>
      <c r="H39" s="500"/>
      <c r="I39" s="501"/>
      <c r="J39" s="501"/>
      <c r="K39" s="501"/>
      <c r="L39" s="502"/>
    </row>
    <row r="40" spans="2:12" ht="16.5" customHeight="1">
      <c r="B40" s="289"/>
      <c r="C40" s="289"/>
      <c r="D40" s="289"/>
      <c r="F40" s="249"/>
      <c r="G40" s="249"/>
      <c r="H40" s="500"/>
      <c r="I40" s="501"/>
      <c r="J40" s="501"/>
      <c r="K40" s="501"/>
      <c r="L40" s="502"/>
    </row>
    <row r="41" spans="2:12" ht="16.5" customHeight="1">
      <c r="B41" s="289"/>
      <c r="C41" s="289"/>
      <c r="D41" s="289"/>
      <c r="F41" s="249"/>
      <c r="G41" s="249"/>
      <c r="H41" s="500"/>
      <c r="I41" s="501"/>
      <c r="J41" s="501"/>
      <c r="K41" s="501"/>
      <c r="L41" s="502"/>
    </row>
    <row r="42" spans="2:12" ht="16.5" customHeight="1">
      <c r="B42" s="289"/>
      <c r="C42" s="289"/>
      <c r="D42" s="289"/>
      <c r="F42" s="249"/>
      <c r="G42" s="249"/>
      <c r="H42" s="500"/>
      <c r="I42" s="501"/>
      <c r="J42" s="501"/>
      <c r="K42" s="501"/>
      <c r="L42" s="502"/>
    </row>
    <row r="43" spans="2:12" ht="16.5" customHeight="1">
      <c r="B43" s="289"/>
      <c r="C43" s="289"/>
      <c r="D43" s="289"/>
      <c r="F43" s="249"/>
      <c r="G43" s="249"/>
      <c r="H43" s="500"/>
      <c r="I43" s="501"/>
      <c r="J43" s="501"/>
      <c r="K43" s="501"/>
      <c r="L43" s="502"/>
    </row>
    <row r="44" spans="2:12" ht="16.5" customHeight="1">
      <c r="B44" s="289"/>
      <c r="C44" s="289"/>
      <c r="D44" s="289"/>
      <c r="F44" s="249"/>
      <c r="G44" s="249"/>
      <c r="H44" s="500"/>
      <c r="I44" s="501"/>
      <c r="J44" s="501"/>
      <c r="K44" s="501"/>
      <c r="L44" s="502"/>
    </row>
    <row r="45" spans="2:12" ht="16.5" customHeight="1">
      <c r="B45" s="289"/>
      <c r="C45" s="289"/>
      <c r="D45" s="289"/>
      <c r="F45" s="249"/>
      <c r="G45" s="249"/>
      <c r="H45" s="500"/>
      <c r="I45" s="501"/>
      <c r="J45" s="501"/>
      <c r="K45" s="501"/>
      <c r="L45" s="502"/>
    </row>
    <row r="46" spans="2:12" ht="16.5" customHeight="1">
      <c r="B46" s="289"/>
      <c r="C46" s="289"/>
      <c r="D46" s="289"/>
      <c r="F46" s="249"/>
      <c r="G46" s="249"/>
      <c r="H46" s="500"/>
      <c r="I46" s="501"/>
      <c r="J46" s="501"/>
      <c r="K46" s="501"/>
      <c r="L46" s="502"/>
    </row>
    <row r="47" spans="2:12" ht="16.5" customHeight="1">
      <c r="B47" s="289"/>
      <c r="C47" s="289"/>
      <c r="D47" s="289"/>
      <c r="F47" s="249"/>
      <c r="G47" s="249"/>
      <c r="H47" s="500"/>
      <c r="I47" s="501"/>
      <c r="J47" s="501"/>
      <c r="K47" s="501"/>
      <c r="L47" s="502"/>
    </row>
    <row r="48" spans="2:12" ht="16.5" customHeight="1">
      <c r="B48" s="289"/>
      <c r="C48" s="289"/>
      <c r="D48" s="289"/>
      <c r="F48" s="249"/>
      <c r="G48" s="249"/>
      <c r="H48" s="500"/>
      <c r="I48" s="501"/>
      <c r="J48" s="501"/>
      <c r="K48" s="501"/>
      <c r="L48" s="502"/>
    </row>
    <row r="49" spans="6:12" ht="16.5" customHeight="1">
      <c r="F49" s="249"/>
      <c r="G49" s="249"/>
      <c r="H49" s="500"/>
      <c r="I49" s="501"/>
      <c r="J49" s="501"/>
      <c r="K49" s="501"/>
      <c r="L49" s="502"/>
    </row>
    <row r="50" spans="6:12" ht="16.5" customHeight="1">
      <c r="F50" s="249"/>
      <c r="G50" s="249"/>
      <c r="H50" s="500"/>
      <c r="I50" s="501"/>
      <c r="J50" s="501"/>
      <c r="K50" s="501"/>
      <c r="L50" s="502"/>
    </row>
    <row r="51" spans="6:12" ht="16.5" customHeight="1">
      <c r="F51" s="249"/>
      <c r="G51" s="249"/>
      <c r="H51" s="500"/>
      <c r="I51" s="501"/>
      <c r="J51" s="501"/>
      <c r="K51" s="501"/>
      <c r="L51" s="502"/>
    </row>
    <row r="52" spans="6:12" ht="16.5" customHeight="1">
      <c r="F52" s="249"/>
      <c r="G52" s="249"/>
      <c r="H52" s="500"/>
      <c r="I52" s="501"/>
      <c r="J52" s="501"/>
      <c r="K52" s="501"/>
      <c r="L52" s="502"/>
    </row>
    <row r="53" spans="6:12" ht="16.5" customHeight="1">
      <c r="F53" s="249"/>
      <c r="G53" s="249"/>
      <c r="H53" s="500"/>
      <c r="I53" s="501"/>
      <c r="J53" s="501"/>
      <c r="K53" s="501"/>
      <c r="L53" s="502"/>
    </row>
    <row r="54" spans="6:12" ht="16.5" customHeight="1">
      <c r="F54" s="249"/>
      <c r="G54" s="249"/>
      <c r="H54" s="500"/>
      <c r="I54" s="501"/>
      <c r="J54" s="501"/>
      <c r="K54" s="501"/>
      <c r="L54" s="502"/>
    </row>
    <row r="55" spans="6:12" ht="16.5" customHeight="1">
      <c r="F55" s="249"/>
      <c r="G55" s="249"/>
      <c r="H55" s="500"/>
      <c r="I55" s="501"/>
      <c r="J55" s="501"/>
      <c r="K55" s="501"/>
      <c r="L55" s="502"/>
    </row>
    <row r="56" spans="6:12" ht="16.5" customHeight="1">
      <c r="F56" s="249"/>
      <c r="G56" s="249"/>
      <c r="H56" s="500"/>
      <c r="I56" s="501"/>
      <c r="J56" s="501"/>
      <c r="K56" s="501"/>
      <c r="L56" s="502"/>
    </row>
    <row r="57" spans="6:12" ht="16.5" customHeight="1">
      <c r="F57" s="249"/>
      <c r="G57" s="249"/>
      <c r="H57" s="500"/>
      <c r="I57" s="501"/>
      <c r="J57" s="501"/>
      <c r="K57" s="501"/>
      <c r="L57" s="502"/>
    </row>
    <row r="58" spans="6:12" ht="16.5" customHeight="1">
      <c r="F58" s="249"/>
      <c r="G58" s="249"/>
      <c r="H58" s="500"/>
      <c r="I58" s="501"/>
      <c r="J58" s="501"/>
      <c r="K58" s="501"/>
      <c r="L58" s="502"/>
    </row>
    <row r="59" spans="6:12" ht="16.5" customHeight="1">
      <c r="F59" s="249"/>
      <c r="G59" s="249"/>
      <c r="H59" s="500"/>
      <c r="I59" s="501"/>
      <c r="J59" s="501"/>
      <c r="K59" s="501"/>
      <c r="L59" s="502"/>
    </row>
    <row r="60" spans="6:12" ht="16.5" customHeight="1">
      <c r="F60" s="249"/>
      <c r="G60" s="249"/>
      <c r="H60" s="500"/>
      <c r="I60" s="501"/>
      <c r="J60" s="501"/>
      <c r="K60" s="501"/>
      <c r="L60" s="502"/>
    </row>
    <row r="61" spans="6:12" ht="16.5" customHeight="1">
      <c r="F61" s="249"/>
      <c r="G61" s="249"/>
      <c r="H61" s="500"/>
      <c r="I61" s="501"/>
      <c r="J61" s="501"/>
      <c r="K61" s="501"/>
      <c r="L61" s="502"/>
    </row>
    <row r="62" spans="6:12" ht="16.5" customHeight="1">
      <c r="F62" s="249"/>
      <c r="G62" s="249"/>
      <c r="H62" s="500"/>
      <c r="I62" s="501"/>
      <c r="J62" s="501"/>
      <c r="K62" s="501"/>
      <c r="L62" s="502"/>
    </row>
    <row r="63" spans="6:12" ht="16.5" customHeight="1">
      <c r="F63" s="249"/>
      <c r="G63" s="249"/>
      <c r="H63" s="500"/>
      <c r="I63" s="501"/>
      <c r="J63" s="501"/>
      <c r="K63" s="501"/>
      <c r="L63" s="502"/>
    </row>
    <row r="64" spans="6:12" ht="16.5" customHeight="1">
      <c r="F64" s="249"/>
      <c r="G64" s="249"/>
      <c r="H64" s="266"/>
      <c r="I64" s="267"/>
      <c r="J64" s="267"/>
      <c r="K64" s="267"/>
      <c r="L64" s="268"/>
    </row>
    <row r="65" spans="6:12" ht="16.5" customHeight="1">
      <c r="F65" s="249"/>
      <c r="G65" s="249"/>
      <c r="H65" s="266"/>
      <c r="I65" s="267"/>
      <c r="J65" s="267"/>
      <c r="K65" s="267"/>
      <c r="L65" s="268"/>
    </row>
    <row r="66" spans="6:12" ht="16.5" customHeight="1"/>
    <row r="67" spans="6:12" ht="16.5" customHeight="1"/>
    <row r="68" spans="6:12" ht="16.5" customHeight="1"/>
    <row r="69" spans="6:12" ht="16.5" customHeight="1"/>
    <row r="70" spans="6:12" ht="16.5" customHeight="1"/>
    <row r="71" spans="6:12" ht="16.5" customHeight="1"/>
    <row r="72" spans="6:12" ht="16.5" customHeight="1"/>
    <row r="73" spans="6:12" ht="16.5" customHeight="1"/>
    <row r="74" spans="6:12" ht="16.5" customHeight="1"/>
    <row r="75" spans="6:12" ht="16.5" customHeight="1"/>
    <row r="76" spans="6:12" ht="16.5" customHeight="1"/>
    <row r="77" spans="6:12" ht="16.5" customHeight="1"/>
    <row r="78" spans="6:12" ht="16.5" customHeight="1"/>
    <row r="79" spans="6:12" ht="16.5" customHeight="1"/>
    <row r="80" spans="6:12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</sheetData>
  <mergeCells count="102">
    <mergeCell ref="B36:D36"/>
    <mergeCell ref="B37:D37"/>
    <mergeCell ref="B38:D38"/>
    <mergeCell ref="B39:D39"/>
    <mergeCell ref="B40:D40"/>
    <mergeCell ref="B47:D47"/>
    <mergeCell ref="B48:D48"/>
    <mergeCell ref="B41:D41"/>
    <mergeCell ref="B42:D42"/>
    <mergeCell ref="B43:D43"/>
    <mergeCell ref="B44:D44"/>
    <mergeCell ref="B45:D45"/>
    <mergeCell ref="B46:D46"/>
    <mergeCell ref="R2:U4"/>
    <mergeCell ref="F2:Q4"/>
    <mergeCell ref="B9:D9"/>
    <mergeCell ref="B10:D10"/>
    <mergeCell ref="F7:L8"/>
    <mergeCell ref="F10:G10"/>
    <mergeCell ref="H10:J10"/>
    <mergeCell ref="B35:D35"/>
    <mergeCell ref="B23:D23"/>
    <mergeCell ref="B28:D28"/>
    <mergeCell ref="B29:D29"/>
    <mergeCell ref="B30:D30"/>
    <mergeCell ref="B31:D31"/>
    <mergeCell ref="B26:D26"/>
    <mergeCell ref="B27:D27"/>
    <mergeCell ref="B24:D24"/>
    <mergeCell ref="B25:D25"/>
    <mergeCell ref="B32:D32"/>
    <mergeCell ref="B33:D33"/>
    <mergeCell ref="B34:D34"/>
    <mergeCell ref="B22:D22"/>
    <mergeCell ref="B16:D16"/>
    <mergeCell ref="B17:D17"/>
    <mergeCell ref="B11:D11"/>
    <mergeCell ref="B19:D19"/>
    <mergeCell ref="B20:D20"/>
    <mergeCell ref="B12:D12"/>
    <mergeCell ref="B21:D21"/>
    <mergeCell ref="B13:D13"/>
    <mergeCell ref="B14:D14"/>
    <mergeCell ref="B15:D15"/>
    <mergeCell ref="B18:D18"/>
    <mergeCell ref="F23:G23"/>
    <mergeCell ref="F19:G19"/>
    <mergeCell ref="H19:I19"/>
    <mergeCell ref="H23:L23"/>
    <mergeCell ref="H14:L14"/>
    <mergeCell ref="F22:G22"/>
    <mergeCell ref="H22:L22"/>
    <mergeCell ref="F12:G12"/>
    <mergeCell ref="F21:G21"/>
    <mergeCell ref="F17:G17"/>
    <mergeCell ref="F16:G16"/>
    <mergeCell ref="H12:I12"/>
    <mergeCell ref="H21:I21"/>
    <mergeCell ref="H16:I16"/>
    <mergeCell ref="F13:G13"/>
    <mergeCell ref="F14:G14"/>
    <mergeCell ref="F15:G15"/>
    <mergeCell ref="H13:I13"/>
    <mergeCell ref="H32:L32"/>
    <mergeCell ref="H33:L33"/>
    <mergeCell ref="H34:L34"/>
    <mergeCell ref="H35:L35"/>
    <mergeCell ref="F28:G28"/>
    <mergeCell ref="F29:G29"/>
    <mergeCell ref="H28:I28"/>
    <mergeCell ref="H29:I29"/>
    <mergeCell ref="F25:L26"/>
    <mergeCell ref="H41:L41"/>
    <mergeCell ref="H42:L42"/>
    <mergeCell ref="H43:L43"/>
    <mergeCell ref="H44:L44"/>
    <mergeCell ref="H45:L45"/>
    <mergeCell ref="H36:L36"/>
    <mergeCell ref="H37:L37"/>
    <mergeCell ref="H38:L38"/>
    <mergeCell ref="H39:L39"/>
    <mergeCell ref="H40:L40"/>
    <mergeCell ref="H51:L51"/>
    <mergeCell ref="H52:L52"/>
    <mergeCell ref="H53:L53"/>
    <mergeCell ref="H54:L54"/>
    <mergeCell ref="H55:L55"/>
    <mergeCell ref="H46:L46"/>
    <mergeCell ref="H47:L47"/>
    <mergeCell ref="H48:L48"/>
    <mergeCell ref="H49:L49"/>
    <mergeCell ref="H50:L50"/>
    <mergeCell ref="H61:L61"/>
    <mergeCell ref="H62:L62"/>
    <mergeCell ref="H63:L63"/>
    <mergeCell ref="H64:L64"/>
    <mergeCell ref="H65:L65"/>
    <mergeCell ref="H56:L56"/>
    <mergeCell ref="H57:L57"/>
    <mergeCell ref="H58:L58"/>
    <mergeCell ref="H59:L59"/>
    <mergeCell ref="H60:L60"/>
  </mergeCells>
  <conditionalFormatting sqref="H19 H15:H17">
    <cfRule type="cellIs" dxfId="1078" priority="20" operator="notEqual">
      <formula>""</formula>
    </cfRule>
  </conditionalFormatting>
  <conditionalFormatting sqref="H12">
    <cfRule type="cellIs" dxfId="1077" priority="19" operator="notEqual">
      <formula>""</formula>
    </cfRule>
  </conditionalFormatting>
  <conditionalFormatting sqref="H21">
    <cfRule type="cellIs" dxfId="1076" priority="18" operator="notEqual">
      <formula>""</formula>
    </cfRule>
  </conditionalFormatting>
  <conditionalFormatting sqref="H17">
    <cfRule type="cellIs" dxfId="1075" priority="17" operator="notEqual">
      <formula>""</formula>
    </cfRule>
  </conditionalFormatting>
  <conditionalFormatting sqref="H16">
    <cfRule type="cellIs" dxfId="1074" priority="16" operator="notEqual">
      <formula>""</formula>
    </cfRule>
  </conditionalFormatting>
  <conditionalFormatting sqref="H10">
    <cfRule type="cellIs" dxfId="1073" priority="9" operator="notEqual">
      <formula>""</formula>
    </cfRule>
  </conditionalFormatting>
  <conditionalFormatting sqref="H10">
    <cfRule type="cellIs" dxfId="1072" priority="8" operator="notEqual">
      <formula>""</formula>
    </cfRule>
  </conditionalFormatting>
  <conditionalFormatting sqref="H13:H14">
    <cfRule type="cellIs" dxfId="1071" priority="7" operator="notEqual">
      <formula>""</formula>
    </cfRule>
  </conditionalFormatting>
  <conditionalFormatting sqref="H23">
    <cfRule type="cellIs" dxfId="1070" priority="6" operator="notEqual">
      <formula>""</formula>
    </cfRule>
  </conditionalFormatting>
  <conditionalFormatting sqref="H23">
    <cfRule type="cellIs" dxfId="1069" priority="5" operator="notEqual">
      <formula>""</formula>
    </cfRule>
  </conditionalFormatting>
  <conditionalFormatting sqref="H22">
    <cfRule type="cellIs" dxfId="1068" priority="4" operator="notEqual">
      <formula>""</formula>
    </cfRule>
  </conditionalFormatting>
  <conditionalFormatting sqref="H22">
    <cfRule type="cellIs" dxfId="1067" priority="3" operator="notEqual">
      <formula>""</formula>
    </cfRule>
  </conditionalFormatting>
  <conditionalFormatting sqref="H28:I29">
    <cfRule type="notContainsBlanks" dxfId="1066" priority="2">
      <formula>LEN(TRIM(H28))&gt;0</formula>
    </cfRule>
  </conditionalFormatting>
  <conditionalFormatting sqref="F33:L65">
    <cfRule type="notContainsBlanks" dxfId="1065" priority="1">
      <formula>LEN(TRIM(F33))&gt;0</formula>
    </cfRule>
  </conditionalFormatting>
  <dataValidations count="5">
    <dataValidation type="list" allowBlank="1" showInputMessage="1" showErrorMessage="1" sqref="H12:I12" xr:uid="{21E37229-5E45-43F9-8339-A676D34836A3}">
      <formula1>DLIST_OPERATOR</formula1>
    </dataValidation>
    <dataValidation type="list" allowBlank="1" showInputMessage="1" showErrorMessage="1" sqref="H15" xr:uid="{D5559981-4073-475A-AB5F-6D000F611F92}">
      <formula1>DLIST_STATE</formula1>
    </dataValidation>
    <dataValidation type="list" allowBlank="1" showInputMessage="1" showErrorMessage="1" sqref="H17" xr:uid="{E117E1D3-2C5F-4723-B256-1CBF7CEBF70B}">
      <formula1>DLIST_YN</formula1>
    </dataValidation>
    <dataValidation type="list" allowBlank="1" showInputMessage="1" showErrorMessage="1" sqref="H16:I16" xr:uid="{6B9C2772-B57A-4117-9BEE-BB5B95179176}">
      <formula1>DLIST_SITEPRIORITY</formula1>
    </dataValidation>
    <dataValidation type="list" allowBlank="1" showInputMessage="1" showErrorMessage="1" sqref="H21:I21" xr:uid="{886837D7-77C4-446F-BE04-5F108EC63418}">
      <formula1>DLIST_SITECON</formula1>
    </dataValidation>
  </dataValidations>
  <hyperlinks>
    <hyperlink ref="B10:D10" location="DASH!A1" display="DASHBOARD" xr:uid="{6C69BA03-40C3-47DD-8D66-27FB828F560B}"/>
    <hyperlink ref="B10" location="'DASH'!A1" display="DASHBOARD" xr:uid="{1C87347B-920D-4530-B247-DCA664606409}"/>
    <hyperlink ref="B11" location="'DES-GL'!A1" display="DESIGN GUIDELINES" xr:uid="{0E245283-6C06-43EB-A2C4-901CC33C20CE}"/>
    <hyperlink ref="B13" location="'EXT-MAINS-DT'!A1" display="EXISTING POWER DESIGN" xr:uid="{3776FFF4-1FBD-41E5-AF12-3612810F525F}"/>
    <hyperlink ref="B14" location="'EXT-CALC'!A1" display="EXISTING DEMAND" xr:uid="{8430FDB5-4521-410C-B536-A25EEF6BD6C6}"/>
    <hyperlink ref="B16" location="'CALC'!A1" display="POWER CALCULATOR" xr:uid="{119F7CCB-1739-4267-B3BC-89FA9F91FA35}"/>
    <hyperlink ref="B17" location="'PLBC-CALC'!A1" display="PLBC CALCULATOR" xr:uid="{20EADEED-87BB-4ADD-9813-6FBA521ACF20}"/>
    <hyperlink ref="B18" location="'VDC'!A1" display="VD CALCULATOR" xr:uid="{508569F9-B481-413D-AF80-656F262437A4}"/>
    <hyperlink ref="B20" location="'PRP-SOL'!A1" display="PROPOSED POWER DESIGN" xr:uid="{4A7FE6B7-C480-48E7-B020-8642E4D0B270}"/>
    <hyperlink ref="B25" location="'DC'!A1" display="DOCUMENT CONTROL" xr:uid="{3227108A-EAFE-47E8-B1AF-FB1B66C6F43A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551BFE-40D5-42B9-BC20-FBCB82F04D14}">
          <x14:formula1>
            <xm:f>CFGPWR!$Z$10:$Z$35</xm:f>
          </x14:formula1>
          <xm:sqref>H28:I28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DF31-2AB8-4A31-8074-7782BC3E49A0}">
  <sheetPr codeName="Sheet43">
    <tabColor rgb="FF00A3AD"/>
  </sheetPr>
  <dimension ref="B1:T134"/>
  <sheetViews>
    <sheetView showGridLines="0" topLeftCell="B2" zoomScaleNormal="100" workbookViewId="0">
      <selection activeCell="D42" sqref="D42"/>
    </sheetView>
  </sheetViews>
  <sheetFormatPr defaultRowHeight="14.45"/>
  <cols>
    <col min="1" max="1" width="0" hidden="1" customWidth="1"/>
    <col min="2" max="4" width="9.28515625" style="1"/>
    <col min="13" max="13" width="11.7109375" customWidth="1"/>
  </cols>
  <sheetData>
    <row r="1" spans="2:20" ht="16.5" hidden="1" customHeight="1"/>
    <row r="2" spans="2:20" ht="16.5" customHeight="1">
      <c r="F2" s="287" t="s">
        <v>155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6"/>
      <c r="R2" s="286"/>
      <c r="S2" s="286"/>
      <c r="T2" s="286"/>
    </row>
    <row r="3" spans="2:20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6"/>
      <c r="R3" s="286"/>
      <c r="S3" s="286"/>
      <c r="T3" s="286"/>
    </row>
    <row r="4" spans="2:20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6"/>
      <c r="R4" s="286"/>
      <c r="S4" s="286"/>
      <c r="T4" s="286"/>
    </row>
    <row r="5" spans="2:20" ht="16.5" customHeight="1">
      <c r="F5" s="219" t="s">
        <v>189</v>
      </c>
    </row>
    <row r="6" spans="2:20" ht="16.5" customHeight="1"/>
    <row r="7" spans="2:20" ht="16.5" customHeight="1">
      <c r="C7" s="2" t="s">
        <v>152</v>
      </c>
      <c r="D7" s="12">
        <f>DCVer</f>
        <v>12.7</v>
      </c>
      <c r="F7" s="292" t="s">
        <v>190</v>
      </c>
      <c r="G7" s="292"/>
      <c r="H7" s="292"/>
      <c r="I7" s="292"/>
      <c r="J7" s="292"/>
    </row>
    <row r="8" spans="2:20" ht="16.5" customHeight="1">
      <c r="F8" s="292"/>
      <c r="G8" s="292"/>
      <c r="H8" s="292"/>
      <c r="I8" s="292"/>
      <c r="J8" s="292"/>
    </row>
    <row r="9" spans="2:20" ht="16.5" customHeight="1">
      <c r="B9" s="285"/>
      <c r="C9" s="285"/>
      <c r="D9" s="285"/>
      <c r="F9" s="83" t="s">
        <v>191</v>
      </c>
      <c r="G9" t="s">
        <v>192</v>
      </c>
    </row>
    <row r="10" spans="2:20" ht="16.5" customHeight="1">
      <c r="B10" s="285" t="s">
        <v>151</v>
      </c>
      <c r="C10" s="285"/>
      <c r="D10" s="285"/>
      <c r="F10" s="83"/>
    </row>
    <row r="11" spans="2:20" ht="16.5" customHeight="1">
      <c r="B11" s="290" t="s">
        <v>155</v>
      </c>
      <c r="C11" s="285"/>
      <c r="D11" s="285"/>
    </row>
    <row r="12" spans="2:20" ht="16.5" customHeight="1">
      <c r="B12" s="285"/>
      <c r="C12" s="285"/>
      <c r="D12" s="285"/>
      <c r="F12" s="292" t="s">
        <v>155</v>
      </c>
      <c r="G12" s="292"/>
      <c r="H12" s="292"/>
      <c r="I12" s="292"/>
    </row>
    <row r="13" spans="2:20" ht="16.5" customHeight="1">
      <c r="B13" s="285" t="s">
        <v>159</v>
      </c>
      <c r="C13" s="285"/>
      <c r="D13" s="285"/>
      <c r="F13" s="292"/>
      <c r="G13" s="292"/>
      <c r="H13" s="292"/>
      <c r="I13" s="292"/>
    </row>
    <row r="14" spans="2:20" ht="16.5" customHeight="1">
      <c r="B14" s="285" t="s">
        <v>162</v>
      </c>
      <c r="C14" s="285"/>
      <c r="D14" s="285"/>
      <c r="F14" t="s">
        <v>193</v>
      </c>
    </row>
    <row r="15" spans="2:20" ht="16.5" customHeight="1">
      <c r="B15" s="285"/>
      <c r="C15" s="285"/>
      <c r="D15" s="285"/>
    </row>
    <row r="16" spans="2:20" ht="16.5" customHeight="1">
      <c r="B16" s="285" t="s">
        <v>167</v>
      </c>
      <c r="C16" s="285"/>
      <c r="D16" s="285"/>
    </row>
    <row r="17" spans="2:18" ht="16.5" customHeight="1">
      <c r="B17" s="285" t="s">
        <v>170</v>
      </c>
      <c r="C17" s="285"/>
      <c r="D17" s="285"/>
      <c r="F17" s="292" t="s">
        <v>194</v>
      </c>
      <c r="G17" s="292"/>
      <c r="H17" s="292"/>
      <c r="I17" s="292"/>
      <c r="J17" s="292"/>
      <c r="K17" s="292"/>
      <c r="L17" s="292"/>
    </row>
    <row r="18" spans="2:18" ht="16.5" customHeight="1">
      <c r="B18" s="285" t="s">
        <v>173</v>
      </c>
      <c r="C18" s="285"/>
      <c r="D18" s="285"/>
      <c r="F18" s="292"/>
      <c r="G18" s="292"/>
      <c r="H18" s="292"/>
      <c r="I18" s="292"/>
      <c r="J18" s="292"/>
      <c r="K18" s="292"/>
      <c r="L18" s="292"/>
    </row>
    <row r="19" spans="2:18" ht="16.5" customHeight="1">
      <c r="B19" s="285"/>
      <c r="C19" s="285"/>
      <c r="D19" s="285"/>
      <c r="F19" s="25"/>
      <c r="G19" s="219" t="s">
        <v>195</v>
      </c>
      <c r="H19" s="25"/>
      <c r="I19" s="25"/>
      <c r="J19" s="25"/>
      <c r="K19" s="25"/>
      <c r="L19" s="25"/>
    </row>
    <row r="20" spans="2:18" ht="16.5" customHeight="1">
      <c r="B20" s="285" t="s">
        <v>176</v>
      </c>
      <c r="C20" s="285"/>
      <c r="D20" s="285"/>
      <c r="F20" s="83" t="s">
        <v>191</v>
      </c>
      <c r="G20" t="s">
        <v>196</v>
      </c>
      <c r="H20" s="25"/>
      <c r="I20" s="25"/>
      <c r="J20" s="25"/>
      <c r="K20" s="25"/>
      <c r="L20" s="25"/>
    </row>
    <row r="21" spans="2:18" ht="16.5" customHeight="1">
      <c r="B21" s="285"/>
      <c r="C21" s="285"/>
      <c r="D21" s="285"/>
      <c r="F21" s="83" t="s">
        <v>191</v>
      </c>
      <c r="G21" t="s">
        <v>197</v>
      </c>
      <c r="H21" s="25"/>
      <c r="I21" s="25"/>
      <c r="J21" s="25"/>
      <c r="K21" s="25"/>
      <c r="L21" s="25"/>
    </row>
    <row r="22" spans="2:18" ht="16.5" customHeight="1">
      <c r="B22" s="285"/>
      <c r="C22" s="285"/>
      <c r="D22" s="285"/>
      <c r="F22" s="83"/>
      <c r="G22" s="25"/>
      <c r="H22" s="25"/>
      <c r="I22" s="25"/>
      <c r="J22" s="25"/>
      <c r="K22" s="25"/>
      <c r="L22" s="25"/>
    </row>
    <row r="23" spans="2:18" ht="16.5" customHeight="1">
      <c r="B23" s="285"/>
      <c r="C23" s="285"/>
      <c r="D23" s="285"/>
      <c r="F23" s="25"/>
      <c r="G23" s="25"/>
      <c r="H23" s="25"/>
      <c r="I23" s="25"/>
      <c r="J23" s="25"/>
      <c r="K23" s="25"/>
      <c r="L23" s="25"/>
    </row>
    <row r="24" spans="2:18" ht="16.5" customHeight="1">
      <c r="B24" s="285"/>
      <c r="C24" s="285"/>
      <c r="D24" s="285"/>
      <c r="G24" s="219" t="s">
        <v>198</v>
      </c>
    </row>
    <row r="25" spans="2:18" ht="16.5" customHeight="1">
      <c r="B25" s="285" t="s">
        <v>182</v>
      </c>
      <c r="C25" s="285"/>
      <c r="D25" s="285"/>
      <c r="F25" s="83" t="s">
        <v>191</v>
      </c>
      <c r="G25" s="6" t="s">
        <v>199</v>
      </c>
    </row>
    <row r="26" spans="2:18" ht="16.5" customHeight="1">
      <c r="B26" s="285"/>
      <c r="C26" s="285"/>
      <c r="D26" s="285"/>
      <c r="F26" s="83" t="s">
        <v>191</v>
      </c>
      <c r="G26" s="6" t="s">
        <v>200</v>
      </c>
    </row>
    <row r="27" spans="2:18" ht="16.5" customHeight="1">
      <c r="B27" s="293"/>
      <c r="C27" s="293"/>
      <c r="D27" s="293"/>
      <c r="F27" s="83"/>
      <c r="G27" s="6" t="s">
        <v>201</v>
      </c>
    </row>
    <row r="28" spans="2:18" ht="16.5" customHeight="1">
      <c r="B28" s="13"/>
      <c r="C28" s="13"/>
      <c r="D28" s="13"/>
      <c r="F28" s="83" t="s">
        <v>191</v>
      </c>
      <c r="G28" s="6" t="s">
        <v>202</v>
      </c>
    </row>
    <row r="29" spans="2:18" ht="16.5" customHeight="1">
      <c r="B29" s="13"/>
      <c r="C29" s="13"/>
      <c r="D29" s="13"/>
      <c r="F29" s="83"/>
      <c r="G29" s="6" t="s">
        <v>203</v>
      </c>
    </row>
    <row r="30" spans="2:18" ht="16.5" customHeight="1">
      <c r="B30" s="13"/>
      <c r="C30" s="13"/>
      <c r="D30" s="13"/>
      <c r="F30" s="83"/>
      <c r="G30" s="6"/>
    </row>
    <row r="31" spans="2:18" ht="16.5" customHeight="1">
      <c r="B31" s="13"/>
      <c r="C31" s="13"/>
      <c r="D31" s="13"/>
      <c r="L31" s="114"/>
      <c r="M31" s="114"/>
      <c r="N31" s="114"/>
      <c r="O31" s="114"/>
      <c r="P31" s="114"/>
      <c r="Q31" s="114"/>
      <c r="R31" s="114"/>
    </row>
    <row r="32" spans="2:18" ht="16.5" customHeight="1">
      <c r="B32" s="13"/>
      <c r="C32" s="13"/>
      <c r="D32" s="13"/>
      <c r="G32" s="219" t="s">
        <v>204</v>
      </c>
    </row>
    <row r="33" spans="2:12" ht="16.5" customHeight="1">
      <c r="B33" s="13"/>
      <c r="C33" s="13"/>
      <c r="D33" s="13"/>
      <c r="F33" s="83" t="s">
        <v>191</v>
      </c>
      <c r="G33" s="6" t="s">
        <v>199</v>
      </c>
    </row>
    <row r="34" spans="2:12" ht="16.5" customHeight="1">
      <c r="B34" s="13"/>
      <c r="C34" s="13"/>
      <c r="D34" s="13"/>
      <c r="F34" s="83" t="s">
        <v>191</v>
      </c>
      <c r="G34" s="6" t="s">
        <v>200</v>
      </c>
    </row>
    <row r="35" spans="2:12" ht="16.5" customHeight="1">
      <c r="B35" s="13"/>
      <c r="C35" s="13"/>
      <c r="D35" s="13"/>
      <c r="F35" s="83"/>
      <c r="G35" t="s">
        <v>201</v>
      </c>
    </row>
    <row r="36" spans="2:12" ht="16.5" customHeight="1">
      <c r="B36" s="13"/>
      <c r="C36" s="13"/>
      <c r="D36" s="13"/>
      <c r="F36" s="83" t="s">
        <v>191</v>
      </c>
      <c r="G36" t="s">
        <v>205</v>
      </c>
    </row>
    <row r="37" spans="2:12" ht="16.5" customHeight="1">
      <c r="B37" s="13"/>
      <c r="C37" s="13"/>
      <c r="D37" s="13"/>
      <c r="G37" t="s">
        <v>203</v>
      </c>
    </row>
    <row r="38" spans="2:12" ht="16.5" customHeight="1">
      <c r="B38" s="13"/>
      <c r="C38" s="13"/>
      <c r="D38" s="13"/>
    </row>
    <row r="39" spans="2:12" ht="16.5" customHeight="1">
      <c r="B39" s="13"/>
      <c r="C39" s="13"/>
      <c r="D39" s="13"/>
    </row>
    <row r="40" spans="2:12" ht="16.5" customHeight="1">
      <c r="B40" s="13"/>
      <c r="C40" s="13"/>
      <c r="D40" s="13"/>
      <c r="F40" s="292" t="s">
        <v>206</v>
      </c>
      <c r="G40" s="292"/>
      <c r="H40" s="292"/>
      <c r="I40" s="292"/>
      <c r="J40" s="292"/>
      <c r="K40" s="292"/>
      <c r="L40" s="292"/>
    </row>
    <row r="41" spans="2:12" ht="16.5" customHeight="1">
      <c r="B41" s="13"/>
      <c r="C41" s="13"/>
      <c r="D41" s="13"/>
      <c r="F41" s="292"/>
      <c r="G41" s="292"/>
      <c r="H41" s="292"/>
      <c r="I41" s="292"/>
      <c r="J41" s="292"/>
      <c r="K41" s="292"/>
      <c r="L41" s="292"/>
    </row>
    <row r="42" spans="2:12" ht="16.5" customHeight="1">
      <c r="B42" s="13"/>
      <c r="C42" s="13"/>
      <c r="D42" s="13"/>
      <c r="G42" s="219" t="s">
        <v>195</v>
      </c>
    </row>
    <row r="43" spans="2:12" ht="16.5" customHeight="1">
      <c r="B43" s="13"/>
      <c r="C43" s="13"/>
      <c r="D43" s="13"/>
      <c r="F43" s="83" t="s">
        <v>191</v>
      </c>
      <c r="G43" s="6" t="s">
        <v>207</v>
      </c>
    </row>
    <row r="44" spans="2:12" ht="16.5" customHeight="1">
      <c r="B44" s="13"/>
      <c r="C44" s="13"/>
      <c r="D44" s="13"/>
      <c r="F44" s="83" t="s">
        <v>191</v>
      </c>
      <c r="G44" s="6" t="s">
        <v>208</v>
      </c>
    </row>
    <row r="45" spans="2:12" ht="16.5" customHeight="1">
      <c r="B45" s="13"/>
      <c r="C45" s="13"/>
      <c r="D45" s="13"/>
      <c r="F45" s="83" t="s">
        <v>191</v>
      </c>
      <c r="G45" s="6" t="s">
        <v>209</v>
      </c>
    </row>
    <row r="46" spans="2:12" ht="16.5" customHeight="1">
      <c r="B46" s="13"/>
      <c r="C46" s="13"/>
      <c r="D46" s="13"/>
      <c r="F46" s="83"/>
      <c r="G46" s="235" t="s">
        <v>210</v>
      </c>
      <c r="H46" s="6" t="s">
        <v>211</v>
      </c>
    </row>
    <row r="47" spans="2:12" ht="16.5" customHeight="1">
      <c r="B47" s="13"/>
      <c r="C47" s="13"/>
      <c r="D47" s="13"/>
      <c r="F47" s="83" t="s">
        <v>191</v>
      </c>
      <c r="G47" s="6" t="s">
        <v>212</v>
      </c>
    </row>
    <row r="48" spans="2:12" ht="16.5" customHeight="1">
      <c r="B48" s="13"/>
      <c r="C48" s="13"/>
      <c r="D48" s="13"/>
      <c r="F48" s="83" t="s">
        <v>191</v>
      </c>
      <c r="G48" s="6" t="s">
        <v>213</v>
      </c>
    </row>
    <row r="49" spans="2:8" ht="16.5" customHeight="1">
      <c r="B49" s="13"/>
      <c r="C49" s="13"/>
      <c r="D49" s="13"/>
      <c r="F49" s="83"/>
      <c r="G49" s="6"/>
    </row>
    <row r="50" spans="2:8" ht="16.5" customHeight="1">
      <c r="B50" s="13"/>
      <c r="C50" s="13"/>
      <c r="D50" s="13"/>
    </row>
    <row r="51" spans="2:8" ht="16.5" customHeight="1">
      <c r="B51" s="13"/>
      <c r="C51" s="13"/>
      <c r="D51" s="13"/>
      <c r="F51" s="83"/>
      <c r="G51" s="219" t="s">
        <v>214</v>
      </c>
    </row>
    <row r="52" spans="2:8" ht="16.5" customHeight="1">
      <c r="B52" s="13"/>
      <c r="C52" s="13"/>
      <c r="D52" s="13"/>
      <c r="F52" s="83"/>
      <c r="G52" s="201" t="s">
        <v>210</v>
      </c>
      <c r="H52" t="s">
        <v>215</v>
      </c>
    </row>
    <row r="53" spans="2:8" ht="16.5" customHeight="1">
      <c r="B53" s="13"/>
      <c r="C53" s="13"/>
      <c r="D53" s="13"/>
      <c r="F53" s="83"/>
      <c r="G53" s="201" t="s">
        <v>210</v>
      </c>
      <c r="H53" t="s">
        <v>216</v>
      </c>
    </row>
    <row r="54" spans="2:8" ht="16.5" customHeight="1">
      <c r="B54" s="13"/>
      <c r="C54" s="13"/>
      <c r="D54" s="13"/>
      <c r="G54" s="201" t="s">
        <v>210</v>
      </c>
      <c r="H54" t="s">
        <v>217</v>
      </c>
    </row>
    <row r="55" spans="2:8" ht="16.5" customHeight="1">
      <c r="B55" s="13"/>
      <c r="C55" s="13"/>
      <c r="D55" s="13"/>
      <c r="G55" s="201" t="s">
        <v>210</v>
      </c>
      <c r="H55" t="s">
        <v>218</v>
      </c>
    </row>
    <row r="56" spans="2:8" ht="16.5" customHeight="1">
      <c r="B56" s="13"/>
      <c r="C56" s="13"/>
      <c r="D56" s="13"/>
      <c r="G56" s="201" t="s">
        <v>210</v>
      </c>
      <c r="H56" t="s">
        <v>219</v>
      </c>
    </row>
    <row r="57" spans="2:8" ht="16.5" customHeight="1">
      <c r="B57" s="13"/>
      <c r="C57" s="13"/>
      <c r="D57" s="13"/>
    </row>
    <row r="58" spans="2:8" ht="16.5" customHeight="1">
      <c r="B58" s="13"/>
      <c r="C58" s="13"/>
      <c r="D58" s="13"/>
    </row>
    <row r="59" spans="2:8" ht="16.5" customHeight="1">
      <c r="B59" s="13"/>
      <c r="C59" s="13"/>
      <c r="D59" s="13"/>
      <c r="G59" s="219" t="s">
        <v>220</v>
      </c>
    </row>
    <row r="60" spans="2:8" ht="16.5" customHeight="1">
      <c r="B60" s="13"/>
      <c r="C60" s="13"/>
      <c r="D60" s="13"/>
      <c r="G60" s="201" t="s">
        <v>210</v>
      </c>
      <c r="H60" t="s">
        <v>221</v>
      </c>
    </row>
    <row r="61" spans="2:8" ht="16.5" customHeight="1">
      <c r="B61" s="13"/>
      <c r="C61" s="13"/>
      <c r="D61" s="13"/>
      <c r="G61" s="201" t="s">
        <v>210</v>
      </c>
      <c r="H61" t="s">
        <v>222</v>
      </c>
    </row>
    <row r="62" spans="2:8" ht="16.5" customHeight="1">
      <c r="B62" s="13"/>
      <c r="C62" s="13"/>
      <c r="D62" s="13"/>
      <c r="G62" s="201" t="s">
        <v>210</v>
      </c>
      <c r="H62" t="s">
        <v>223</v>
      </c>
    </row>
    <row r="63" spans="2:8" ht="16.5" customHeight="1">
      <c r="B63" s="13"/>
      <c r="C63" s="13"/>
      <c r="D63" s="13"/>
      <c r="G63" s="201" t="s">
        <v>210</v>
      </c>
      <c r="H63" t="s">
        <v>219</v>
      </c>
    </row>
    <row r="64" spans="2:8" ht="16.5" customHeight="1">
      <c r="B64" s="13"/>
      <c r="C64" s="13"/>
      <c r="D64" s="13"/>
    </row>
    <row r="65" spans="2:12" ht="16.5" customHeight="1">
      <c r="B65" s="13"/>
      <c r="C65" s="13"/>
      <c r="D65" s="13"/>
    </row>
    <row r="66" spans="2:12" ht="16.5" customHeight="1">
      <c r="B66" s="13"/>
      <c r="C66" s="13"/>
      <c r="D66" s="13"/>
      <c r="G66" s="219" t="s">
        <v>224</v>
      </c>
    </row>
    <row r="67" spans="2:12">
      <c r="G67" s="201" t="s">
        <v>210</v>
      </c>
      <c r="H67" t="s">
        <v>225</v>
      </c>
    </row>
    <row r="68" spans="2:12">
      <c r="G68" s="201" t="s">
        <v>210</v>
      </c>
      <c r="H68" t="s">
        <v>226</v>
      </c>
    </row>
    <row r="69" spans="2:12">
      <c r="G69" s="201" t="s">
        <v>210</v>
      </c>
      <c r="H69" t="s">
        <v>223</v>
      </c>
    </row>
    <row r="70" spans="2:12">
      <c r="G70" s="201"/>
      <c r="H70" t="s">
        <v>227</v>
      </c>
    </row>
    <row r="71" spans="2:12">
      <c r="G71" s="201" t="s">
        <v>210</v>
      </c>
      <c r="H71" t="s">
        <v>228</v>
      </c>
    </row>
    <row r="72" spans="2:12">
      <c r="G72" s="201" t="s">
        <v>210</v>
      </c>
      <c r="H72" t="s">
        <v>229</v>
      </c>
    </row>
    <row r="73" spans="2:12">
      <c r="G73" s="201" t="s">
        <v>210</v>
      </c>
      <c r="H73" t="s">
        <v>230</v>
      </c>
    </row>
    <row r="74" spans="2:12">
      <c r="G74" s="201" t="s">
        <v>210</v>
      </c>
      <c r="H74" t="s">
        <v>219</v>
      </c>
    </row>
    <row r="76" spans="2:12">
      <c r="F76" s="292" t="s">
        <v>231</v>
      </c>
      <c r="G76" s="292"/>
      <c r="H76" s="292"/>
      <c r="I76" s="292"/>
      <c r="J76" s="292"/>
      <c r="K76" s="292"/>
      <c r="L76" s="292"/>
    </row>
    <row r="77" spans="2:12">
      <c r="F77" s="292"/>
      <c r="G77" s="292"/>
      <c r="H77" s="292"/>
      <c r="I77" s="292"/>
      <c r="J77" s="292"/>
      <c r="K77" s="292"/>
      <c r="L77" s="292"/>
    </row>
    <row r="78" spans="2:12" ht="17.45">
      <c r="G78" s="219" t="s">
        <v>195</v>
      </c>
      <c r="H78" s="25"/>
      <c r="I78" s="25"/>
      <c r="J78" s="25"/>
      <c r="K78" s="25"/>
      <c r="L78" s="25"/>
    </row>
    <row r="79" spans="2:12">
      <c r="F79" s="83" t="s">
        <v>191</v>
      </c>
      <c r="G79" s="6" t="s">
        <v>232</v>
      </c>
    </row>
    <row r="80" spans="2:12">
      <c r="F80" s="183"/>
      <c r="G80" s="201" t="s">
        <v>210</v>
      </c>
      <c r="H80" s="6" t="s">
        <v>233</v>
      </c>
    </row>
    <row r="81" spans="6:12">
      <c r="G81" s="201" t="s">
        <v>210</v>
      </c>
      <c r="H81" s="6" t="s">
        <v>234</v>
      </c>
    </row>
    <row r="82" spans="6:12">
      <c r="G82" s="201" t="s">
        <v>210</v>
      </c>
      <c r="H82" s="6" t="s">
        <v>235</v>
      </c>
      <c r="L82" s="6"/>
    </row>
    <row r="83" spans="6:12">
      <c r="G83" s="201" t="s">
        <v>210</v>
      </c>
      <c r="H83" s="6" t="s">
        <v>236</v>
      </c>
    </row>
    <row r="84" spans="6:12">
      <c r="G84" s="201"/>
      <c r="I84" s="237" t="s">
        <v>237</v>
      </c>
    </row>
    <row r="85" spans="6:12">
      <c r="G85" s="201"/>
      <c r="I85" s="237" t="s">
        <v>238</v>
      </c>
    </row>
    <row r="86" spans="6:12">
      <c r="G86" s="201"/>
      <c r="I86" s="237" t="s">
        <v>239</v>
      </c>
    </row>
    <row r="87" spans="6:12">
      <c r="G87" s="201"/>
      <c r="I87" s="237" t="s">
        <v>240</v>
      </c>
    </row>
    <row r="88" spans="6:12">
      <c r="F88" s="83" t="s">
        <v>191</v>
      </c>
      <c r="G88" s="6" t="s">
        <v>241</v>
      </c>
    </row>
    <row r="89" spans="6:12">
      <c r="F89" s="83"/>
      <c r="G89" s="201" t="s">
        <v>210</v>
      </c>
      <c r="H89" s="184" t="s">
        <v>242</v>
      </c>
    </row>
    <row r="90" spans="6:12">
      <c r="F90" s="83"/>
      <c r="G90" s="184"/>
    </row>
    <row r="91" spans="6:12">
      <c r="F91" s="83"/>
      <c r="G91" s="184"/>
    </row>
    <row r="92" spans="6:12" ht="17.45">
      <c r="G92" s="219" t="s">
        <v>243</v>
      </c>
    </row>
    <row r="93" spans="6:12">
      <c r="F93" s="83" t="s">
        <v>191</v>
      </c>
      <c r="G93" s="6" t="s">
        <v>244</v>
      </c>
    </row>
    <row r="94" spans="6:12">
      <c r="F94" s="83" t="s">
        <v>191</v>
      </c>
      <c r="G94" s="184" t="s">
        <v>245</v>
      </c>
    </row>
    <row r="95" spans="6:12" ht="15">
      <c r="F95" s="149"/>
      <c r="G95" s="201" t="s">
        <v>210</v>
      </c>
      <c r="H95" s="184" t="s">
        <v>246</v>
      </c>
    </row>
    <row r="96" spans="6:12" ht="15">
      <c r="F96" s="149"/>
      <c r="G96" s="201" t="s">
        <v>210</v>
      </c>
      <c r="H96" s="184" t="s">
        <v>247</v>
      </c>
    </row>
    <row r="97" spans="6:13">
      <c r="F97" s="83" t="s">
        <v>191</v>
      </c>
      <c r="G97" s="89" t="s">
        <v>248</v>
      </c>
      <c r="H97" s="184"/>
    </row>
    <row r="98" spans="6:13" ht="15">
      <c r="F98" s="149"/>
      <c r="G98" s="184"/>
    </row>
    <row r="100" spans="6:13" ht="17.45">
      <c r="G100" s="219" t="s">
        <v>198</v>
      </c>
    </row>
    <row r="101" spans="6:13">
      <c r="F101" s="83" t="s">
        <v>191</v>
      </c>
      <c r="G101" s="6" t="s">
        <v>249</v>
      </c>
    </row>
    <row r="102" spans="6:13">
      <c r="F102" s="83"/>
      <c r="G102" s="6"/>
    </row>
    <row r="103" spans="6:13">
      <c r="F103" s="83"/>
      <c r="G103" s="6"/>
    </row>
    <row r="104" spans="6:13" ht="17.45">
      <c r="G104" s="219" t="s">
        <v>204</v>
      </c>
    </row>
    <row r="105" spans="6:13">
      <c r="F105" s="83" t="s">
        <v>191</v>
      </c>
      <c r="G105" s="6" t="s">
        <v>250</v>
      </c>
    </row>
    <row r="108" spans="6:13">
      <c r="F108" s="292" t="s">
        <v>251</v>
      </c>
      <c r="G108" s="292"/>
      <c r="H108" s="292"/>
      <c r="I108" s="292"/>
      <c r="J108" s="292"/>
      <c r="K108" s="292"/>
      <c r="L108" s="292"/>
    </row>
    <row r="109" spans="6:13">
      <c r="F109" s="292"/>
      <c r="G109" s="292"/>
      <c r="H109" s="292"/>
      <c r="I109" s="292"/>
      <c r="J109" s="292"/>
      <c r="K109" s="292"/>
      <c r="L109" s="292"/>
    </row>
    <row r="110" spans="6:13" ht="17.45">
      <c r="F110" s="220"/>
      <c r="G110" s="219" t="s">
        <v>195</v>
      </c>
      <c r="H110" s="25"/>
      <c r="I110" s="25"/>
      <c r="J110" s="25"/>
      <c r="K110" s="25"/>
      <c r="L110" s="25"/>
    </row>
    <row r="111" spans="6:13">
      <c r="F111" s="83" t="s">
        <v>191</v>
      </c>
      <c r="G111" t="s">
        <v>252</v>
      </c>
    </row>
    <row r="112" spans="6:13">
      <c r="G112" t="s">
        <v>253</v>
      </c>
      <c r="H112" s="150"/>
      <c r="I112" s="150"/>
      <c r="J112" s="150"/>
      <c r="K112" s="150"/>
      <c r="L112" s="150"/>
      <c r="M112" s="150"/>
    </row>
    <row r="113" spans="6:13">
      <c r="G113" s="150"/>
      <c r="H113" s="150"/>
      <c r="I113" s="150"/>
      <c r="J113" s="150"/>
      <c r="K113" s="150"/>
      <c r="L113" s="150"/>
      <c r="M113" s="150"/>
    </row>
    <row r="115" spans="6:13" ht="17.45">
      <c r="G115" s="219" t="s">
        <v>254</v>
      </c>
    </row>
    <row r="116" spans="6:13">
      <c r="G116" s="201" t="s">
        <v>210</v>
      </c>
      <c r="H116" t="s">
        <v>255</v>
      </c>
    </row>
    <row r="117" spans="6:13">
      <c r="F117" s="83"/>
      <c r="G117" s="201" t="s">
        <v>210</v>
      </c>
      <c r="H117" t="s">
        <v>256</v>
      </c>
    </row>
    <row r="118" spans="6:13">
      <c r="F118" s="83"/>
      <c r="G118" s="184"/>
    </row>
    <row r="119" spans="6:13">
      <c r="F119" s="83"/>
      <c r="G119" s="184"/>
    </row>
    <row r="120" spans="6:13" ht="17.45">
      <c r="F120" s="83"/>
      <c r="G120" s="219" t="s">
        <v>257</v>
      </c>
    </row>
    <row r="121" spans="6:13">
      <c r="F121" s="83"/>
      <c r="G121" s="201" t="s">
        <v>210</v>
      </c>
      <c r="H121" t="s">
        <v>258</v>
      </c>
    </row>
    <row r="122" spans="6:13">
      <c r="F122" s="83"/>
      <c r="H122" t="s">
        <v>259</v>
      </c>
    </row>
    <row r="123" spans="6:13">
      <c r="F123" s="83"/>
      <c r="G123" s="201" t="s">
        <v>210</v>
      </c>
      <c r="H123" t="s">
        <v>256</v>
      </c>
    </row>
    <row r="126" spans="6:13" ht="17.45">
      <c r="G126" s="219" t="s">
        <v>260</v>
      </c>
    </row>
    <row r="127" spans="6:13">
      <c r="F127" s="83" t="s">
        <v>191</v>
      </c>
      <c r="G127" t="s">
        <v>261</v>
      </c>
    </row>
    <row r="128" spans="6:13">
      <c r="F128" s="83" t="s">
        <v>191</v>
      </c>
      <c r="G128" t="s">
        <v>262</v>
      </c>
    </row>
    <row r="129" spans="6:7">
      <c r="F129" s="83" t="s">
        <v>191</v>
      </c>
      <c r="G129" t="s">
        <v>263</v>
      </c>
    </row>
    <row r="132" spans="6:7" ht="17.45">
      <c r="G132" s="219" t="s">
        <v>264</v>
      </c>
    </row>
    <row r="133" spans="6:7">
      <c r="F133" s="83" t="s">
        <v>191</v>
      </c>
      <c r="G133" s="228" t="s">
        <v>265</v>
      </c>
    </row>
    <row r="134" spans="6:7">
      <c r="F134" s="83" t="s">
        <v>191</v>
      </c>
      <c r="G134" s="228" t="s">
        <v>266</v>
      </c>
    </row>
  </sheetData>
  <mergeCells count="27">
    <mergeCell ref="B21:D21"/>
    <mergeCell ref="B22:D22"/>
    <mergeCell ref="B16:D16"/>
    <mergeCell ref="B17:D17"/>
    <mergeCell ref="F17:L18"/>
    <mergeCell ref="B19:D19"/>
    <mergeCell ref="B18:D18"/>
    <mergeCell ref="B20:D20"/>
    <mergeCell ref="F108:L109"/>
    <mergeCell ref="F40:L41"/>
    <mergeCell ref="F76:L77"/>
    <mergeCell ref="B27:D27"/>
    <mergeCell ref="B23:D23"/>
    <mergeCell ref="B24:D24"/>
    <mergeCell ref="B25:D25"/>
    <mergeCell ref="B26:D26"/>
    <mergeCell ref="B15:D15"/>
    <mergeCell ref="B12:D12"/>
    <mergeCell ref="B13:D13"/>
    <mergeCell ref="B14:D14"/>
    <mergeCell ref="Q2:T4"/>
    <mergeCell ref="B9:D9"/>
    <mergeCell ref="B10:D10"/>
    <mergeCell ref="B11:D11"/>
    <mergeCell ref="F12:I13"/>
    <mergeCell ref="F7:J8"/>
    <mergeCell ref="F2:P4"/>
  </mergeCells>
  <phoneticPr fontId="10" type="noConversion"/>
  <hyperlinks>
    <hyperlink ref="B10" location="'DASH'!A1" display="DASHBOARD" xr:uid="{890EC1A8-4F1C-4AD8-84BB-1928B98C91D8}"/>
    <hyperlink ref="B11" location="'DES-GL'!A1" display="DESIGN GUIDELINES" xr:uid="{9F49FDD9-20D6-48CA-8E86-407FF528DD19}"/>
    <hyperlink ref="B13" location="'EXT-MAINS-DT'!A1" display="EXISTING POWER DESIGN" xr:uid="{77D00520-921A-42E0-9B98-6126C7B5E684}"/>
    <hyperlink ref="B14" location="'EXT-CALC'!A1" display="EXISTING DEMAND" xr:uid="{6909CFA5-EBA3-4D31-BE76-4474276F587F}"/>
    <hyperlink ref="B16" location="'CALC'!A1" display="POWER CALCULATOR" xr:uid="{95B3A7C0-CC63-4092-B55E-ED4D8424BD30}"/>
    <hyperlink ref="B17" location="'PLBC-CALC'!A1" display="PLBC CALCULATOR" xr:uid="{B927BABC-8B5F-43D5-9F5E-F10EFB266B6F}"/>
    <hyperlink ref="B18" location="'VDC'!A1" display="VD CALCULATOR" xr:uid="{505AA589-63D9-4663-8577-D1F1565C2A71}"/>
    <hyperlink ref="B20" location="'PRP-SOL'!A1" display="PROPOSED POWER DESIGN" xr:uid="{9B509758-D1F4-422D-AFD5-51083B0DA446}"/>
    <hyperlink ref="B25" location="'DC'!A1" display="DOCUMENT CONTROL" xr:uid="{38F8C4CD-491F-4E19-BD0E-821E46054F1C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246E-4F6E-4561-AECB-9A3F1FBAF47E}">
  <sheetPr codeName="Sheet51">
    <tabColor rgb="FF00A3AD"/>
  </sheetPr>
  <dimension ref="B1:AF140"/>
  <sheetViews>
    <sheetView showGridLines="0" topLeftCell="B122" zoomScaleNormal="100" workbookViewId="0">
      <selection activeCell="N13" sqref="N13"/>
    </sheetView>
  </sheetViews>
  <sheetFormatPr defaultRowHeight="14.45"/>
  <cols>
    <col min="1" max="1" width="0" hidden="1" customWidth="1"/>
    <col min="2" max="4" width="9.28515625" style="1"/>
    <col min="13" max="13" width="9.28515625" customWidth="1"/>
  </cols>
  <sheetData>
    <row r="1" spans="2:20" ht="16.5" hidden="1" customHeight="1"/>
    <row r="2" spans="2:20" ht="16.5" customHeight="1">
      <c r="F2" s="287" t="s">
        <v>159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6"/>
      <c r="R2" s="286"/>
      <c r="S2" s="286"/>
      <c r="T2" s="286"/>
    </row>
    <row r="3" spans="2:20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6"/>
      <c r="R3" s="286"/>
      <c r="S3" s="286"/>
      <c r="T3" s="286"/>
    </row>
    <row r="4" spans="2:20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6"/>
      <c r="R4" s="286"/>
      <c r="S4" s="286"/>
      <c r="T4" s="286"/>
    </row>
    <row r="5" spans="2:20" ht="16.5" customHeight="1">
      <c r="F5" s="219" t="s">
        <v>267</v>
      </c>
    </row>
    <row r="6" spans="2:20" ht="16.5" customHeight="1"/>
    <row r="7" spans="2:20" ht="16.5" customHeight="1">
      <c r="C7" s="2" t="s">
        <v>152</v>
      </c>
      <c r="D7" s="12">
        <f>DCVer</f>
        <v>12.7</v>
      </c>
      <c r="F7" s="292" t="s">
        <v>268</v>
      </c>
      <c r="G7" s="292"/>
      <c r="H7" s="292"/>
      <c r="I7" s="292"/>
      <c r="J7" s="292"/>
      <c r="K7" s="292"/>
      <c r="L7" s="292"/>
    </row>
    <row r="8" spans="2:20" ht="16.5" customHeight="1">
      <c r="F8" s="292"/>
      <c r="G8" s="292"/>
      <c r="H8" s="292"/>
      <c r="I8" s="292"/>
      <c r="J8" s="292"/>
      <c r="K8" s="292"/>
      <c r="L8" s="292"/>
    </row>
    <row r="9" spans="2:20" ht="16.5" customHeight="1">
      <c r="B9" s="285"/>
      <c r="C9" s="285"/>
      <c r="D9" s="285"/>
      <c r="F9" s="295" t="s">
        <v>269</v>
      </c>
      <c r="G9" s="295"/>
      <c r="H9" s="295"/>
      <c r="I9" s="295"/>
      <c r="J9" s="199" t="s">
        <v>270</v>
      </c>
      <c r="K9" s="16" t="s">
        <v>158</v>
      </c>
      <c r="L9" s="25"/>
    </row>
    <row r="10" spans="2:20" ht="16.5" customHeight="1">
      <c r="B10" s="285" t="s">
        <v>151</v>
      </c>
      <c r="C10" s="285"/>
      <c r="D10" s="285"/>
      <c r="F10" s="25"/>
      <c r="G10" s="25"/>
      <c r="H10" s="25"/>
      <c r="I10" s="25"/>
      <c r="J10" s="25"/>
      <c r="K10" s="25"/>
      <c r="L10" s="25"/>
    </row>
    <row r="11" spans="2:20" ht="16.5" customHeight="1">
      <c r="B11" s="285" t="s">
        <v>155</v>
      </c>
      <c r="C11" s="285"/>
      <c r="D11" s="285"/>
      <c r="F11" s="32" t="s">
        <v>271</v>
      </c>
      <c r="Q11" s="117"/>
    </row>
    <row r="12" spans="2:20" ht="16.5" customHeight="1">
      <c r="B12" s="285"/>
      <c r="C12" s="285"/>
      <c r="D12" s="285"/>
      <c r="F12" s="295" t="s">
        <v>272</v>
      </c>
      <c r="G12" s="295"/>
      <c r="H12" s="295"/>
      <c r="I12" s="295"/>
      <c r="J12" s="279" t="s">
        <v>273</v>
      </c>
      <c r="K12" s="281"/>
      <c r="L12" s="280"/>
      <c r="M12" s="16" t="s">
        <v>158</v>
      </c>
      <c r="P12" s="83"/>
      <c r="Q12" s="84"/>
    </row>
    <row r="13" spans="2:20" ht="16.5" customHeight="1">
      <c r="B13" s="290" t="s">
        <v>159</v>
      </c>
      <c r="C13" s="285"/>
      <c r="D13" s="285"/>
      <c r="F13" s="295" t="s">
        <v>274</v>
      </c>
      <c r="G13" s="295"/>
      <c r="H13" s="295"/>
      <c r="I13" s="295"/>
      <c r="J13" s="279" t="s">
        <v>275</v>
      </c>
      <c r="K13" s="281"/>
      <c r="L13" s="280"/>
      <c r="M13" s="16" t="s">
        <v>158</v>
      </c>
    </row>
    <row r="14" spans="2:20" ht="16.5" customHeight="1">
      <c r="B14" s="285" t="s">
        <v>162</v>
      </c>
      <c r="C14" s="285"/>
      <c r="D14" s="285"/>
      <c r="F14" s="295" t="s">
        <v>276</v>
      </c>
      <c r="G14" s="295"/>
      <c r="H14" s="295"/>
      <c r="I14" s="295"/>
      <c r="J14" s="279" t="s">
        <v>277</v>
      </c>
      <c r="K14" s="280"/>
      <c r="L14" s="39"/>
    </row>
    <row r="15" spans="2:20" ht="16.5" customHeight="1">
      <c r="B15" s="285"/>
      <c r="C15" s="285"/>
      <c r="D15" s="285"/>
      <c r="F15" s="295" t="s">
        <v>278</v>
      </c>
      <c r="G15" s="295"/>
      <c r="H15" s="295"/>
      <c r="I15" s="295"/>
      <c r="J15" s="279" t="s">
        <v>279</v>
      </c>
      <c r="K15" s="280"/>
      <c r="L15" s="39"/>
    </row>
    <row r="16" spans="2:20" ht="16.5" customHeight="1">
      <c r="B16" s="285" t="s">
        <v>167</v>
      </c>
      <c r="C16" s="285"/>
      <c r="D16" s="285"/>
      <c r="F16" s="295" t="s">
        <v>280</v>
      </c>
      <c r="G16" s="295"/>
      <c r="H16" s="295"/>
      <c r="I16" s="295"/>
      <c r="J16" s="279" t="s">
        <v>281</v>
      </c>
      <c r="K16" s="280"/>
      <c r="L16" s="39"/>
    </row>
    <row r="17" spans="2:17" ht="16.5" customHeight="1">
      <c r="B17" s="285" t="s">
        <v>170</v>
      </c>
      <c r="C17" s="285"/>
      <c r="D17" s="285"/>
    </row>
    <row r="18" spans="2:17" ht="16.5" customHeight="1">
      <c r="B18" s="285" t="s">
        <v>173</v>
      </c>
      <c r="C18" s="285"/>
      <c r="D18" s="285"/>
      <c r="J18" s="39"/>
      <c r="K18" s="39"/>
      <c r="L18" s="39"/>
    </row>
    <row r="19" spans="2:17" ht="16.5" customHeight="1">
      <c r="B19" s="285"/>
      <c r="C19" s="285"/>
      <c r="D19" s="285"/>
      <c r="F19" s="32" t="s">
        <v>282</v>
      </c>
      <c r="J19" s="39"/>
      <c r="K19" s="39"/>
      <c r="L19" s="39"/>
      <c r="P19" s="83"/>
      <c r="Q19" s="84"/>
    </row>
    <row r="20" spans="2:17" ht="16.5" customHeight="1">
      <c r="B20" s="285" t="s">
        <v>176</v>
      </c>
      <c r="C20" s="285"/>
      <c r="D20" s="285"/>
      <c r="F20" s="295" t="s">
        <v>283</v>
      </c>
      <c r="G20" s="295"/>
      <c r="H20" s="295"/>
      <c r="I20" s="295"/>
      <c r="J20" s="279" t="s">
        <v>284</v>
      </c>
      <c r="K20" s="281"/>
      <c r="L20" s="281"/>
      <c r="M20" s="281"/>
      <c r="N20" s="280"/>
      <c r="P20" s="25"/>
      <c r="Q20" s="84"/>
    </row>
    <row r="21" spans="2:17" ht="16.5" customHeight="1">
      <c r="B21" s="285"/>
      <c r="C21" s="285"/>
      <c r="D21" s="285"/>
      <c r="F21" s="295" t="s">
        <v>285</v>
      </c>
      <c r="G21" s="295"/>
      <c r="H21" s="295"/>
      <c r="I21" s="295"/>
      <c r="J21" s="205">
        <v>15</v>
      </c>
      <c r="K21" s="39"/>
      <c r="L21" s="39"/>
      <c r="N21" s="116"/>
    </row>
    <row r="22" spans="2:17" ht="16.5" customHeight="1">
      <c r="B22" s="285"/>
      <c r="C22" s="285"/>
      <c r="D22" s="285"/>
      <c r="F22" s="295" t="s">
        <v>286</v>
      </c>
      <c r="G22" s="295"/>
      <c r="H22" s="295"/>
      <c r="I22" s="295"/>
      <c r="J22" s="199" t="s">
        <v>287</v>
      </c>
      <c r="K22" s="39"/>
      <c r="L22" s="39"/>
    </row>
    <row r="23" spans="2:17" ht="16.5" customHeight="1">
      <c r="B23" s="285"/>
      <c r="C23" s="285"/>
      <c r="D23" s="285"/>
      <c r="J23" s="39"/>
      <c r="K23" s="39"/>
      <c r="L23" s="39"/>
    </row>
    <row r="24" spans="2:17" ht="16.5" customHeight="1">
      <c r="B24" s="285"/>
      <c r="C24" s="285"/>
      <c r="D24" s="285"/>
      <c r="F24" s="32" t="s">
        <v>288</v>
      </c>
      <c r="J24" s="39"/>
      <c r="K24" s="39"/>
      <c r="L24" s="39"/>
    </row>
    <row r="25" spans="2:17" ht="16.5" customHeight="1">
      <c r="B25" s="285" t="s">
        <v>182</v>
      </c>
      <c r="C25" s="285"/>
      <c r="D25" s="285"/>
      <c r="F25" s="295" t="s">
        <v>289</v>
      </c>
      <c r="G25" s="295"/>
      <c r="H25" s="295"/>
      <c r="I25" s="295"/>
      <c r="J25" s="199" t="s">
        <v>290</v>
      </c>
      <c r="K25" s="16" t="s">
        <v>158</v>
      </c>
      <c r="L25" s="39"/>
    </row>
    <row r="26" spans="2:17" ht="16.5" customHeight="1">
      <c r="B26" s="285"/>
      <c r="C26" s="285"/>
      <c r="D26" s="285"/>
      <c r="F26" s="295" t="s">
        <v>291</v>
      </c>
      <c r="G26" s="295"/>
      <c r="H26" s="295"/>
      <c r="I26" s="295"/>
      <c r="J26" s="199">
        <v>100</v>
      </c>
      <c r="K26" s="16" t="s">
        <v>158</v>
      </c>
      <c r="L26" s="39"/>
    </row>
    <row r="27" spans="2:17" ht="16.5" customHeight="1">
      <c r="B27" s="293"/>
      <c r="C27" s="293"/>
      <c r="D27" s="293"/>
      <c r="F27" s="295" t="s">
        <v>292</v>
      </c>
      <c r="G27" s="295"/>
      <c r="H27" s="295"/>
      <c r="I27" s="295"/>
      <c r="J27" s="199" t="s">
        <v>293</v>
      </c>
      <c r="K27" s="16" t="s">
        <v>158</v>
      </c>
      <c r="L27" s="39"/>
    </row>
    <row r="28" spans="2:17" ht="16.5" customHeight="1">
      <c r="B28" s="13"/>
      <c r="C28" s="13"/>
      <c r="D28" s="13"/>
    </row>
    <row r="29" spans="2:17" ht="16.5" customHeight="1">
      <c r="B29" s="13"/>
      <c r="C29" s="13"/>
      <c r="D29" s="13"/>
      <c r="F29" s="32" t="s">
        <v>294</v>
      </c>
    </row>
    <row r="30" spans="2:17" ht="16.5" customHeight="1">
      <c r="B30" s="13"/>
      <c r="C30" s="13"/>
      <c r="D30" s="13"/>
      <c r="F30" s="296" t="s">
        <v>295</v>
      </c>
      <c r="G30" s="297"/>
      <c r="H30" s="297"/>
      <c r="I30" s="297"/>
      <c r="J30" s="297"/>
      <c r="K30" s="297"/>
      <c r="L30" s="297"/>
      <c r="M30" s="297"/>
      <c r="N30" s="298"/>
    </row>
    <row r="31" spans="2:17" ht="16.5" customHeight="1">
      <c r="B31" s="13"/>
      <c r="C31" s="13"/>
      <c r="D31" s="13"/>
      <c r="F31" s="299"/>
      <c r="G31" s="300"/>
      <c r="H31" s="300"/>
      <c r="I31" s="300"/>
      <c r="J31" s="300"/>
      <c r="K31" s="300"/>
      <c r="L31" s="300"/>
      <c r="M31" s="300"/>
      <c r="N31" s="301"/>
    </row>
    <row r="32" spans="2:17" ht="16.5" customHeight="1">
      <c r="B32" s="13"/>
      <c r="C32" s="13"/>
      <c r="D32" s="13"/>
      <c r="F32" s="299"/>
      <c r="G32" s="300"/>
      <c r="H32" s="300"/>
      <c r="I32" s="300"/>
      <c r="J32" s="300"/>
      <c r="K32" s="300"/>
      <c r="L32" s="300"/>
      <c r="M32" s="300"/>
      <c r="N32" s="301"/>
    </row>
    <row r="33" spans="2:15" ht="16.5" customHeight="1">
      <c r="B33" s="13"/>
      <c r="C33" s="13"/>
      <c r="D33" s="13"/>
      <c r="F33" s="299"/>
      <c r="G33" s="300"/>
      <c r="H33" s="300"/>
      <c r="I33" s="300"/>
      <c r="J33" s="300"/>
      <c r="K33" s="300"/>
      <c r="L33" s="300"/>
      <c r="M33" s="300"/>
      <c r="N33" s="301"/>
    </row>
    <row r="34" spans="2:15" ht="16.5" customHeight="1">
      <c r="B34" s="13"/>
      <c r="C34" s="13"/>
      <c r="D34" s="13"/>
      <c r="F34" s="299"/>
      <c r="G34" s="300"/>
      <c r="H34" s="300"/>
      <c r="I34" s="300"/>
      <c r="J34" s="300"/>
      <c r="K34" s="300"/>
      <c r="L34" s="300"/>
      <c r="M34" s="300"/>
      <c r="N34" s="301"/>
    </row>
    <row r="35" spans="2:15" ht="16.5" customHeight="1">
      <c r="B35" s="13"/>
      <c r="C35" s="13"/>
      <c r="D35" s="13"/>
      <c r="F35" s="302"/>
      <c r="G35" s="303"/>
      <c r="H35" s="303"/>
      <c r="I35" s="303"/>
      <c r="J35" s="303"/>
      <c r="K35" s="303"/>
      <c r="L35" s="303"/>
      <c r="M35" s="303"/>
      <c r="N35" s="304"/>
    </row>
    <row r="36" spans="2:15" ht="16.5" customHeight="1">
      <c r="B36" s="13"/>
      <c r="C36" s="13"/>
      <c r="D36" s="13"/>
    </row>
    <row r="37" spans="2:15" ht="16.5" customHeight="1">
      <c r="B37" s="13"/>
      <c r="C37" s="13"/>
      <c r="D37" s="13"/>
      <c r="F37" s="32" t="s">
        <v>296</v>
      </c>
    </row>
    <row r="38" spans="2:15" ht="16.5" customHeight="1">
      <c r="B38" s="13"/>
      <c r="C38" s="13"/>
      <c r="D38" s="13"/>
      <c r="F38" s="296" t="s">
        <v>297</v>
      </c>
      <c r="G38" s="297"/>
      <c r="H38" s="297"/>
      <c r="I38" s="297"/>
      <c r="J38" s="297"/>
      <c r="K38" s="297"/>
      <c r="L38" s="297"/>
      <c r="M38" s="297"/>
      <c r="N38" s="298"/>
    </row>
    <row r="39" spans="2:15" ht="16.5" customHeight="1">
      <c r="B39" s="13"/>
      <c r="C39" s="13"/>
      <c r="D39" s="13"/>
      <c r="F39" s="299"/>
      <c r="G39" s="300"/>
      <c r="H39" s="300"/>
      <c r="I39" s="300"/>
      <c r="J39" s="300"/>
      <c r="K39" s="300"/>
      <c r="L39" s="300"/>
      <c r="M39" s="300"/>
      <c r="N39" s="301"/>
    </row>
    <row r="40" spans="2:15" ht="16.5" customHeight="1">
      <c r="B40" s="13"/>
      <c r="C40" s="13"/>
      <c r="D40" s="13"/>
      <c r="F40" s="299"/>
      <c r="G40" s="300"/>
      <c r="H40" s="300"/>
      <c r="I40" s="300"/>
      <c r="J40" s="300"/>
      <c r="K40" s="300"/>
      <c r="L40" s="300"/>
      <c r="M40" s="300"/>
      <c r="N40" s="301"/>
    </row>
    <row r="41" spans="2:15" ht="16.5" customHeight="1">
      <c r="B41" s="13"/>
      <c r="C41" s="13"/>
      <c r="D41" s="13"/>
      <c r="F41" s="299"/>
      <c r="G41" s="300"/>
      <c r="H41" s="300"/>
      <c r="I41" s="300"/>
      <c r="J41" s="300"/>
      <c r="K41" s="300"/>
      <c r="L41" s="300"/>
      <c r="M41" s="300"/>
      <c r="N41" s="301"/>
    </row>
    <row r="42" spans="2:15" ht="16.5" customHeight="1">
      <c r="B42" s="13"/>
      <c r="C42" s="13"/>
      <c r="D42" s="13"/>
      <c r="F42" s="299"/>
      <c r="G42" s="300"/>
      <c r="H42" s="300"/>
      <c r="I42" s="300"/>
      <c r="J42" s="300"/>
      <c r="K42" s="300"/>
      <c r="L42" s="300"/>
      <c r="M42" s="300"/>
      <c r="N42" s="301"/>
    </row>
    <row r="43" spans="2:15" ht="16.5" customHeight="1">
      <c r="B43" s="13"/>
      <c r="C43" s="13"/>
      <c r="D43" s="13"/>
      <c r="F43" s="302"/>
      <c r="G43" s="303"/>
      <c r="H43" s="303"/>
      <c r="I43" s="303"/>
      <c r="J43" s="303"/>
      <c r="K43" s="303"/>
      <c r="L43" s="303"/>
      <c r="M43" s="303"/>
      <c r="N43" s="304"/>
    </row>
    <row r="44" spans="2:15" ht="16.5" customHeight="1">
      <c r="B44" s="13"/>
      <c r="C44" s="13"/>
      <c r="D44" s="13"/>
    </row>
    <row r="45" spans="2:15" ht="16.5" customHeight="1">
      <c r="B45" s="13"/>
      <c r="C45" s="13"/>
      <c r="D45" s="13"/>
    </row>
    <row r="46" spans="2:15" ht="16.5" customHeight="1">
      <c r="B46" s="13"/>
      <c r="C46" s="13"/>
      <c r="D46" s="13"/>
      <c r="F46" s="292" t="s">
        <v>298</v>
      </c>
      <c r="G46" s="292"/>
      <c r="H46" s="292"/>
      <c r="I46" s="292"/>
      <c r="J46" s="292"/>
      <c r="K46" s="292"/>
      <c r="L46" s="292"/>
      <c r="M46" s="292"/>
      <c r="N46" s="292"/>
      <c r="O46" s="292"/>
    </row>
    <row r="47" spans="2:15" ht="16.5" customHeight="1">
      <c r="B47" s="13"/>
      <c r="C47" s="13"/>
      <c r="D47" s="13"/>
      <c r="F47" s="292"/>
      <c r="G47" s="292"/>
      <c r="H47" s="292"/>
      <c r="I47" s="292"/>
      <c r="J47" s="292"/>
      <c r="K47" s="292"/>
      <c r="L47" s="292"/>
      <c r="M47" s="292"/>
      <c r="N47" s="292"/>
      <c r="O47" s="292"/>
    </row>
    <row r="48" spans="2:15" ht="16.5" customHeight="1">
      <c r="B48" s="13"/>
      <c r="C48" s="13"/>
      <c r="D48" s="13"/>
      <c r="F48" s="32" t="s">
        <v>299</v>
      </c>
    </row>
    <row r="49" spans="2:27" ht="16.5" customHeight="1">
      <c r="B49" s="13"/>
      <c r="C49" s="13"/>
      <c r="D49" s="13"/>
      <c r="F49" s="295" t="s">
        <v>300</v>
      </c>
      <c r="G49" s="295"/>
      <c r="H49" s="295"/>
      <c r="I49" s="295"/>
      <c r="J49" s="306" t="s">
        <v>301</v>
      </c>
      <c r="K49" s="306"/>
      <c r="L49" s="306"/>
      <c r="M49" s="306"/>
      <c r="N49" s="16" t="s">
        <v>158</v>
      </c>
    </row>
    <row r="50" spans="2:27" ht="16.5" customHeight="1">
      <c r="B50" s="13"/>
      <c r="C50" s="13"/>
      <c r="D50" s="13"/>
      <c r="F50" s="295" t="s">
        <v>302</v>
      </c>
      <c r="G50" s="295"/>
      <c r="H50" s="295"/>
      <c r="I50" s="295"/>
      <c r="J50" s="305" t="s">
        <v>303</v>
      </c>
      <c r="K50" s="305"/>
      <c r="L50" s="305"/>
      <c r="M50" s="16" t="s">
        <v>158</v>
      </c>
    </row>
    <row r="51" spans="2:27" ht="16.5" customHeight="1">
      <c r="B51" s="13"/>
      <c r="C51" s="13"/>
      <c r="D51" s="13"/>
      <c r="F51" s="295" t="s">
        <v>274</v>
      </c>
      <c r="G51" s="295"/>
      <c r="H51" s="295"/>
      <c r="I51" s="295"/>
      <c r="J51" s="306" t="s">
        <v>275</v>
      </c>
      <c r="K51" s="306"/>
      <c r="L51" s="306"/>
      <c r="M51" s="16" t="s">
        <v>158</v>
      </c>
    </row>
    <row r="52" spans="2:27" ht="16.5" customHeight="1">
      <c r="B52" s="13"/>
      <c r="C52" s="13"/>
      <c r="D52" s="13"/>
      <c r="J52" s="39"/>
      <c r="K52" s="39"/>
      <c r="L52" s="39"/>
    </row>
    <row r="53" spans="2:27" ht="16.5" customHeight="1">
      <c r="B53" s="13"/>
      <c r="C53" s="13"/>
      <c r="D53" s="13"/>
      <c r="F53" s="32" t="s">
        <v>304</v>
      </c>
      <c r="J53" s="39"/>
      <c r="K53" s="39"/>
      <c r="L53" s="39"/>
      <c r="P53" s="83"/>
      <c r="Q53" s="84"/>
      <c r="Z53" s="83"/>
      <c r="AA53" s="84"/>
    </row>
    <row r="54" spans="2:27" ht="16.5" customHeight="1">
      <c r="B54" s="13"/>
      <c r="C54" s="13"/>
      <c r="D54" s="13"/>
      <c r="F54" s="295" t="s">
        <v>305</v>
      </c>
      <c r="G54" s="295"/>
      <c r="H54" s="295"/>
      <c r="I54" s="295"/>
      <c r="J54" s="199" t="s">
        <v>306</v>
      </c>
      <c r="K54" s="16" t="s">
        <v>158</v>
      </c>
      <c r="L54" s="39"/>
      <c r="Z54" s="25"/>
      <c r="AA54" s="84"/>
    </row>
    <row r="55" spans="2:27" ht="16.5" customHeight="1">
      <c r="F55" s="295" t="s">
        <v>291</v>
      </c>
      <c r="G55" s="295"/>
      <c r="H55" s="295"/>
      <c r="I55" s="295"/>
      <c r="J55" s="199">
        <v>50</v>
      </c>
      <c r="K55" s="16" t="s">
        <v>158</v>
      </c>
      <c r="L55" s="39"/>
      <c r="Z55" s="83"/>
      <c r="AA55" s="84"/>
    </row>
    <row r="56" spans="2:27" ht="16.5" customHeight="1">
      <c r="F56" s="295" t="s">
        <v>292</v>
      </c>
      <c r="G56" s="295"/>
      <c r="H56" s="295"/>
      <c r="I56" s="295"/>
      <c r="J56" s="199" t="s">
        <v>293</v>
      </c>
      <c r="K56" s="16" t="s">
        <v>158</v>
      </c>
      <c r="L56" s="39"/>
      <c r="Z56" s="25"/>
      <c r="AA56" s="84"/>
    </row>
    <row r="57" spans="2:27" ht="16.5" customHeight="1">
      <c r="J57" s="39"/>
      <c r="K57" s="39"/>
      <c r="L57" s="39"/>
    </row>
    <row r="58" spans="2:27" ht="16.5" customHeight="1">
      <c r="Z58" s="83"/>
      <c r="AA58" s="84"/>
    </row>
    <row r="59" spans="2:27" ht="16.5" customHeight="1">
      <c r="F59" s="292" t="s">
        <v>307</v>
      </c>
      <c r="G59" s="292"/>
      <c r="H59" s="292"/>
      <c r="I59" s="292"/>
      <c r="J59" s="292"/>
      <c r="K59" s="292"/>
      <c r="L59" s="292"/>
    </row>
    <row r="60" spans="2:27" ht="16.5" customHeight="1">
      <c r="F60" s="292"/>
      <c r="G60" s="292"/>
      <c r="H60" s="292"/>
      <c r="I60" s="292"/>
      <c r="J60" s="292"/>
      <c r="K60" s="292"/>
      <c r="L60" s="292"/>
    </row>
    <row r="61" spans="2:27" ht="16.5" customHeight="1">
      <c r="F61" s="25"/>
      <c r="G61" s="149" t="s">
        <v>308</v>
      </c>
      <c r="H61" s="25"/>
      <c r="I61" s="25"/>
      <c r="J61" s="25"/>
      <c r="K61" s="25"/>
      <c r="L61" s="25"/>
      <c r="Q61" s="117"/>
    </row>
    <row r="62" spans="2:27" ht="16.5" customHeight="1">
      <c r="F62" s="25"/>
      <c r="G62" s="32" t="s">
        <v>309</v>
      </c>
      <c r="L62" s="25"/>
      <c r="P62" s="83"/>
      <c r="Q62" s="84"/>
    </row>
    <row r="63" spans="2:27" ht="16.5" customHeight="1">
      <c r="G63" s="295" t="s">
        <v>310</v>
      </c>
      <c r="H63" s="295"/>
      <c r="I63" s="295"/>
      <c r="J63" s="295"/>
      <c r="K63" s="306" t="s">
        <v>311</v>
      </c>
      <c r="L63" s="306"/>
      <c r="M63" s="306"/>
      <c r="N63" s="16" t="s">
        <v>158</v>
      </c>
    </row>
    <row r="64" spans="2:27" ht="16.5" customHeight="1">
      <c r="K64" s="39"/>
      <c r="L64" s="39"/>
      <c r="M64" s="39"/>
    </row>
    <row r="65" spans="7:21" ht="16.5" customHeight="1">
      <c r="G65" s="32" t="s">
        <v>312</v>
      </c>
      <c r="K65" s="39"/>
      <c r="L65" s="39"/>
      <c r="M65" s="39"/>
      <c r="P65" s="83"/>
      <c r="Q65" s="84"/>
    </row>
    <row r="66" spans="7:21" ht="16.5" customHeight="1">
      <c r="G66" s="295" t="s">
        <v>305</v>
      </c>
      <c r="H66" s="295"/>
      <c r="I66" s="295"/>
      <c r="J66" s="295"/>
      <c r="K66" s="199" t="s">
        <v>306</v>
      </c>
      <c r="L66" s="16" t="s">
        <v>158</v>
      </c>
      <c r="M66" s="39"/>
      <c r="P66" s="83"/>
      <c r="Q66" s="84"/>
      <c r="R66" s="114"/>
      <c r="S66" s="114"/>
    </row>
    <row r="67" spans="7:21" ht="16.5" customHeight="1">
      <c r="G67" s="295" t="s">
        <v>291</v>
      </c>
      <c r="H67" s="295"/>
      <c r="I67" s="295"/>
      <c r="J67" s="295"/>
      <c r="K67" s="199">
        <v>50</v>
      </c>
      <c r="L67" s="16" t="s">
        <v>158</v>
      </c>
      <c r="M67" s="39"/>
      <c r="O67" s="114"/>
      <c r="T67" s="114"/>
      <c r="U67" s="114"/>
    </row>
    <row r="68" spans="7:21" ht="16.5" customHeight="1">
      <c r="G68" s="295" t="s">
        <v>292</v>
      </c>
      <c r="H68" s="295"/>
      <c r="I68" s="295"/>
      <c r="J68" s="295"/>
      <c r="K68" s="199" t="s">
        <v>293</v>
      </c>
      <c r="L68" s="16" t="s">
        <v>158</v>
      </c>
      <c r="M68" s="39"/>
    </row>
    <row r="69" spans="7:21" ht="16.5" customHeight="1">
      <c r="M69" s="39"/>
    </row>
    <row r="70" spans="7:21" ht="16.5" customHeight="1">
      <c r="G70" s="32" t="s">
        <v>313</v>
      </c>
      <c r="K70" s="39"/>
      <c r="L70" s="39"/>
      <c r="M70" s="39"/>
      <c r="P70" s="83"/>
      <c r="Q70" s="84"/>
    </row>
    <row r="71" spans="7:21" ht="16.5" customHeight="1">
      <c r="G71" s="295" t="s">
        <v>283</v>
      </c>
      <c r="H71" s="295"/>
      <c r="I71" s="295"/>
      <c r="J71" s="295"/>
      <c r="K71" s="279" t="s">
        <v>314</v>
      </c>
      <c r="L71" s="281"/>
      <c r="M71" s="281"/>
      <c r="N71" s="280"/>
      <c r="O71" s="116"/>
      <c r="P71" s="83"/>
      <c r="Q71" s="84"/>
    </row>
    <row r="72" spans="7:21" ht="16.5" customHeight="1">
      <c r="G72" s="295" t="s">
        <v>285</v>
      </c>
      <c r="H72" s="295"/>
      <c r="I72" s="295"/>
      <c r="J72" s="295"/>
      <c r="K72" s="205">
        <v>10</v>
      </c>
      <c r="L72" s="39"/>
      <c r="M72" s="39"/>
      <c r="O72" s="116"/>
      <c r="P72" s="25"/>
      <c r="Q72" s="84"/>
    </row>
    <row r="73" spans="7:21" ht="16.5" customHeight="1">
      <c r="G73" s="295" t="s">
        <v>286</v>
      </c>
      <c r="H73" s="295"/>
      <c r="I73" s="295"/>
      <c r="J73" s="295"/>
      <c r="K73" s="199">
        <v>86</v>
      </c>
      <c r="L73" s="39"/>
      <c r="M73" s="39"/>
    </row>
    <row r="74" spans="7:21" ht="16.5" customHeight="1">
      <c r="K74" s="39"/>
      <c r="L74" s="39"/>
      <c r="M74" s="39"/>
    </row>
    <row r="75" spans="7:21" ht="16.5" customHeight="1">
      <c r="G75" s="32" t="s">
        <v>315</v>
      </c>
      <c r="K75" s="39"/>
      <c r="L75" s="39"/>
      <c r="M75" s="39"/>
      <c r="P75" s="83"/>
      <c r="Q75" s="84"/>
    </row>
    <row r="76" spans="7:21" ht="16.5" customHeight="1">
      <c r="G76" s="295" t="s">
        <v>316</v>
      </c>
      <c r="H76" s="295"/>
      <c r="I76" s="295"/>
      <c r="J76" s="295"/>
      <c r="K76" s="199"/>
      <c r="L76" s="16" t="s">
        <v>158</v>
      </c>
      <c r="M76" s="39"/>
      <c r="Q76" s="84"/>
    </row>
    <row r="77" spans="7:21" ht="16.5" customHeight="1">
      <c r="G77" s="295" t="s">
        <v>317</v>
      </c>
      <c r="H77" s="295"/>
      <c r="I77" s="295"/>
      <c r="J77" s="295"/>
      <c r="K77" s="199"/>
      <c r="L77" s="16" t="s">
        <v>158</v>
      </c>
      <c r="M77" s="39"/>
    </row>
    <row r="78" spans="7:21" ht="16.5" customHeight="1">
      <c r="G78" s="295" t="s">
        <v>318</v>
      </c>
      <c r="H78" s="295"/>
      <c r="I78" s="295"/>
      <c r="J78" s="295"/>
      <c r="K78" s="199"/>
      <c r="L78" s="16" t="s">
        <v>158</v>
      </c>
      <c r="M78" s="39"/>
    </row>
    <row r="79" spans="7:21" ht="16.5" customHeight="1">
      <c r="G79" s="295" t="s">
        <v>319</v>
      </c>
      <c r="H79" s="295"/>
      <c r="I79" s="295"/>
      <c r="J79" s="295"/>
      <c r="K79" s="199"/>
      <c r="L79" s="16" t="s">
        <v>158</v>
      </c>
      <c r="M79" s="39"/>
    </row>
    <row r="80" spans="7:21" ht="16.5" customHeight="1">
      <c r="G80" s="295" t="s">
        <v>320</v>
      </c>
      <c r="H80" s="295"/>
      <c r="I80" s="295"/>
      <c r="J80" s="295"/>
      <c r="K80" s="199"/>
      <c r="L80" s="16" t="s">
        <v>158</v>
      </c>
      <c r="M80" s="39"/>
    </row>
    <row r="81" spans="7:14" ht="16.5" customHeight="1">
      <c r="G81" s="295" t="s">
        <v>321</v>
      </c>
      <c r="H81" s="295"/>
      <c r="I81" s="295"/>
      <c r="J81" s="295"/>
      <c r="K81" s="199"/>
      <c r="L81" s="16" t="s">
        <v>158</v>
      </c>
      <c r="M81" s="39"/>
    </row>
    <row r="82" spans="7:14" ht="16.5" customHeight="1">
      <c r="K82" s="39"/>
      <c r="L82" s="39"/>
      <c r="M82" s="39"/>
    </row>
    <row r="83" spans="7:14" ht="16.5" customHeight="1">
      <c r="G83" s="32" t="s">
        <v>322</v>
      </c>
      <c r="K83" s="39"/>
      <c r="L83" s="39"/>
      <c r="M83" s="39"/>
    </row>
    <row r="84" spans="7:14" ht="16.5" customHeight="1">
      <c r="G84" s="295" t="s">
        <v>323</v>
      </c>
      <c r="H84" s="295"/>
      <c r="I84" s="295"/>
      <c r="J84" s="295"/>
      <c r="K84" s="199">
        <v>50</v>
      </c>
      <c r="L84" s="16" t="s">
        <v>158</v>
      </c>
      <c r="M84" s="39"/>
    </row>
    <row r="85" spans="7:14" ht="16.5" customHeight="1">
      <c r="G85" s="295" t="s">
        <v>274</v>
      </c>
      <c r="H85" s="295"/>
      <c r="I85" s="295"/>
      <c r="J85" s="295"/>
      <c r="K85" s="199" t="s">
        <v>275</v>
      </c>
      <c r="L85" s="16" t="s">
        <v>158</v>
      </c>
      <c r="M85" s="39"/>
      <c r="N85" s="16"/>
    </row>
    <row r="86" spans="7:14" ht="16.5" customHeight="1">
      <c r="G86" s="295" t="s">
        <v>324</v>
      </c>
      <c r="H86" s="295"/>
      <c r="I86" s="295"/>
      <c r="J86" s="295"/>
      <c r="K86" s="279" t="s">
        <v>325</v>
      </c>
      <c r="L86" s="281"/>
      <c r="M86" s="280"/>
      <c r="N86" s="16" t="s">
        <v>158</v>
      </c>
    </row>
    <row r="87" spans="7:14" ht="16.5" customHeight="1">
      <c r="G87" s="295" t="s">
        <v>326</v>
      </c>
      <c r="H87" s="295"/>
      <c r="I87" s="295"/>
      <c r="J87" s="295"/>
      <c r="K87" s="306" t="s">
        <v>327</v>
      </c>
      <c r="L87" s="306"/>
      <c r="M87" s="306"/>
      <c r="N87" s="16" t="s">
        <v>158</v>
      </c>
    </row>
    <row r="88" spans="7:14" ht="16.5" customHeight="1">
      <c r="G88" s="295" t="s">
        <v>328</v>
      </c>
      <c r="H88" s="295"/>
      <c r="I88" s="295"/>
      <c r="J88" s="282"/>
      <c r="K88" s="294" t="s">
        <v>329</v>
      </c>
      <c r="L88" s="294"/>
      <c r="M88" s="294"/>
      <c r="N88" s="294"/>
    </row>
    <row r="89" spans="7:14" ht="16.5" customHeight="1">
      <c r="K89" s="294"/>
      <c r="L89" s="294"/>
      <c r="M89" s="294"/>
      <c r="N89" s="294"/>
    </row>
    <row r="90" spans="7:14" ht="16.5" customHeight="1">
      <c r="K90" s="294"/>
      <c r="L90" s="294"/>
      <c r="M90" s="294"/>
      <c r="N90" s="294"/>
    </row>
    <row r="91" spans="7:14" ht="16.5" customHeight="1">
      <c r="K91" s="294"/>
      <c r="L91" s="294"/>
      <c r="M91" s="294"/>
      <c r="N91" s="294"/>
    </row>
    <row r="92" spans="7:14" ht="16.5" customHeight="1">
      <c r="L92" s="39"/>
      <c r="M92" s="39"/>
    </row>
    <row r="93" spans="7:14" ht="16.5" customHeight="1">
      <c r="G93" s="295" t="s">
        <v>330</v>
      </c>
      <c r="H93" s="295"/>
      <c r="I93" s="295"/>
      <c r="J93" s="295"/>
      <c r="K93" s="306" t="s">
        <v>331</v>
      </c>
      <c r="L93" s="306"/>
      <c r="M93" s="306"/>
      <c r="N93" s="16" t="s">
        <v>158</v>
      </c>
    </row>
    <row r="94" spans="7:14" ht="16.5" customHeight="1">
      <c r="K94" s="307" t="s">
        <v>329</v>
      </c>
      <c r="L94" s="308"/>
      <c r="M94" s="308"/>
      <c r="N94" s="309"/>
    </row>
    <row r="95" spans="7:14" ht="16.5" customHeight="1">
      <c r="K95" s="310"/>
      <c r="L95" s="311"/>
      <c r="M95" s="311"/>
      <c r="N95" s="312"/>
    </row>
    <row r="96" spans="7:14" ht="16.5" customHeight="1">
      <c r="K96" s="313"/>
      <c r="L96" s="314"/>
      <c r="M96" s="314"/>
      <c r="N96" s="315"/>
    </row>
    <row r="97" spans="6:17" ht="16.5" customHeight="1">
      <c r="M97" s="39"/>
    </row>
    <row r="98" spans="6:17" ht="16.5" customHeight="1">
      <c r="G98" s="295" t="s">
        <v>332</v>
      </c>
      <c r="H98" s="295"/>
      <c r="I98" s="295"/>
      <c r="J98" s="295"/>
      <c r="K98" s="199">
        <v>5</v>
      </c>
      <c r="L98" s="39"/>
      <c r="M98" s="39"/>
    </row>
    <row r="99" spans="6:17" ht="16.5" customHeight="1">
      <c r="L99" s="39"/>
      <c r="M99" s="39"/>
    </row>
    <row r="100" spans="6:17" ht="16.5" customHeight="1">
      <c r="G100" s="295" t="s">
        <v>333</v>
      </c>
      <c r="H100" s="295"/>
      <c r="I100" s="295"/>
      <c r="J100" s="295"/>
      <c r="K100" s="294" t="s">
        <v>334</v>
      </c>
      <c r="L100" s="294"/>
      <c r="M100" s="294"/>
      <c r="N100" s="294"/>
    </row>
    <row r="101" spans="6:17" ht="16.5" customHeight="1">
      <c r="K101" s="294"/>
      <c r="L101" s="294"/>
      <c r="M101" s="294"/>
      <c r="N101" s="294"/>
    </row>
    <row r="102" spans="6:17" ht="16.5" customHeight="1">
      <c r="K102" s="294"/>
      <c r="L102" s="294"/>
      <c r="M102" s="294"/>
      <c r="N102" s="294"/>
    </row>
    <row r="103" spans="6:17" ht="16.5" customHeight="1">
      <c r="K103" s="294"/>
      <c r="L103" s="294"/>
      <c r="M103" s="294"/>
      <c r="N103" s="294"/>
    </row>
    <row r="104" spans="6:17" ht="16.5" customHeight="1">
      <c r="K104" s="134"/>
      <c r="L104" s="39"/>
      <c r="M104" s="39"/>
    </row>
    <row r="105" spans="6:17" ht="16.5" customHeight="1"/>
    <row r="106" spans="6:17" ht="16.5" customHeight="1">
      <c r="G106" s="149" t="s">
        <v>335</v>
      </c>
    </row>
    <row r="107" spans="6:17" ht="16.5" customHeight="1">
      <c r="G107" s="32" t="s">
        <v>336</v>
      </c>
      <c r="Q107" s="117"/>
    </row>
    <row r="108" spans="6:17" ht="16.5" customHeight="1">
      <c r="G108" s="295" t="s">
        <v>305</v>
      </c>
      <c r="H108" s="295"/>
      <c r="I108" s="295"/>
      <c r="J108" s="295"/>
      <c r="K108" s="199" t="s">
        <v>306</v>
      </c>
      <c r="L108" s="16" t="s">
        <v>158</v>
      </c>
      <c r="P108" s="83"/>
      <c r="Q108" s="84"/>
    </row>
    <row r="109" spans="6:17" ht="16.5" customHeight="1">
      <c r="F109" s="32"/>
      <c r="G109" s="295" t="s">
        <v>291</v>
      </c>
      <c r="H109" s="295"/>
      <c r="I109" s="295"/>
      <c r="J109" s="295"/>
      <c r="K109" s="199">
        <v>50</v>
      </c>
      <c r="L109" s="16" t="s">
        <v>158</v>
      </c>
    </row>
    <row r="110" spans="6:17" ht="16.5" customHeight="1">
      <c r="G110" s="295" t="s">
        <v>292</v>
      </c>
      <c r="H110" s="295"/>
      <c r="I110" s="295"/>
      <c r="J110" s="295"/>
      <c r="K110" s="199" t="s">
        <v>293</v>
      </c>
      <c r="L110" s="16" t="s">
        <v>158</v>
      </c>
    </row>
    <row r="111" spans="6:17" ht="16.5" customHeight="1">
      <c r="K111" s="39"/>
    </row>
    <row r="112" spans="6:17" ht="16.5" customHeight="1">
      <c r="G112" s="32" t="s">
        <v>337</v>
      </c>
      <c r="K112" s="39"/>
      <c r="P112" s="83"/>
      <c r="Q112" s="84"/>
    </row>
    <row r="113" spans="6:32" ht="16.5" customHeight="1">
      <c r="G113" s="295" t="s">
        <v>316</v>
      </c>
      <c r="H113" s="295"/>
      <c r="I113" s="295"/>
      <c r="J113" s="295"/>
      <c r="K113" s="199"/>
      <c r="L113" s="16" t="s">
        <v>158</v>
      </c>
      <c r="Q113" s="84"/>
    </row>
    <row r="114" spans="6:32" ht="16.5" customHeight="1">
      <c r="G114" s="295" t="s">
        <v>317</v>
      </c>
      <c r="H114" s="295"/>
      <c r="I114" s="295"/>
      <c r="J114" s="295"/>
      <c r="K114" s="199"/>
      <c r="L114" s="16" t="s">
        <v>158</v>
      </c>
    </row>
    <row r="115" spans="6:32" ht="16.5" customHeight="1">
      <c r="G115" s="295" t="s">
        <v>318</v>
      </c>
      <c r="H115" s="295"/>
      <c r="I115" s="295"/>
      <c r="J115" s="295"/>
      <c r="K115" s="199"/>
      <c r="L115" s="16" t="s">
        <v>158</v>
      </c>
    </row>
    <row r="116" spans="6:32" ht="16.5" customHeight="1">
      <c r="G116" s="295" t="s">
        <v>319</v>
      </c>
      <c r="H116" s="295"/>
      <c r="I116" s="295"/>
      <c r="J116" s="295"/>
      <c r="K116" s="199">
        <v>32</v>
      </c>
      <c r="L116" s="16" t="s">
        <v>158</v>
      </c>
    </row>
    <row r="117" spans="6:32" ht="16.5" customHeight="1">
      <c r="G117" s="295" t="s">
        <v>320</v>
      </c>
      <c r="H117" s="295"/>
      <c r="I117" s="295"/>
      <c r="J117" s="295"/>
      <c r="K117" s="199">
        <v>32</v>
      </c>
      <c r="L117" s="16" t="s">
        <v>158</v>
      </c>
    </row>
    <row r="118" spans="6:32" ht="16.5" customHeight="1">
      <c r="G118" s="295" t="s">
        <v>321</v>
      </c>
      <c r="H118" s="295"/>
      <c r="I118" s="295"/>
      <c r="J118" s="295"/>
      <c r="K118" s="199"/>
      <c r="L118" s="16" t="s">
        <v>158</v>
      </c>
    </row>
    <row r="119" spans="6:32" ht="16.5" customHeight="1">
      <c r="K119" s="39"/>
    </row>
    <row r="120" spans="6:32" ht="16.5" customHeight="1">
      <c r="G120" s="295" t="s">
        <v>323</v>
      </c>
      <c r="H120" s="295"/>
      <c r="I120" s="295"/>
      <c r="J120" s="295"/>
      <c r="K120" s="199">
        <v>50</v>
      </c>
      <c r="L120" s="16" t="s">
        <v>158</v>
      </c>
    </row>
    <row r="121" spans="6:32" ht="16.5" customHeight="1"/>
    <row r="122" spans="6:32" ht="16.5" customHeight="1"/>
    <row r="123" spans="6:32" ht="16.5" customHeight="1">
      <c r="F123" s="292" t="s">
        <v>338</v>
      </c>
      <c r="G123" s="292"/>
      <c r="H123" s="292"/>
      <c r="I123" s="292"/>
      <c r="J123" s="292"/>
      <c r="K123" s="292"/>
      <c r="L123" s="292"/>
    </row>
    <row r="124" spans="6:32" ht="16.5" customHeight="1">
      <c r="F124" s="292"/>
      <c r="G124" s="292"/>
      <c r="H124" s="292"/>
      <c r="I124" s="292"/>
      <c r="J124" s="292"/>
      <c r="K124" s="292"/>
      <c r="L124" s="292"/>
    </row>
    <row r="125" spans="6:32" ht="16.5" customHeight="1">
      <c r="F125" s="32" t="s">
        <v>339</v>
      </c>
      <c r="Q125" s="117"/>
      <c r="AE125" s="113"/>
      <c r="AF125" s="113"/>
    </row>
    <row r="126" spans="6:32" ht="16.5" customHeight="1">
      <c r="F126" s="295" t="s">
        <v>340</v>
      </c>
      <c r="G126" s="295"/>
      <c r="H126" s="295"/>
      <c r="I126" s="295"/>
      <c r="J126" s="279"/>
      <c r="K126" s="280"/>
      <c r="L126" s="16" t="s">
        <v>158</v>
      </c>
      <c r="P126" s="83"/>
      <c r="Q126" s="84"/>
    </row>
    <row r="127" spans="6:32" ht="16.5" customHeight="1">
      <c r="F127" s="295" t="s">
        <v>341</v>
      </c>
      <c r="G127" s="295"/>
      <c r="H127" s="295"/>
      <c r="I127" s="295"/>
      <c r="J127" s="279"/>
      <c r="K127" s="280"/>
    </row>
    <row r="128" spans="6:32" ht="16.5" customHeight="1">
      <c r="F128" s="295" t="s">
        <v>342</v>
      </c>
      <c r="G128" s="295"/>
      <c r="H128" s="295"/>
      <c r="I128" s="295"/>
      <c r="J128" s="279"/>
      <c r="K128" s="280"/>
    </row>
    <row r="129" spans="6:30" ht="16.5" customHeight="1">
      <c r="F129" s="295" t="s">
        <v>343</v>
      </c>
      <c r="G129" s="295"/>
      <c r="H129" s="295"/>
      <c r="I129" s="295"/>
      <c r="J129" s="199"/>
      <c r="K129" s="16" t="s">
        <v>158</v>
      </c>
    </row>
    <row r="130" spans="6:30" ht="16.5" customHeight="1">
      <c r="F130" s="295" t="s">
        <v>344</v>
      </c>
      <c r="G130" s="295"/>
      <c r="H130" s="295"/>
      <c r="I130" s="295"/>
      <c r="J130" s="199"/>
      <c r="K130" s="39"/>
    </row>
    <row r="131" spans="6:30" ht="16.5" customHeight="1">
      <c r="F131" s="295" t="s">
        <v>345</v>
      </c>
      <c r="G131" s="295"/>
      <c r="H131" s="295"/>
      <c r="I131" s="295"/>
      <c r="J131" s="199"/>
      <c r="K131" s="39"/>
    </row>
    <row r="132" spans="6:30" ht="16.5" customHeight="1">
      <c r="F132" s="295" t="s">
        <v>346</v>
      </c>
      <c r="G132" s="295"/>
      <c r="H132" s="295"/>
      <c r="I132" s="295"/>
      <c r="J132" s="294"/>
      <c r="K132" s="294"/>
      <c r="L132" s="294"/>
      <c r="M132" s="294"/>
      <c r="AD132" s="113"/>
    </row>
    <row r="133" spans="6:30" ht="16.5" customHeight="1">
      <c r="J133" s="294"/>
      <c r="K133" s="294"/>
      <c r="L133" s="294"/>
      <c r="M133" s="294"/>
    </row>
    <row r="134" spans="6:30" ht="16.5" customHeight="1">
      <c r="J134" s="294"/>
      <c r="K134" s="294"/>
      <c r="L134" s="294"/>
      <c r="M134" s="294"/>
    </row>
    <row r="135" spans="6:30" ht="16.5" customHeight="1">
      <c r="J135" s="294"/>
      <c r="K135" s="294"/>
      <c r="L135" s="294"/>
      <c r="M135" s="294"/>
    </row>
    <row r="139" spans="6:30">
      <c r="Q139" t="s">
        <v>347</v>
      </c>
    </row>
    <row r="140" spans="6:30">
      <c r="F140" s="316" t="s">
        <v>348</v>
      </c>
      <c r="G140" s="316"/>
      <c r="H140" s="316"/>
      <c r="I140" s="316"/>
      <c r="J140" s="316"/>
      <c r="K140" s="316"/>
      <c r="L140" s="316"/>
      <c r="M140" s="316"/>
      <c r="N140" s="316"/>
      <c r="O140" s="316"/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  <c r="AA140" s="316"/>
      <c r="AB140" s="113"/>
      <c r="AC140" s="113"/>
    </row>
  </sheetData>
  <mergeCells count="105">
    <mergeCell ref="J127:K127"/>
    <mergeCell ref="J128:K128"/>
    <mergeCell ref="G88:J88"/>
    <mergeCell ref="K86:M86"/>
    <mergeCell ref="J126:K126"/>
    <mergeCell ref="F132:I132"/>
    <mergeCell ref="F46:O47"/>
    <mergeCell ref="F140:AA140"/>
    <mergeCell ref="F127:I127"/>
    <mergeCell ref="F128:I128"/>
    <mergeCell ref="F129:I129"/>
    <mergeCell ref="F130:I130"/>
    <mergeCell ref="F131:I131"/>
    <mergeCell ref="G117:J117"/>
    <mergeCell ref="G118:J118"/>
    <mergeCell ref="G77:J77"/>
    <mergeCell ref="G78:J78"/>
    <mergeCell ref="G79:J79"/>
    <mergeCell ref="G120:J120"/>
    <mergeCell ref="F123:L124"/>
    <mergeCell ref="F126:I126"/>
    <mergeCell ref="G110:J110"/>
    <mergeCell ref="G113:J113"/>
    <mergeCell ref="G115:J115"/>
    <mergeCell ref="G98:J98"/>
    <mergeCell ref="G100:J100"/>
    <mergeCell ref="G108:J108"/>
    <mergeCell ref="G109:J109"/>
    <mergeCell ref="K100:N103"/>
    <mergeCell ref="F59:L60"/>
    <mergeCell ref="G66:J66"/>
    <mergeCell ref="G67:J67"/>
    <mergeCell ref="G68:J68"/>
    <mergeCell ref="G84:J84"/>
    <mergeCell ref="G93:J93"/>
    <mergeCell ref="G63:J63"/>
    <mergeCell ref="K63:M63"/>
    <mergeCell ref="K88:N91"/>
    <mergeCell ref="G72:J72"/>
    <mergeCell ref="K94:N96"/>
    <mergeCell ref="K93:M93"/>
    <mergeCell ref="K87:M87"/>
    <mergeCell ref="G73:J73"/>
    <mergeCell ref="G86:J86"/>
    <mergeCell ref="G85:J85"/>
    <mergeCell ref="K71:N71"/>
    <mergeCell ref="B17:D17"/>
    <mergeCell ref="B16:D16"/>
    <mergeCell ref="B27:D27"/>
    <mergeCell ref="J49:M49"/>
    <mergeCell ref="F51:I51"/>
    <mergeCell ref="J51:L51"/>
    <mergeCell ref="F20:I20"/>
    <mergeCell ref="B25:D25"/>
    <mergeCell ref="B26:D26"/>
    <mergeCell ref="B18:D18"/>
    <mergeCell ref="B19:D19"/>
    <mergeCell ref="B20:D20"/>
    <mergeCell ref="B21:D21"/>
    <mergeCell ref="B22:D22"/>
    <mergeCell ref="B23:D23"/>
    <mergeCell ref="B24:D24"/>
    <mergeCell ref="J20:N20"/>
    <mergeCell ref="Q2:T4"/>
    <mergeCell ref="B9:D9"/>
    <mergeCell ref="B10:D10"/>
    <mergeCell ref="B11:D11"/>
    <mergeCell ref="B12:D12"/>
    <mergeCell ref="B13:D13"/>
    <mergeCell ref="B14:D14"/>
    <mergeCell ref="B15:D15"/>
    <mergeCell ref="F7:L8"/>
    <mergeCell ref="J12:L12"/>
    <mergeCell ref="J13:L13"/>
    <mergeCell ref="J14:K14"/>
    <mergeCell ref="J15:K15"/>
    <mergeCell ref="F9:I9"/>
    <mergeCell ref="F12:I12"/>
    <mergeCell ref="F13:I13"/>
    <mergeCell ref="F14:I14"/>
    <mergeCell ref="F15:I15"/>
    <mergeCell ref="J132:M135"/>
    <mergeCell ref="F2:P4"/>
    <mergeCell ref="J16:K16"/>
    <mergeCell ref="F21:I21"/>
    <mergeCell ref="F22:I22"/>
    <mergeCell ref="F25:I25"/>
    <mergeCell ref="F26:I26"/>
    <mergeCell ref="F27:I27"/>
    <mergeCell ref="F49:I49"/>
    <mergeCell ref="F54:I54"/>
    <mergeCell ref="F55:I55"/>
    <mergeCell ref="F56:I56"/>
    <mergeCell ref="F30:N35"/>
    <mergeCell ref="F38:N43"/>
    <mergeCell ref="J50:L50"/>
    <mergeCell ref="F50:I50"/>
    <mergeCell ref="G71:J71"/>
    <mergeCell ref="F16:I16"/>
    <mergeCell ref="G87:J87"/>
    <mergeCell ref="G80:J80"/>
    <mergeCell ref="G81:J81"/>
    <mergeCell ref="G76:J76"/>
    <mergeCell ref="G114:J114"/>
    <mergeCell ref="G116:J116"/>
  </mergeCells>
  <conditionalFormatting sqref="K110">
    <cfRule type="cellIs" dxfId="1064" priority="63" operator="notEqual">
      <formula>""</formula>
    </cfRule>
  </conditionalFormatting>
  <conditionalFormatting sqref="J12:J15">
    <cfRule type="cellIs" dxfId="1063" priority="61" operator="notEqual">
      <formula>""</formula>
    </cfRule>
  </conditionalFormatting>
  <conditionalFormatting sqref="J25:J27">
    <cfRule type="cellIs" dxfId="1062" priority="59" operator="notEqual">
      <formula>""</formula>
    </cfRule>
  </conditionalFormatting>
  <conditionalFormatting sqref="J54:J56">
    <cfRule type="cellIs" dxfId="1061" priority="57" operator="notEqual">
      <formula>""</formula>
    </cfRule>
  </conditionalFormatting>
  <conditionalFormatting sqref="K66:K68">
    <cfRule type="cellIs" dxfId="1060" priority="56" operator="notEqual">
      <formula>""</formula>
    </cfRule>
  </conditionalFormatting>
  <conditionalFormatting sqref="J49">
    <cfRule type="cellIs" dxfId="1059" priority="51" operator="notEqual">
      <formula>""</formula>
    </cfRule>
  </conditionalFormatting>
  <conditionalFormatting sqref="J50">
    <cfRule type="cellIs" dxfId="1058" priority="50" operator="notEqual">
      <formula>""</formula>
    </cfRule>
  </conditionalFormatting>
  <conditionalFormatting sqref="K72">
    <cfRule type="cellIs" dxfId="1057" priority="47" operator="notEqual">
      <formula>""</formula>
    </cfRule>
  </conditionalFormatting>
  <conditionalFormatting sqref="K76:K81">
    <cfRule type="cellIs" dxfId="1056" priority="45" operator="notEqual">
      <formula>""</formula>
    </cfRule>
  </conditionalFormatting>
  <conditionalFormatting sqref="K85:K86">
    <cfRule type="cellIs" dxfId="1055" priority="44" operator="notEqual">
      <formula>""</formula>
    </cfRule>
  </conditionalFormatting>
  <conditionalFormatting sqref="K84">
    <cfRule type="cellIs" dxfId="1054" priority="43" operator="notEqual">
      <formula>""</formula>
    </cfRule>
  </conditionalFormatting>
  <conditionalFormatting sqref="K113:K118">
    <cfRule type="cellIs" dxfId="1053" priority="42" operator="notEqual">
      <formula>""</formula>
    </cfRule>
  </conditionalFormatting>
  <conditionalFormatting sqref="K120">
    <cfRule type="cellIs" dxfId="1052" priority="41" operator="notEqual">
      <formula>""</formula>
    </cfRule>
  </conditionalFormatting>
  <conditionalFormatting sqref="J126">
    <cfRule type="cellIs" dxfId="1051" priority="40" operator="notEqual">
      <formula>""</formula>
    </cfRule>
  </conditionalFormatting>
  <conditionalFormatting sqref="J127">
    <cfRule type="cellIs" dxfId="1050" priority="39" operator="notEqual">
      <formula>""</formula>
    </cfRule>
  </conditionalFormatting>
  <conditionalFormatting sqref="J128">
    <cfRule type="cellIs" dxfId="1049" priority="38" operator="notEqual">
      <formula>""</formula>
    </cfRule>
  </conditionalFormatting>
  <conditionalFormatting sqref="J131">
    <cfRule type="cellIs" dxfId="1048" priority="37" operator="notEqual">
      <formula>""</formula>
    </cfRule>
  </conditionalFormatting>
  <conditionalFormatting sqref="J130">
    <cfRule type="cellIs" dxfId="1047" priority="36" operator="notEqual">
      <formula>""</formula>
    </cfRule>
  </conditionalFormatting>
  <conditionalFormatting sqref="J129">
    <cfRule type="cellIs" dxfId="1046" priority="35" operator="notEqual">
      <formula>""</formula>
    </cfRule>
  </conditionalFormatting>
  <conditionalFormatting sqref="K87">
    <cfRule type="cellIs" dxfId="1045" priority="34" operator="notEqual">
      <formula>""</formula>
    </cfRule>
  </conditionalFormatting>
  <conditionalFormatting sqref="K88">
    <cfRule type="cellIs" dxfId="1044" priority="33" operator="notEqual">
      <formula>""</formula>
    </cfRule>
  </conditionalFormatting>
  <conditionalFormatting sqref="K100">
    <cfRule type="cellIs" dxfId="1043" priority="31" operator="notEqual">
      <formula>""</formula>
    </cfRule>
  </conditionalFormatting>
  <conditionalFormatting sqref="J132">
    <cfRule type="cellIs" dxfId="1042" priority="30" operator="notEqual">
      <formula>""</formula>
    </cfRule>
  </conditionalFormatting>
  <conditionalFormatting sqref="K98">
    <cfRule type="cellIs" dxfId="1041" priority="29" operator="notEqual">
      <formula>""</formula>
    </cfRule>
  </conditionalFormatting>
  <conditionalFormatting sqref="K63">
    <cfRule type="cellIs" dxfId="1040" priority="27" operator="notEqual">
      <formula>""</formula>
    </cfRule>
  </conditionalFormatting>
  <conditionalFormatting sqref="J51">
    <cfRule type="cellIs" dxfId="1039" priority="26" operator="notEqual">
      <formula>""</formula>
    </cfRule>
  </conditionalFormatting>
  <conditionalFormatting sqref="J9">
    <cfRule type="cellIs" dxfId="1038" priority="23" operator="notEqual">
      <formula>""</formula>
    </cfRule>
  </conditionalFormatting>
  <conditionalFormatting sqref="J12:L13 J14:K15 J25:J27 K72">
    <cfRule type="expression" dxfId="1037" priority="22">
      <formula>$J$9="No"</formula>
    </cfRule>
  </conditionalFormatting>
  <conditionalFormatting sqref="K109">
    <cfRule type="cellIs" dxfId="1036" priority="21" operator="notEqual">
      <formula>""</formula>
    </cfRule>
  </conditionalFormatting>
  <conditionalFormatting sqref="K108">
    <cfRule type="cellIs" dxfId="1035" priority="20" operator="notEqual">
      <formula>""</formula>
    </cfRule>
  </conditionalFormatting>
  <conditionalFormatting sqref="K93:K94">
    <cfRule type="cellIs" dxfId="1034" priority="17" operator="notEqual">
      <formula>""</formula>
    </cfRule>
  </conditionalFormatting>
  <conditionalFormatting sqref="J16">
    <cfRule type="cellIs" dxfId="1033" priority="16" operator="notEqual">
      <formula>""</formula>
    </cfRule>
  </conditionalFormatting>
  <conditionalFormatting sqref="J16:K16">
    <cfRule type="expression" dxfId="1032" priority="15">
      <formula>$J$9="No"</formula>
    </cfRule>
  </conditionalFormatting>
  <conditionalFormatting sqref="J20">
    <cfRule type="cellIs" dxfId="1031" priority="14" operator="notEqual">
      <formula>""</formula>
    </cfRule>
  </conditionalFormatting>
  <conditionalFormatting sqref="J20">
    <cfRule type="expression" dxfId="1030" priority="13">
      <formula>$J$9="No"</formula>
    </cfRule>
  </conditionalFormatting>
  <conditionalFormatting sqref="J21">
    <cfRule type="cellIs" dxfId="1029" priority="12" operator="notEqual">
      <formula>""</formula>
    </cfRule>
  </conditionalFormatting>
  <conditionalFormatting sqref="J21">
    <cfRule type="expression" dxfId="1028" priority="11">
      <formula>$J$9="No"</formula>
    </cfRule>
  </conditionalFormatting>
  <conditionalFormatting sqref="J22">
    <cfRule type="cellIs" dxfId="1027" priority="10" operator="notEqual">
      <formula>""</formula>
    </cfRule>
  </conditionalFormatting>
  <conditionalFormatting sqref="J22">
    <cfRule type="expression" dxfId="1026" priority="9">
      <formula>$J$9="No"</formula>
    </cfRule>
  </conditionalFormatting>
  <conditionalFormatting sqref="F30">
    <cfRule type="cellIs" dxfId="1025" priority="8" operator="notEqual">
      <formula>""</formula>
    </cfRule>
  </conditionalFormatting>
  <conditionalFormatting sqref="F30:N35">
    <cfRule type="expression" dxfId="1024" priority="7">
      <formula>$J$9="No"</formula>
    </cfRule>
  </conditionalFormatting>
  <conditionalFormatting sqref="F38">
    <cfRule type="cellIs" dxfId="1023" priority="6" operator="notEqual">
      <formula>""</formula>
    </cfRule>
  </conditionalFormatting>
  <conditionalFormatting sqref="F38:N43">
    <cfRule type="expression" dxfId="1022" priority="5">
      <formula>$J$9="No"</formula>
    </cfRule>
  </conditionalFormatting>
  <conditionalFormatting sqref="K71">
    <cfRule type="cellIs" dxfId="1021" priority="4" operator="notEqual">
      <formula>""</formula>
    </cfRule>
  </conditionalFormatting>
  <conditionalFormatting sqref="K71">
    <cfRule type="expression" dxfId="1020" priority="3">
      <formula>$J$9="No"</formula>
    </cfRule>
  </conditionalFormatting>
  <conditionalFormatting sqref="K73">
    <cfRule type="cellIs" dxfId="1019" priority="2" operator="notEqual">
      <formula>""</formula>
    </cfRule>
  </conditionalFormatting>
  <conditionalFormatting sqref="K73">
    <cfRule type="expression" dxfId="1018" priority="1">
      <formula>$J$9="No"</formula>
    </cfRule>
  </conditionalFormatting>
  <dataValidations count="13">
    <dataValidation type="list" allowBlank="1" showInputMessage="1" showErrorMessage="1" sqref="J12" xr:uid="{1CC3B40C-FA30-4F96-9C06-F50C614707FB}">
      <formula1>DLIST_PAN</formula1>
    </dataValidation>
    <dataValidation type="list" allowBlank="1" showInputMessage="1" showErrorMessage="1" sqref="J13:L13 J51:L51" xr:uid="{D7CF0A81-49D0-4B20-9EC3-19044D1C933E}">
      <formula1>DLIST_SUPPLYTYPE</formula1>
    </dataValidation>
    <dataValidation type="list" allowBlank="1" showInputMessage="1" showErrorMessage="1" sqref="J25 J54 K66 K108" xr:uid="{217174D2-3979-4488-B599-3C53255B150A}">
      <formula1>DLIST_SWITCHTYPE</formula1>
    </dataValidation>
    <dataValidation type="list" allowBlank="1" showInputMessage="1" showErrorMessage="1" sqref="J27 J56 K110 K68" xr:uid="{AC873E92-546D-406A-8ED4-529CEDDE76A2}">
      <formula1>DLIST_CURVETYPE</formula1>
    </dataValidation>
    <dataValidation type="list" allowBlank="1" showInputMessage="1" showErrorMessage="1" sqref="K86" xr:uid="{710A3D6B-52F5-42F1-BF62-83090825193A}">
      <formula1>DLIST_GENINLETTYPE</formula1>
    </dataValidation>
    <dataValidation type="list" allowBlank="1" showInputMessage="1" showErrorMessage="1" sqref="J126" xr:uid="{836858FB-4C7E-4E42-BA22-81E025B82079}">
      <formula1>DLIST_GENOWNER</formula1>
    </dataValidation>
    <dataValidation type="list" allowBlank="1" showInputMessage="1" showErrorMessage="1" sqref="K85 J129" xr:uid="{6CB92CCF-E046-465C-92B8-43E660F9E86F}">
      <formula1>DLIST_GENSUPTYPE</formula1>
    </dataValidation>
    <dataValidation type="list" allowBlank="1" showInputMessage="1" showErrorMessage="1" sqref="K87" xr:uid="{6A17DFFC-73AE-49BA-9136-5D3444CC1746}">
      <formula1>DLIST_INLETLOC</formula1>
    </dataValidation>
    <dataValidation type="list" allowBlank="1" showInputMessage="1" showErrorMessage="1" sqref="K63:M63 J49" xr:uid="{27B35A67-1E31-468C-9FA3-6613C4CA2536}">
      <formula1>DLIST_BOARDLOC</formula1>
    </dataValidation>
    <dataValidation type="list" allowBlank="1" showInputMessage="1" showErrorMessage="1" sqref="J50:L51" xr:uid="{6019C301-B150-470C-B9AA-6825A4E85E0D}">
      <formula1>DLIST_MSB_TYPE</formula1>
    </dataValidation>
    <dataValidation type="list" allowBlank="1" showInputMessage="1" showErrorMessage="1" sqref="J9" xr:uid="{E27C06FA-8834-4E01-83BE-4BD491F617FB}">
      <formula1>DLIST_YN</formula1>
    </dataValidation>
    <dataValidation type="list" allowBlank="1" showInputMessage="1" showErrorMessage="1" sqref="J26 J55 K67 K120 K84 K76:K81 K113:K118 K109" xr:uid="{330661B6-0F16-4819-AABE-3FEE78948CB4}">
      <formula1>DLIST_CBSIZE</formula1>
    </dataValidation>
    <dataValidation type="list" allowBlank="1" showInputMessage="1" showErrorMessage="1" sqref="K93:M93" xr:uid="{FAE70194-1F60-4BBF-84E0-63EC28CD046A}">
      <formula1>DLIST_GDZ</formula1>
    </dataValidation>
  </dataValidations>
  <hyperlinks>
    <hyperlink ref="B10" location="'DASH'!A1" display="DASHBOARD" xr:uid="{6BFC7764-EC24-4F67-B4A5-148B1F97C752}"/>
    <hyperlink ref="B11" location="'DES-GL'!A1" display="DESIGN GUIDELINES" xr:uid="{E4C7ED63-85D6-4E3F-A9E2-00C0475E5FD7}"/>
    <hyperlink ref="B13" location="'EXT-MAINS-DT'!A1" display="EXISTING POWER DESIGN" xr:uid="{D22D0EC1-FE59-4C0D-A34F-D18DD7C90200}"/>
    <hyperlink ref="B14" location="'EXT-CALC'!A1" display="EXISTING DEMAND" xr:uid="{2C84C107-8F0D-4D5A-8AA3-D5CB095220A3}"/>
    <hyperlink ref="B16" location="'CALC'!A1" display="POWER CALCULATOR" xr:uid="{27BD7AC5-BB99-4A2A-BA1D-357C7EE06731}"/>
    <hyperlink ref="B17" location="'PLBC-CALC'!A1" display="PLBC CALCULATOR" xr:uid="{147915A8-4191-4C5D-89F4-4EF3E1C511ED}"/>
    <hyperlink ref="B18" location="'VDC'!A1" display="VD CALCULATOR" xr:uid="{6C929614-75E4-4179-B6BA-FB9ABD87F613}"/>
    <hyperlink ref="B20" location="'PRP-SOL'!A1" display="PROPOSED POWER DESIGN" xr:uid="{AC6C8984-E89B-451E-BA44-ED76C19C35A3}"/>
    <hyperlink ref="B25" location="'DC'!A1" display="DOCUMENT CONTROL" xr:uid="{409C050D-012B-4D94-B684-7100A3CAE60D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turntoTop">
                <anchor moveWithCells="1">
                  <from>
                    <xdr:col>15</xdr:col>
                    <xdr:colOff>449580</xdr:colOff>
                    <xdr:row>140</xdr:row>
                    <xdr:rowOff>68580</xdr:rowOff>
                  </from>
                  <to>
                    <xdr:col>17</xdr:col>
                    <xdr:colOff>335280</xdr:colOff>
                    <xdr:row>141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5" name="Button 32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6</xdr:row>
                    <xdr:rowOff>114300</xdr:rowOff>
                  </from>
                  <to>
                    <xdr:col>4</xdr:col>
                    <xdr:colOff>297180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6" name="Button 33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6</xdr:row>
                    <xdr:rowOff>114300</xdr:rowOff>
                  </from>
                  <to>
                    <xdr:col>4</xdr:col>
                    <xdr:colOff>556260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7" name="Button 36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45</xdr:row>
                    <xdr:rowOff>114300</xdr:rowOff>
                  </from>
                  <to>
                    <xdr:col>4</xdr:col>
                    <xdr:colOff>297180</xdr:colOff>
                    <xdr:row>46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8" name="Button 37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45</xdr:row>
                    <xdr:rowOff>114300</xdr:rowOff>
                  </from>
                  <to>
                    <xdr:col>4</xdr:col>
                    <xdr:colOff>556260</xdr:colOff>
                    <xdr:row>46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9" name="Button 38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58</xdr:row>
                    <xdr:rowOff>114300</xdr:rowOff>
                  </from>
                  <to>
                    <xdr:col>4</xdr:col>
                    <xdr:colOff>297180</xdr:colOff>
                    <xdr:row>59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0" name="Button 39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58</xdr:row>
                    <xdr:rowOff>114300</xdr:rowOff>
                  </from>
                  <to>
                    <xdr:col>4</xdr:col>
                    <xdr:colOff>556260</xdr:colOff>
                    <xdr:row>59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11" name="Button 42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104</xdr:row>
                    <xdr:rowOff>114300</xdr:rowOff>
                  </from>
                  <to>
                    <xdr:col>4</xdr:col>
                    <xdr:colOff>297180</xdr:colOff>
                    <xdr:row>105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12" name="Button 43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104</xdr:row>
                    <xdr:rowOff>114300</xdr:rowOff>
                  </from>
                  <to>
                    <xdr:col>4</xdr:col>
                    <xdr:colOff>556260</xdr:colOff>
                    <xdr:row>105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3" name="Button 44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122</xdr:row>
                    <xdr:rowOff>114300</xdr:rowOff>
                  </from>
                  <to>
                    <xdr:col>4</xdr:col>
                    <xdr:colOff>297180</xdr:colOff>
                    <xdr:row>123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4" name="Button 45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122</xdr:row>
                    <xdr:rowOff>114300</xdr:rowOff>
                  </from>
                  <to>
                    <xdr:col>4</xdr:col>
                    <xdr:colOff>556260</xdr:colOff>
                    <xdr:row>123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5" name="Button 54">
              <controlPr defaultSize="0" print="0" autoFill="0" autoPict="0" macro="[0]!Default_BGID">
                <anchor moveWithCells="1">
                  <from>
                    <xdr:col>4</xdr:col>
                    <xdr:colOff>137160</xdr:colOff>
                    <xdr:row>82</xdr:row>
                    <xdr:rowOff>22860</xdr:rowOff>
                  </from>
                  <to>
                    <xdr:col>5</xdr:col>
                    <xdr:colOff>487680</xdr:colOff>
                    <xdr:row>83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79891-A839-41E2-A3EA-8E4C06740E32}">
  <sheetPr codeName="Sheet44">
    <tabColor rgb="FF00A3AD"/>
  </sheetPr>
  <dimension ref="B1:AT186"/>
  <sheetViews>
    <sheetView showGridLines="0" topLeftCell="B50" zoomScaleNormal="100" workbookViewId="0">
      <selection activeCell="U68" sqref="U68"/>
    </sheetView>
  </sheetViews>
  <sheetFormatPr defaultRowHeight="14.45"/>
  <cols>
    <col min="1" max="1" width="0" hidden="1" customWidth="1"/>
    <col min="2" max="4" width="9.28515625" style="1"/>
    <col min="6" max="6" width="5" customWidth="1"/>
    <col min="7" max="14" width="8.28515625" customWidth="1"/>
    <col min="15" max="15" width="2.7109375" customWidth="1"/>
    <col min="16" max="16" width="5" customWidth="1"/>
    <col min="17" max="24" width="8.28515625" customWidth="1"/>
    <col min="25" max="25" width="2.7109375" customWidth="1"/>
    <col min="26" max="26" width="5" customWidth="1"/>
    <col min="27" max="34" width="8.28515625" customWidth="1"/>
  </cols>
  <sheetData>
    <row r="1" spans="2:35" ht="16.5" hidden="1" customHeight="1"/>
    <row r="2" spans="2:35" ht="16.5" customHeight="1">
      <c r="F2" s="287" t="s">
        <v>167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6"/>
      <c r="R2" s="286"/>
      <c r="S2" s="286"/>
      <c r="T2" s="286"/>
    </row>
    <row r="3" spans="2:35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6"/>
      <c r="R3" s="286"/>
      <c r="S3" s="286"/>
      <c r="T3" s="286"/>
    </row>
    <row r="4" spans="2:35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6"/>
      <c r="R4" s="286"/>
      <c r="S4" s="286"/>
      <c r="T4" s="286"/>
    </row>
    <row r="5" spans="2:35" ht="16.5" customHeight="1">
      <c r="F5" s="219" t="s">
        <v>349</v>
      </c>
      <c r="Y5" s="190"/>
      <c r="AA5" s="190"/>
    </row>
    <row r="6" spans="2:35" ht="16.5" customHeight="1"/>
    <row r="7" spans="2:35" ht="16.5" customHeight="1">
      <c r="C7" s="2" t="s">
        <v>152</v>
      </c>
      <c r="D7" s="12">
        <f>DCVer</f>
        <v>12.7</v>
      </c>
      <c r="F7" s="292" t="s">
        <v>350</v>
      </c>
      <c r="G7" s="292"/>
      <c r="H7" s="292"/>
      <c r="I7" s="292"/>
      <c r="J7" s="292"/>
      <c r="K7" s="292"/>
      <c r="L7" s="292"/>
    </row>
    <row r="8" spans="2:35" ht="16.5" customHeight="1">
      <c r="F8" s="292"/>
      <c r="G8" s="292"/>
      <c r="H8" s="292"/>
      <c r="I8" s="292"/>
      <c r="J8" s="292"/>
      <c r="K8" s="292"/>
      <c r="L8" s="292"/>
    </row>
    <row r="9" spans="2:35" ht="16.5" customHeight="1">
      <c r="B9" s="285"/>
      <c r="C9" s="285"/>
      <c r="D9" s="285"/>
      <c r="F9" s="366" t="s">
        <v>351</v>
      </c>
      <c r="G9" s="366"/>
      <c r="H9" s="367" t="s">
        <v>157</v>
      </c>
      <c r="I9" s="368"/>
      <c r="J9" s="16" t="s">
        <v>158</v>
      </c>
      <c r="K9" s="361" t="s">
        <v>352</v>
      </c>
      <c r="L9" s="362"/>
      <c r="M9" s="375" t="s">
        <v>353</v>
      </c>
      <c r="N9" s="376"/>
      <c r="O9" s="16"/>
      <c r="P9" s="366" t="s">
        <v>354</v>
      </c>
      <c r="Q9" s="366"/>
      <c r="R9" s="367" t="s">
        <v>355</v>
      </c>
      <c r="S9" s="368"/>
      <c r="T9" s="16" t="s">
        <v>158</v>
      </c>
      <c r="U9" s="361" t="s">
        <v>356</v>
      </c>
      <c r="V9" s="362"/>
      <c r="W9" s="361" t="s">
        <v>353</v>
      </c>
      <c r="X9" s="362"/>
      <c r="Y9" s="16" t="s">
        <v>158</v>
      </c>
      <c r="Z9" s="366" t="s">
        <v>354</v>
      </c>
      <c r="AA9" s="366"/>
      <c r="AB9" s="367" t="s">
        <v>157</v>
      </c>
      <c r="AC9" s="368"/>
      <c r="AD9" s="16" t="s">
        <v>158</v>
      </c>
      <c r="AE9" s="361" t="s">
        <v>357</v>
      </c>
      <c r="AF9" s="362"/>
      <c r="AG9" s="361" t="s">
        <v>358</v>
      </c>
      <c r="AH9" s="362"/>
      <c r="AI9" s="16" t="s">
        <v>158</v>
      </c>
    </row>
    <row r="10" spans="2:35" ht="16.5" customHeight="1">
      <c r="B10" s="285" t="s">
        <v>151</v>
      </c>
      <c r="C10" s="285"/>
      <c r="D10" s="285"/>
      <c r="F10" s="64" t="s">
        <v>359</v>
      </c>
      <c r="G10" s="363" t="s">
        <v>360</v>
      </c>
      <c r="H10" s="364"/>
      <c r="I10" s="364"/>
      <c r="J10" s="365"/>
      <c r="K10" s="19" t="s">
        <v>361</v>
      </c>
      <c r="L10" s="19" t="s">
        <v>362</v>
      </c>
      <c r="M10" s="19" t="s">
        <v>363</v>
      </c>
      <c r="N10" s="19" t="s">
        <v>364</v>
      </c>
      <c r="P10" s="64" t="s">
        <v>359</v>
      </c>
      <c r="Q10" s="363" t="s">
        <v>360</v>
      </c>
      <c r="R10" s="364"/>
      <c r="S10" s="364"/>
      <c r="T10" s="365"/>
      <c r="U10" s="19" t="s">
        <v>361</v>
      </c>
      <c r="V10" s="19" t="s">
        <v>362</v>
      </c>
      <c r="W10" s="19" t="s">
        <v>363</v>
      </c>
      <c r="X10" s="19" t="s">
        <v>364</v>
      </c>
      <c r="Z10" s="64" t="s">
        <v>359</v>
      </c>
      <c r="AA10" s="363" t="s">
        <v>360</v>
      </c>
      <c r="AB10" s="364"/>
      <c r="AC10" s="364"/>
      <c r="AD10" s="365"/>
      <c r="AE10" s="19" t="s">
        <v>361</v>
      </c>
      <c r="AF10" s="19" t="s">
        <v>362</v>
      </c>
      <c r="AG10" s="19" t="s">
        <v>363</v>
      </c>
      <c r="AH10" s="19" t="s">
        <v>364</v>
      </c>
    </row>
    <row r="11" spans="2:35" ht="16.5" customHeight="1">
      <c r="B11" s="285" t="s">
        <v>155</v>
      </c>
      <c r="C11" s="285"/>
      <c r="D11" s="285"/>
      <c r="F11" s="133" t="str" cm="1">
        <f t="array" aca="1" ref="F11" ca="1">IF(SUMPRODUCT(--ISNUMBER(SEARCH(DLIST_SONTU,G11)))&gt;0,"SON","")</f>
        <v/>
      </c>
      <c r="G11" s="354" t="s">
        <v>365</v>
      </c>
      <c r="H11" s="355"/>
      <c r="I11" s="355"/>
      <c r="J11" s="356"/>
      <c r="K11" s="202" t="s">
        <v>366</v>
      </c>
      <c r="L11" s="202">
        <v>3</v>
      </c>
      <c r="M11" s="20">
        <f t="shared" ref="M11:M35" si="0">IFERROR((VLOOKUP(G11,DB_RANEQ,5,0))*L11,"")</f>
        <v>1581</v>
      </c>
      <c r="N11" s="21">
        <f t="shared" ref="N11:N35" si="1">IFERROR((VLOOKUP(G11,DB_RANEQ,6,0))*L11,"")</f>
        <v>2677.5</v>
      </c>
      <c r="P11" s="133" t="str" cm="1">
        <f t="array" aca="1" ref="P11" ca="1">IF(SUMPRODUCT(--ISNUMBER(SEARCH(DLIST_SONTU,Q11)))&gt;0,"SON","")</f>
        <v/>
      </c>
      <c r="Q11" s="354" t="s">
        <v>367</v>
      </c>
      <c r="R11" s="355"/>
      <c r="S11" s="355"/>
      <c r="T11" s="356"/>
      <c r="U11" s="202" t="s">
        <v>366</v>
      </c>
      <c r="V11" s="202">
        <v>3</v>
      </c>
      <c r="W11" s="20">
        <f t="shared" ref="W11:W35" si="2">IFERROR((VLOOKUP(Q11,DB_RANEQ,5,0))*V11,"")</f>
        <v>800.69999999999993</v>
      </c>
      <c r="X11" s="21">
        <f t="shared" ref="X11:X35" si="3">IFERROR((VLOOKUP(Q11,DB_RANEQ,6,0))*V11,"")</f>
        <v>979.19999999999993</v>
      </c>
      <c r="Z11" s="133" t="str" cm="1">
        <f t="array" aca="1" ref="Z11" ca="1">IF(SUMPRODUCT(--ISNUMBER(SEARCH(DLIST_SONTU,AA11)))&gt;0,"SON","")</f>
        <v/>
      </c>
      <c r="AA11" s="354"/>
      <c r="AB11" s="355"/>
      <c r="AC11" s="355"/>
      <c r="AD11" s="356"/>
      <c r="AE11" s="202"/>
      <c r="AF11" s="202"/>
      <c r="AG11" s="20" t="str">
        <f t="shared" ref="AG11:AG35" si="4">IFERROR((VLOOKUP(AA11,DB_RANEQ,5,0))*AF11,"")</f>
        <v/>
      </c>
      <c r="AH11" s="21" t="str">
        <f t="shared" ref="AH11:AH35" si="5">IFERROR((VLOOKUP(AA11,DB_RANEQ,6,0))*AF11,"")</f>
        <v/>
      </c>
    </row>
    <row r="12" spans="2:35" ht="16.5" customHeight="1">
      <c r="B12" s="285"/>
      <c r="C12" s="285"/>
      <c r="D12" s="285"/>
      <c r="F12" s="133" t="str" cm="1">
        <f t="array" aca="1" ref="F12" ca="1">IF(SUMPRODUCT(--ISNUMBER(SEARCH(DLIST_SONTU,G12)))&gt;0,"SON","")</f>
        <v>SON</v>
      </c>
      <c r="G12" s="354" t="s">
        <v>368</v>
      </c>
      <c r="H12" s="355"/>
      <c r="I12" s="355"/>
      <c r="J12" s="356"/>
      <c r="K12" s="202" t="s">
        <v>366</v>
      </c>
      <c r="L12" s="202">
        <v>3</v>
      </c>
      <c r="M12" s="20">
        <f t="shared" si="0"/>
        <v>2154.75</v>
      </c>
      <c r="N12" s="21">
        <f t="shared" si="1"/>
        <v>4653.75</v>
      </c>
      <c r="P12" s="133" t="str" cm="1">
        <f t="array" aca="1" ref="P12" ca="1">IF(SUMPRODUCT(--ISNUMBER(SEARCH(DLIST_SONTU,Q12)))&gt;0,"SON","")</f>
        <v/>
      </c>
      <c r="Q12" s="354" t="s">
        <v>369</v>
      </c>
      <c r="R12" s="355"/>
      <c r="S12" s="355"/>
      <c r="T12" s="356"/>
      <c r="U12" s="202" t="s">
        <v>366</v>
      </c>
      <c r="V12" s="202">
        <v>3</v>
      </c>
      <c r="W12" s="20">
        <f t="shared" si="2"/>
        <v>629.84999999999991</v>
      </c>
      <c r="X12" s="21">
        <f t="shared" si="3"/>
        <v>754.8</v>
      </c>
      <c r="Z12" s="133" t="str" cm="1">
        <f t="array" aca="1" ref="Z12" ca="1">IF(SUMPRODUCT(--ISNUMBER(SEARCH(DLIST_SONTU,AA12)))&gt;0,"SON","")</f>
        <v/>
      </c>
      <c r="AA12" s="354"/>
      <c r="AB12" s="355"/>
      <c r="AC12" s="355"/>
      <c r="AD12" s="356"/>
      <c r="AE12" s="202"/>
      <c r="AF12" s="202"/>
      <c r="AG12" s="20" t="str">
        <f t="shared" si="4"/>
        <v/>
      </c>
      <c r="AH12" s="21" t="str">
        <f t="shared" si="5"/>
        <v/>
      </c>
    </row>
    <row r="13" spans="2:35" ht="16.5" customHeight="1">
      <c r="B13" s="285" t="s">
        <v>159</v>
      </c>
      <c r="C13" s="285"/>
      <c r="D13" s="285"/>
      <c r="F13" s="133" t="str" cm="1">
        <f t="array" aca="1" ref="F13" ca="1">IF(SUMPRODUCT(--ISNUMBER(SEARCH(DLIST_SONTU,G13)))&gt;0,"SON","")</f>
        <v>SON</v>
      </c>
      <c r="G13" s="354" t="s">
        <v>370</v>
      </c>
      <c r="H13" s="355"/>
      <c r="I13" s="355"/>
      <c r="J13" s="356"/>
      <c r="K13" s="202" t="s">
        <v>366</v>
      </c>
      <c r="L13" s="202">
        <v>3</v>
      </c>
      <c r="M13" s="20">
        <f t="shared" si="0"/>
        <v>1058.25</v>
      </c>
      <c r="N13" s="21">
        <f t="shared" si="1"/>
        <v>2218.5</v>
      </c>
      <c r="P13" s="133" t="str" cm="1">
        <f t="array" aca="1" ref="P13" ca="1">IF(SUMPRODUCT(--ISNUMBER(SEARCH(DLIST_SONTU,Q13)))&gt;0,"SON","")</f>
        <v>SON</v>
      </c>
      <c r="Q13" s="354" t="s">
        <v>371</v>
      </c>
      <c r="R13" s="355"/>
      <c r="S13" s="355"/>
      <c r="T13" s="356"/>
      <c r="U13" s="202" t="s">
        <v>366</v>
      </c>
      <c r="V13" s="202">
        <v>6</v>
      </c>
      <c r="W13" s="20">
        <f t="shared" si="2"/>
        <v>3967.7999999999997</v>
      </c>
      <c r="X13" s="21">
        <f t="shared" si="3"/>
        <v>4977.6000000000004</v>
      </c>
      <c r="Z13" s="133" t="str" cm="1">
        <f t="array" aca="1" ref="Z13" ca="1">IF(SUMPRODUCT(--ISNUMBER(SEARCH(DLIST_SONTU,AA13)))&gt;0,"SON","")</f>
        <v/>
      </c>
      <c r="AA13" s="354"/>
      <c r="AB13" s="355"/>
      <c r="AC13" s="355"/>
      <c r="AD13" s="356"/>
      <c r="AE13" s="202"/>
      <c r="AF13" s="202"/>
      <c r="AG13" s="20" t="str">
        <f t="shared" si="4"/>
        <v/>
      </c>
      <c r="AH13" s="21" t="str">
        <f t="shared" si="5"/>
        <v/>
      </c>
    </row>
    <row r="14" spans="2:35" ht="16.5" customHeight="1">
      <c r="B14" s="285" t="s">
        <v>162</v>
      </c>
      <c r="C14" s="285"/>
      <c r="D14" s="285"/>
      <c r="F14" s="133" t="str" cm="1">
        <f t="array" aca="1" ref="F14" ca="1">IF(SUMPRODUCT(--ISNUMBER(SEARCH(DLIST_SONTU,G14)))&gt;0,"SON","")</f>
        <v/>
      </c>
      <c r="G14" s="354" t="s">
        <v>372</v>
      </c>
      <c r="H14" s="355"/>
      <c r="I14" s="355"/>
      <c r="J14" s="356"/>
      <c r="K14" s="202" t="s">
        <v>373</v>
      </c>
      <c r="L14" s="202">
        <v>1</v>
      </c>
      <c r="M14" s="20">
        <f t="shared" si="0"/>
        <v>139.4</v>
      </c>
      <c r="N14" s="21">
        <f t="shared" si="1"/>
        <v>158.1</v>
      </c>
      <c r="P14" s="133" t="str" cm="1">
        <f t="array" aca="1" ref="P14" ca="1">IF(SUMPRODUCT(--ISNUMBER(SEARCH(DLIST_SONTU,Q14)))&gt;0,"SON","")</f>
        <v>SON</v>
      </c>
      <c r="Q14" s="354" t="s">
        <v>374</v>
      </c>
      <c r="R14" s="355"/>
      <c r="S14" s="355"/>
      <c r="T14" s="356"/>
      <c r="U14" s="202" t="s">
        <v>366</v>
      </c>
      <c r="V14" s="202">
        <v>3</v>
      </c>
      <c r="W14" s="20">
        <f t="shared" si="2"/>
        <v>3026.85</v>
      </c>
      <c r="X14" s="21">
        <f t="shared" si="3"/>
        <v>3424.6499999999996</v>
      </c>
      <c r="Z14" s="133" t="str" cm="1">
        <f t="array" aca="1" ref="Z14" ca="1">IF(SUMPRODUCT(--ISNUMBER(SEARCH(DLIST_SONTU,AA14)))&gt;0,"SON","")</f>
        <v/>
      </c>
      <c r="AA14" s="354"/>
      <c r="AB14" s="355"/>
      <c r="AC14" s="355"/>
      <c r="AD14" s="356"/>
      <c r="AE14" s="202"/>
      <c r="AF14" s="202"/>
      <c r="AG14" s="20" t="str">
        <f t="shared" si="4"/>
        <v/>
      </c>
      <c r="AH14" s="21" t="str">
        <f t="shared" si="5"/>
        <v/>
      </c>
    </row>
    <row r="15" spans="2:35" ht="16.5" customHeight="1">
      <c r="B15" s="285"/>
      <c r="C15" s="285"/>
      <c r="D15" s="285"/>
      <c r="F15" s="133" t="str" cm="1">
        <f t="array" aca="1" ref="F15" ca="1">IF(SUMPRODUCT(--ISNUMBER(SEARCH(DLIST_SONTU,G15)))&gt;0,"SON","")</f>
        <v/>
      </c>
      <c r="G15" s="354"/>
      <c r="H15" s="355"/>
      <c r="I15" s="355"/>
      <c r="J15" s="356"/>
      <c r="K15" s="202"/>
      <c r="L15" s="202"/>
      <c r="M15" s="20" t="str">
        <f t="shared" si="0"/>
        <v/>
      </c>
      <c r="N15" s="21" t="str">
        <f t="shared" si="1"/>
        <v/>
      </c>
      <c r="P15" s="133" t="str" cm="1">
        <f t="array" aca="1" ref="P15" ca="1">IF(SUMPRODUCT(--ISNUMBER(SEARCH(DLIST_SONTU,Q15)))&gt;0,"SON","")</f>
        <v/>
      </c>
      <c r="Q15" s="354" t="s">
        <v>375</v>
      </c>
      <c r="R15" s="355"/>
      <c r="S15" s="355"/>
      <c r="T15" s="356"/>
      <c r="U15" s="202" t="s">
        <v>373</v>
      </c>
      <c r="V15" s="202">
        <v>1</v>
      </c>
      <c r="W15" s="20">
        <f t="shared" si="2"/>
        <v>17</v>
      </c>
      <c r="X15" s="21">
        <f t="shared" si="3"/>
        <v>34</v>
      </c>
      <c r="Z15" s="133" t="str" cm="1">
        <f t="array" aca="1" ref="Z15" ca="1">IF(SUMPRODUCT(--ISNUMBER(SEARCH(DLIST_SONTU,AA15)))&gt;0,"SON","")</f>
        <v/>
      </c>
      <c r="AA15" s="354"/>
      <c r="AB15" s="355"/>
      <c r="AC15" s="355"/>
      <c r="AD15" s="356"/>
      <c r="AE15" s="202"/>
      <c r="AF15" s="202"/>
      <c r="AG15" s="20" t="str">
        <f t="shared" si="4"/>
        <v/>
      </c>
      <c r="AH15" s="21" t="str">
        <f t="shared" si="5"/>
        <v/>
      </c>
    </row>
    <row r="16" spans="2:35" ht="16.5" customHeight="1">
      <c r="B16" s="290" t="s">
        <v>167</v>
      </c>
      <c r="C16" s="285"/>
      <c r="D16" s="285"/>
      <c r="F16" s="133" t="str" cm="1">
        <f t="array" aca="1" ref="F16" ca="1">IF(SUMPRODUCT(--ISNUMBER(SEARCH(DLIST_SONTU,G16)))&gt;0,"SON","")</f>
        <v/>
      </c>
      <c r="G16" s="354"/>
      <c r="H16" s="355"/>
      <c r="I16" s="355"/>
      <c r="J16" s="356"/>
      <c r="K16" s="202"/>
      <c r="L16" s="202"/>
      <c r="M16" s="20" t="str">
        <f t="shared" si="0"/>
        <v/>
      </c>
      <c r="N16" s="21" t="str">
        <f t="shared" si="1"/>
        <v/>
      </c>
      <c r="P16" s="133" t="str" cm="1">
        <f t="array" aca="1" ref="P16" ca="1">IF(SUMPRODUCT(--ISNUMBER(SEARCH(DLIST_SONTU,Q16)))&gt;0,"SON","")</f>
        <v/>
      </c>
      <c r="Q16" s="354" t="s">
        <v>376</v>
      </c>
      <c r="R16" s="355"/>
      <c r="S16" s="355"/>
      <c r="T16" s="356"/>
      <c r="U16" s="202" t="s">
        <v>373</v>
      </c>
      <c r="V16" s="202">
        <v>1</v>
      </c>
      <c r="W16" s="20">
        <f t="shared" si="2"/>
        <v>44.199999999999996</v>
      </c>
      <c r="X16" s="21">
        <f t="shared" si="3"/>
        <v>48.449999999999996</v>
      </c>
      <c r="Z16" s="133" t="str" cm="1">
        <f t="array" aca="1" ref="Z16" ca="1">IF(SUMPRODUCT(--ISNUMBER(SEARCH(DLIST_SONTU,AA16)))&gt;0,"SON","")</f>
        <v/>
      </c>
      <c r="AA16" s="354"/>
      <c r="AB16" s="355"/>
      <c r="AC16" s="355"/>
      <c r="AD16" s="356"/>
      <c r="AE16" s="202"/>
      <c r="AF16" s="202"/>
      <c r="AG16" s="20" t="str">
        <f t="shared" si="4"/>
        <v/>
      </c>
      <c r="AH16" s="21" t="str">
        <f t="shared" si="5"/>
        <v/>
      </c>
    </row>
    <row r="17" spans="2:34" ht="16.5" customHeight="1">
      <c r="B17" s="285" t="s">
        <v>170</v>
      </c>
      <c r="C17" s="285"/>
      <c r="D17" s="285"/>
      <c r="F17" s="133" t="str" cm="1">
        <f t="array" aca="1" ref="F17" ca="1">IF(SUMPRODUCT(--ISNUMBER(SEARCH(DLIST_SONTU,G17)))&gt;0,"SON","")</f>
        <v/>
      </c>
      <c r="G17" s="354"/>
      <c r="H17" s="355"/>
      <c r="I17" s="355"/>
      <c r="J17" s="356"/>
      <c r="K17" s="202"/>
      <c r="L17" s="202"/>
      <c r="M17" s="20" t="str">
        <f t="shared" si="0"/>
        <v/>
      </c>
      <c r="N17" s="21" t="str">
        <f t="shared" si="1"/>
        <v/>
      </c>
      <c r="P17" s="133" t="str" cm="1">
        <f t="array" aca="1" ref="P17" ca="1">IF(SUMPRODUCT(--ISNUMBER(SEARCH(DLIST_SONTU,Q17)))&gt;0,"SON","")</f>
        <v/>
      </c>
      <c r="Q17" s="354" t="s">
        <v>377</v>
      </c>
      <c r="R17" s="355"/>
      <c r="S17" s="355"/>
      <c r="T17" s="356"/>
      <c r="U17" s="202" t="s">
        <v>373</v>
      </c>
      <c r="V17" s="202">
        <v>2</v>
      </c>
      <c r="W17" s="20">
        <f t="shared" si="2"/>
        <v>119</v>
      </c>
      <c r="X17" s="21">
        <f t="shared" si="3"/>
        <v>130.9</v>
      </c>
      <c r="Z17" s="133" t="str" cm="1">
        <f t="array" aca="1" ref="Z17" ca="1">IF(SUMPRODUCT(--ISNUMBER(SEARCH(DLIST_SONTU,AA17)))&gt;0,"SON","")</f>
        <v/>
      </c>
      <c r="AA17" s="354"/>
      <c r="AB17" s="355"/>
      <c r="AC17" s="355"/>
      <c r="AD17" s="356"/>
      <c r="AE17" s="202"/>
      <c r="AF17" s="202"/>
      <c r="AG17" s="20" t="str">
        <f t="shared" si="4"/>
        <v/>
      </c>
      <c r="AH17" s="21" t="str">
        <f t="shared" si="5"/>
        <v/>
      </c>
    </row>
    <row r="18" spans="2:34" ht="16.5" customHeight="1">
      <c r="B18" s="285" t="s">
        <v>173</v>
      </c>
      <c r="C18" s="285"/>
      <c r="D18" s="285"/>
      <c r="F18" s="133" t="str" cm="1">
        <f t="array" aca="1" ref="F18" ca="1">IF(SUMPRODUCT(--ISNUMBER(SEARCH(DLIST_SONTU,G18)))&gt;0,"SON","")</f>
        <v/>
      </c>
      <c r="G18" s="354"/>
      <c r="H18" s="355"/>
      <c r="I18" s="355"/>
      <c r="J18" s="356"/>
      <c r="K18" s="202"/>
      <c r="L18" s="202"/>
      <c r="M18" s="20" t="str">
        <f t="shared" si="0"/>
        <v/>
      </c>
      <c r="N18" s="21" t="str">
        <f t="shared" si="1"/>
        <v/>
      </c>
      <c r="P18" s="133" t="str" cm="1">
        <f t="array" aca="1" ref="P18" ca="1">IF(SUMPRODUCT(--ISNUMBER(SEARCH(DLIST_SONTU,Q18)))&gt;0,"SON","")</f>
        <v/>
      </c>
      <c r="Q18" s="354"/>
      <c r="R18" s="355"/>
      <c r="S18" s="355"/>
      <c r="T18" s="356"/>
      <c r="U18" s="202"/>
      <c r="V18" s="202"/>
      <c r="W18" s="20" t="str">
        <f t="shared" si="2"/>
        <v/>
      </c>
      <c r="X18" s="21" t="str">
        <f t="shared" si="3"/>
        <v/>
      </c>
      <c r="Z18" s="133" t="str" cm="1">
        <f t="array" aca="1" ref="Z18" ca="1">IF(SUMPRODUCT(--ISNUMBER(SEARCH(DLIST_SONTU,AA18)))&gt;0,"SON","")</f>
        <v/>
      </c>
      <c r="AA18" s="354"/>
      <c r="AB18" s="355"/>
      <c r="AC18" s="355"/>
      <c r="AD18" s="356"/>
      <c r="AE18" s="202"/>
      <c r="AF18" s="202"/>
      <c r="AG18" s="20" t="str">
        <f t="shared" si="4"/>
        <v/>
      </c>
      <c r="AH18" s="21" t="str">
        <f t="shared" si="5"/>
        <v/>
      </c>
    </row>
    <row r="19" spans="2:34" ht="16.5" customHeight="1">
      <c r="B19" s="285"/>
      <c r="C19" s="285"/>
      <c r="D19" s="285"/>
      <c r="F19" s="133" t="str" cm="1">
        <f t="array" aca="1" ref="F19" ca="1">IF(SUMPRODUCT(--ISNUMBER(SEARCH(DLIST_SONTU,G19)))&gt;0,"SON","")</f>
        <v/>
      </c>
      <c r="G19" s="354"/>
      <c r="H19" s="355"/>
      <c r="I19" s="355"/>
      <c r="J19" s="356"/>
      <c r="K19" s="202"/>
      <c r="L19" s="202"/>
      <c r="M19" s="20" t="str">
        <f t="shared" si="0"/>
        <v/>
      </c>
      <c r="N19" s="21" t="str">
        <f t="shared" si="1"/>
        <v/>
      </c>
      <c r="P19" s="133" t="str" cm="1">
        <f t="array" aca="1" ref="P19" ca="1">IF(SUMPRODUCT(--ISNUMBER(SEARCH(DLIST_SONTU,Q19)))&gt;0,"SON","")</f>
        <v/>
      </c>
      <c r="Q19" s="354"/>
      <c r="R19" s="355"/>
      <c r="S19" s="355"/>
      <c r="T19" s="356"/>
      <c r="U19" s="202"/>
      <c r="V19" s="202"/>
      <c r="W19" s="20" t="str">
        <f t="shared" si="2"/>
        <v/>
      </c>
      <c r="X19" s="21" t="str">
        <f t="shared" si="3"/>
        <v/>
      </c>
      <c r="Z19" s="133" t="str" cm="1">
        <f t="array" aca="1" ref="Z19" ca="1">IF(SUMPRODUCT(--ISNUMBER(SEARCH(DLIST_SONTU,AA19)))&gt;0,"SON","")</f>
        <v/>
      </c>
      <c r="AA19" s="354"/>
      <c r="AB19" s="355"/>
      <c r="AC19" s="355"/>
      <c r="AD19" s="356"/>
      <c r="AE19" s="202"/>
      <c r="AF19" s="202"/>
      <c r="AG19" s="20" t="str">
        <f t="shared" si="4"/>
        <v/>
      </c>
      <c r="AH19" s="21" t="str">
        <f t="shared" si="5"/>
        <v/>
      </c>
    </row>
    <row r="20" spans="2:34" ht="16.5" customHeight="1">
      <c r="B20" s="285" t="s">
        <v>176</v>
      </c>
      <c r="C20" s="285"/>
      <c r="D20" s="285"/>
      <c r="F20" s="133" t="str" cm="1">
        <f t="array" aca="1" ref="F20" ca="1">IF(SUMPRODUCT(--ISNUMBER(SEARCH(DLIST_SONTU,G20)))&gt;0,"SON","")</f>
        <v/>
      </c>
      <c r="G20" s="354"/>
      <c r="H20" s="355"/>
      <c r="I20" s="355"/>
      <c r="J20" s="356"/>
      <c r="K20" s="202"/>
      <c r="L20" s="202"/>
      <c r="M20" s="20" t="str">
        <f t="shared" si="0"/>
        <v/>
      </c>
      <c r="N20" s="21" t="str">
        <f t="shared" si="1"/>
        <v/>
      </c>
      <c r="P20" s="133" t="str" cm="1">
        <f t="array" aca="1" ref="P20" ca="1">IF(SUMPRODUCT(--ISNUMBER(SEARCH(DLIST_SONTU,Q20)))&gt;0,"SON","")</f>
        <v/>
      </c>
      <c r="Q20" s="354"/>
      <c r="R20" s="355"/>
      <c r="S20" s="355"/>
      <c r="T20" s="356"/>
      <c r="U20" s="202"/>
      <c r="V20" s="202"/>
      <c r="W20" s="20" t="str">
        <f t="shared" si="2"/>
        <v/>
      </c>
      <c r="X20" s="21" t="str">
        <f t="shared" si="3"/>
        <v/>
      </c>
      <c r="Z20" s="133" t="str" cm="1">
        <f t="array" aca="1" ref="Z20" ca="1">IF(SUMPRODUCT(--ISNUMBER(SEARCH(DLIST_SONTU,AA20)))&gt;0,"SON","")</f>
        <v/>
      </c>
      <c r="AA20" s="354"/>
      <c r="AB20" s="355"/>
      <c r="AC20" s="355"/>
      <c r="AD20" s="356"/>
      <c r="AE20" s="202"/>
      <c r="AF20" s="202"/>
      <c r="AG20" s="20" t="str">
        <f t="shared" si="4"/>
        <v/>
      </c>
      <c r="AH20" s="21" t="str">
        <f t="shared" si="5"/>
        <v/>
      </c>
    </row>
    <row r="21" spans="2:34" ht="16.5" customHeight="1">
      <c r="B21" s="285"/>
      <c r="C21" s="285"/>
      <c r="D21" s="285"/>
      <c r="F21" s="133" t="str" cm="1">
        <f t="array" aca="1" ref="F21" ca="1">IF(SUMPRODUCT(--ISNUMBER(SEARCH(DLIST_SONTU,G21)))&gt;0,"SON","")</f>
        <v/>
      </c>
      <c r="G21" s="354"/>
      <c r="H21" s="355"/>
      <c r="I21" s="355"/>
      <c r="J21" s="356"/>
      <c r="K21" s="202"/>
      <c r="L21" s="202"/>
      <c r="M21" s="20" t="str">
        <f t="shared" si="0"/>
        <v/>
      </c>
      <c r="N21" s="21" t="str">
        <f t="shared" si="1"/>
        <v/>
      </c>
      <c r="P21" s="133" t="str" cm="1">
        <f t="array" aca="1" ref="P21" ca="1">IF(SUMPRODUCT(--ISNUMBER(SEARCH(DLIST_SONTU,Q21)))&gt;0,"SON","")</f>
        <v/>
      </c>
      <c r="Q21" s="354"/>
      <c r="R21" s="355"/>
      <c r="S21" s="355"/>
      <c r="T21" s="356"/>
      <c r="U21" s="202"/>
      <c r="V21" s="202"/>
      <c r="W21" s="20" t="str">
        <f t="shared" si="2"/>
        <v/>
      </c>
      <c r="X21" s="21" t="str">
        <f t="shared" si="3"/>
        <v/>
      </c>
      <c r="Z21" s="133" t="str" cm="1">
        <f t="array" aca="1" ref="Z21" ca="1">IF(SUMPRODUCT(--ISNUMBER(SEARCH(DLIST_SONTU,AA21)))&gt;0,"SON","")</f>
        <v/>
      </c>
      <c r="AA21" s="354"/>
      <c r="AB21" s="355"/>
      <c r="AC21" s="355"/>
      <c r="AD21" s="356"/>
      <c r="AE21" s="202"/>
      <c r="AF21" s="202"/>
      <c r="AG21" s="20" t="str">
        <f t="shared" si="4"/>
        <v/>
      </c>
      <c r="AH21" s="21" t="str">
        <f t="shared" si="5"/>
        <v/>
      </c>
    </row>
    <row r="22" spans="2:34" ht="16.5" customHeight="1">
      <c r="B22" s="285"/>
      <c r="C22" s="285"/>
      <c r="D22" s="285"/>
      <c r="F22" s="133" t="str" cm="1">
        <f t="array" aca="1" ref="F22" ca="1">IF(SUMPRODUCT(--ISNUMBER(SEARCH(DLIST_SONTU,G22)))&gt;0,"SON","")</f>
        <v/>
      </c>
      <c r="G22" s="354"/>
      <c r="H22" s="355"/>
      <c r="I22" s="355"/>
      <c r="J22" s="356"/>
      <c r="K22" s="202"/>
      <c r="L22" s="202"/>
      <c r="M22" s="20" t="str">
        <f t="shared" si="0"/>
        <v/>
      </c>
      <c r="N22" s="21" t="str">
        <f t="shared" si="1"/>
        <v/>
      </c>
      <c r="P22" s="133" t="str" cm="1">
        <f t="array" aca="1" ref="P22" ca="1">IF(SUMPRODUCT(--ISNUMBER(SEARCH(DLIST_SONTU,Q22)))&gt;0,"SON","")</f>
        <v/>
      </c>
      <c r="Q22" s="354"/>
      <c r="R22" s="355"/>
      <c r="S22" s="355"/>
      <c r="T22" s="356"/>
      <c r="U22" s="202"/>
      <c r="V22" s="202"/>
      <c r="W22" s="20" t="str">
        <f t="shared" si="2"/>
        <v/>
      </c>
      <c r="X22" s="21" t="str">
        <f t="shared" si="3"/>
        <v/>
      </c>
      <c r="Z22" s="133" t="str" cm="1">
        <f t="array" aca="1" ref="Z22" ca="1">IF(SUMPRODUCT(--ISNUMBER(SEARCH(DLIST_SONTU,AA22)))&gt;0,"SON","")</f>
        <v/>
      </c>
      <c r="AA22" s="354"/>
      <c r="AB22" s="355"/>
      <c r="AC22" s="355"/>
      <c r="AD22" s="356"/>
      <c r="AE22" s="202"/>
      <c r="AF22" s="202"/>
      <c r="AG22" s="20" t="str">
        <f t="shared" si="4"/>
        <v/>
      </c>
      <c r="AH22" s="21" t="str">
        <f t="shared" si="5"/>
        <v/>
      </c>
    </row>
    <row r="23" spans="2:34" ht="16.5" customHeight="1">
      <c r="B23" s="285"/>
      <c r="C23" s="285"/>
      <c r="D23" s="285"/>
      <c r="F23" s="133" t="str" cm="1">
        <f t="array" aca="1" ref="F23" ca="1">IF(SUMPRODUCT(--ISNUMBER(SEARCH(DLIST_SONTU,G23)))&gt;0,"SON","")</f>
        <v/>
      </c>
      <c r="G23" s="354"/>
      <c r="H23" s="355"/>
      <c r="I23" s="355"/>
      <c r="J23" s="356"/>
      <c r="K23" s="202"/>
      <c r="L23" s="202"/>
      <c r="M23" s="20" t="str">
        <f t="shared" si="0"/>
        <v/>
      </c>
      <c r="N23" s="21" t="str">
        <f t="shared" si="1"/>
        <v/>
      </c>
      <c r="P23" s="133" t="str" cm="1">
        <f t="array" aca="1" ref="P23" ca="1">IF(SUMPRODUCT(--ISNUMBER(SEARCH(DLIST_SONTU,Q23)))&gt;0,"SON","")</f>
        <v/>
      </c>
      <c r="Q23" s="354"/>
      <c r="R23" s="355"/>
      <c r="S23" s="355"/>
      <c r="T23" s="356"/>
      <c r="U23" s="202"/>
      <c r="V23" s="202"/>
      <c r="W23" s="20" t="str">
        <f t="shared" si="2"/>
        <v/>
      </c>
      <c r="X23" s="21" t="str">
        <f t="shared" si="3"/>
        <v/>
      </c>
      <c r="Z23" s="133" t="str" cm="1">
        <f t="array" aca="1" ref="Z23" ca="1">IF(SUMPRODUCT(--ISNUMBER(SEARCH(DLIST_SONTU,AA23)))&gt;0,"SON","")</f>
        <v/>
      </c>
      <c r="AA23" s="354"/>
      <c r="AB23" s="355"/>
      <c r="AC23" s="355"/>
      <c r="AD23" s="356"/>
      <c r="AE23" s="202"/>
      <c r="AF23" s="202"/>
      <c r="AG23" s="20" t="str">
        <f t="shared" si="4"/>
        <v/>
      </c>
      <c r="AH23" s="21" t="str">
        <f t="shared" si="5"/>
        <v/>
      </c>
    </row>
    <row r="24" spans="2:34" ht="16.5" customHeight="1">
      <c r="B24" s="285"/>
      <c r="C24" s="285"/>
      <c r="D24" s="285"/>
      <c r="F24" s="133" t="str" cm="1">
        <f t="array" aca="1" ref="F24" ca="1">IF(SUMPRODUCT(--ISNUMBER(SEARCH(DLIST_SONTU,G24)))&gt;0,"SON","")</f>
        <v/>
      </c>
      <c r="G24" s="354"/>
      <c r="H24" s="355"/>
      <c r="I24" s="355"/>
      <c r="J24" s="356"/>
      <c r="K24" s="202"/>
      <c r="L24" s="202"/>
      <c r="M24" s="20" t="str">
        <f t="shared" si="0"/>
        <v/>
      </c>
      <c r="N24" s="21" t="str">
        <f t="shared" si="1"/>
        <v/>
      </c>
      <c r="P24" s="133" t="str" cm="1">
        <f t="array" aca="1" ref="P24" ca="1">IF(SUMPRODUCT(--ISNUMBER(SEARCH(DLIST_SONTU,Q24)))&gt;0,"SON","")</f>
        <v/>
      </c>
      <c r="Q24" s="354"/>
      <c r="R24" s="355"/>
      <c r="S24" s="355"/>
      <c r="T24" s="356"/>
      <c r="U24" s="202"/>
      <c r="V24" s="202"/>
      <c r="W24" s="20" t="str">
        <f t="shared" si="2"/>
        <v/>
      </c>
      <c r="X24" s="21" t="str">
        <f t="shared" si="3"/>
        <v/>
      </c>
      <c r="Z24" s="133" t="str" cm="1">
        <f t="array" aca="1" ref="Z24" ca="1">IF(SUMPRODUCT(--ISNUMBER(SEARCH(DLIST_SONTU,AA24)))&gt;0,"SON","")</f>
        <v/>
      </c>
      <c r="AA24" s="354"/>
      <c r="AB24" s="355"/>
      <c r="AC24" s="355"/>
      <c r="AD24" s="356"/>
      <c r="AE24" s="202"/>
      <c r="AF24" s="202"/>
      <c r="AG24" s="20" t="str">
        <f t="shared" si="4"/>
        <v/>
      </c>
      <c r="AH24" s="21" t="str">
        <f t="shared" si="5"/>
        <v/>
      </c>
    </row>
    <row r="25" spans="2:34" ht="16.5" customHeight="1">
      <c r="B25" s="285" t="s">
        <v>182</v>
      </c>
      <c r="C25" s="285"/>
      <c r="D25" s="285"/>
      <c r="F25" s="133" t="str" cm="1">
        <f t="array" aca="1" ref="F25" ca="1">IF(SUMPRODUCT(--ISNUMBER(SEARCH(DLIST_SONTU,G25)))&gt;0,"SON","")</f>
        <v/>
      </c>
      <c r="G25" s="354"/>
      <c r="H25" s="355"/>
      <c r="I25" s="355"/>
      <c r="J25" s="356"/>
      <c r="K25" s="202"/>
      <c r="L25" s="202"/>
      <c r="M25" s="20" t="str">
        <f t="shared" si="0"/>
        <v/>
      </c>
      <c r="N25" s="21" t="str">
        <f t="shared" si="1"/>
        <v/>
      </c>
      <c r="P25" s="133" t="str" cm="1">
        <f t="array" aca="1" ref="P25" ca="1">IF(SUMPRODUCT(--ISNUMBER(SEARCH(DLIST_SONTU,Q25)))&gt;0,"SON","")</f>
        <v/>
      </c>
      <c r="Q25" s="354"/>
      <c r="R25" s="355"/>
      <c r="S25" s="355"/>
      <c r="T25" s="356"/>
      <c r="U25" s="202"/>
      <c r="V25" s="202"/>
      <c r="W25" s="20" t="str">
        <f t="shared" si="2"/>
        <v/>
      </c>
      <c r="X25" s="21" t="str">
        <f t="shared" si="3"/>
        <v/>
      </c>
      <c r="Z25" s="133" t="str" cm="1">
        <f t="array" aca="1" ref="Z25" ca="1">IF(SUMPRODUCT(--ISNUMBER(SEARCH(DLIST_SONTU,AA25)))&gt;0,"SON","")</f>
        <v/>
      </c>
      <c r="AA25" s="354"/>
      <c r="AB25" s="355"/>
      <c r="AC25" s="355"/>
      <c r="AD25" s="356"/>
      <c r="AE25" s="202"/>
      <c r="AF25" s="202"/>
      <c r="AG25" s="20" t="str">
        <f t="shared" si="4"/>
        <v/>
      </c>
      <c r="AH25" s="21" t="str">
        <f t="shared" si="5"/>
        <v/>
      </c>
    </row>
    <row r="26" spans="2:34" ht="16.5" customHeight="1">
      <c r="B26" s="285"/>
      <c r="C26" s="285"/>
      <c r="D26" s="285"/>
      <c r="F26" s="133" t="str" cm="1">
        <f t="array" aca="1" ref="F26" ca="1">IF(SUMPRODUCT(--ISNUMBER(SEARCH(DLIST_SONTU,G26)))&gt;0,"SON","")</f>
        <v/>
      </c>
      <c r="G26" s="354"/>
      <c r="H26" s="355"/>
      <c r="I26" s="355"/>
      <c r="J26" s="356"/>
      <c r="K26" s="202"/>
      <c r="L26" s="202"/>
      <c r="M26" s="20" t="str">
        <f t="shared" si="0"/>
        <v/>
      </c>
      <c r="N26" s="21" t="str">
        <f t="shared" si="1"/>
        <v/>
      </c>
      <c r="P26" s="133" t="str" cm="1">
        <f t="array" aca="1" ref="P26" ca="1">IF(SUMPRODUCT(--ISNUMBER(SEARCH(DLIST_SONTU,Q26)))&gt;0,"SON","")</f>
        <v/>
      </c>
      <c r="Q26" s="354"/>
      <c r="R26" s="355"/>
      <c r="S26" s="355"/>
      <c r="T26" s="356"/>
      <c r="U26" s="202"/>
      <c r="V26" s="202"/>
      <c r="W26" s="20" t="str">
        <f t="shared" si="2"/>
        <v/>
      </c>
      <c r="X26" s="21" t="str">
        <f t="shared" si="3"/>
        <v/>
      </c>
      <c r="Z26" s="133" t="str" cm="1">
        <f t="array" aca="1" ref="Z26" ca="1">IF(SUMPRODUCT(--ISNUMBER(SEARCH(DLIST_SONTU,AA26)))&gt;0,"SON","")</f>
        <v/>
      </c>
      <c r="AA26" s="354"/>
      <c r="AB26" s="355"/>
      <c r="AC26" s="355"/>
      <c r="AD26" s="356"/>
      <c r="AE26" s="202"/>
      <c r="AF26" s="202"/>
      <c r="AG26" s="20" t="str">
        <f t="shared" si="4"/>
        <v/>
      </c>
      <c r="AH26" s="21" t="str">
        <f t="shared" si="5"/>
        <v/>
      </c>
    </row>
    <row r="27" spans="2:34" ht="16.5" customHeight="1">
      <c r="B27" s="293"/>
      <c r="C27" s="293"/>
      <c r="D27" s="293"/>
      <c r="F27" s="133" t="str" cm="1">
        <f t="array" aca="1" ref="F27" ca="1">IF(SUMPRODUCT(--ISNUMBER(SEARCH(DLIST_SONTU,G27)))&gt;0,"SON","")</f>
        <v/>
      </c>
      <c r="G27" s="354"/>
      <c r="H27" s="355"/>
      <c r="I27" s="355"/>
      <c r="J27" s="356"/>
      <c r="K27" s="202"/>
      <c r="L27" s="202"/>
      <c r="M27" s="20" t="str">
        <f t="shared" si="0"/>
        <v/>
      </c>
      <c r="N27" s="21" t="str">
        <f t="shared" si="1"/>
        <v/>
      </c>
      <c r="P27" s="133" t="str" cm="1">
        <f t="array" aca="1" ref="P27" ca="1">IF(SUMPRODUCT(--ISNUMBER(SEARCH(DLIST_SONTU,Q27)))&gt;0,"SON","")</f>
        <v/>
      </c>
      <c r="Q27" s="354"/>
      <c r="R27" s="355"/>
      <c r="S27" s="355"/>
      <c r="T27" s="356"/>
      <c r="U27" s="202"/>
      <c r="V27" s="202"/>
      <c r="W27" s="20" t="str">
        <f t="shared" si="2"/>
        <v/>
      </c>
      <c r="X27" s="21" t="str">
        <f t="shared" si="3"/>
        <v/>
      </c>
      <c r="Z27" s="133" t="str" cm="1">
        <f t="array" aca="1" ref="Z27" ca="1">IF(SUMPRODUCT(--ISNUMBER(SEARCH(DLIST_SONTU,AA27)))&gt;0,"SON","")</f>
        <v/>
      </c>
      <c r="AA27" s="354"/>
      <c r="AB27" s="355"/>
      <c r="AC27" s="355"/>
      <c r="AD27" s="356"/>
      <c r="AE27" s="202"/>
      <c r="AF27" s="202"/>
      <c r="AG27" s="20" t="str">
        <f t="shared" si="4"/>
        <v/>
      </c>
      <c r="AH27" s="21" t="str">
        <f t="shared" si="5"/>
        <v/>
      </c>
    </row>
    <row r="28" spans="2:34" ht="16.5" customHeight="1">
      <c r="B28" s="13"/>
      <c r="C28" s="13"/>
      <c r="D28" s="13"/>
      <c r="F28" s="133" t="str" cm="1">
        <f t="array" aca="1" ref="F28" ca="1">IF(SUMPRODUCT(--ISNUMBER(SEARCH(DLIST_SONTU,G28)))&gt;0,"SON","")</f>
        <v/>
      </c>
      <c r="G28" s="354"/>
      <c r="H28" s="355"/>
      <c r="I28" s="355"/>
      <c r="J28" s="356"/>
      <c r="K28" s="202"/>
      <c r="L28" s="202"/>
      <c r="M28" s="20" t="str">
        <f t="shared" si="0"/>
        <v/>
      </c>
      <c r="N28" s="21" t="str">
        <f t="shared" si="1"/>
        <v/>
      </c>
      <c r="P28" s="133" t="str" cm="1">
        <f t="array" aca="1" ref="P28" ca="1">IF(SUMPRODUCT(--ISNUMBER(SEARCH(DLIST_SONTU,Q28)))&gt;0,"SON","")</f>
        <v/>
      </c>
      <c r="Q28" s="354"/>
      <c r="R28" s="355"/>
      <c r="S28" s="355"/>
      <c r="T28" s="356"/>
      <c r="U28" s="202"/>
      <c r="V28" s="202"/>
      <c r="W28" s="20" t="str">
        <f t="shared" si="2"/>
        <v/>
      </c>
      <c r="X28" s="21" t="str">
        <f t="shared" si="3"/>
        <v/>
      </c>
      <c r="Z28" s="133" t="str" cm="1">
        <f t="array" aca="1" ref="Z28" ca="1">IF(SUMPRODUCT(--ISNUMBER(SEARCH(DLIST_SONTU,AA28)))&gt;0,"SON","")</f>
        <v/>
      </c>
      <c r="AA28" s="354"/>
      <c r="AB28" s="355"/>
      <c r="AC28" s="355"/>
      <c r="AD28" s="356"/>
      <c r="AE28" s="202"/>
      <c r="AF28" s="202"/>
      <c r="AG28" s="20" t="str">
        <f t="shared" si="4"/>
        <v/>
      </c>
      <c r="AH28" s="21" t="str">
        <f t="shared" si="5"/>
        <v/>
      </c>
    </row>
    <row r="29" spans="2:34" ht="16.5" customHeight="1">
      <c r="B29" s="13"/>
      <c r="C29" s="13"/>
      <c r="D29" s="13"/>
      <c r="F29" s="133" t="str" cm="1">
        <f t="array" aca="1" ref="F29" ca="1">IF(SUMPRODUCT(--ISNUMBER(SEARCH(DLIST_SONTU,G29)))&gt;0,"SON","")</f>
        <v/>
      </c>
      <c r="G29" s="354"/>
      <c r="H29" s="355"/>
      <c r="I29" s="355"/>
      <c r="J29" s="356"/>
      <c r="K29" s="202"/>
      <c r="L29" s="202"/>
      <c r="M29" s="20" t="str">
        <f t="shared" si="0"/>
        <v/>
      </c>
      <c r="N29" s="21" t="str">
        <f t="shared" si="1"/>
        <v/>
      </c>
      <c r="P29" s="133" t="str" cm="1">
        <f t="array" aca="1" ref="P29" ca="1">IF(SUMPRODUCT(--ISNUMBER(SEARCH(DLIST_SONTU,Q29)))&gt;0,"SON","")</f>
        <v/>
      </c>
      <c r="Q29" s="354"/>
      <c r="R29" s="355"/>
      <c r="S29" s="355"/>
      <c r="T29" s="356"/>
      <c r="U29" s="202"/>
      <c r="V29" s="202"/>
      <c r="W29" s="20" t="str">
        <f t="shared" si="2"/>
        <v/>
      </c>
      <c r="X29" s="21" t="str">
        <f t="shared" si="3"/>
        <v/>
      </c>
      <c r="Z29" s="133" t="str" cm="1">
        <f t="array" aca="1" ref="Z29" ca="1">IF(SUMPRODUCT(--ISNUMBER(SEARCH(DLIST_SONTU,AA29)))&gt;0,"SON","")</f>
        <v/>
      </c>
      <c r="AA29" s="354"/>
      <c r="AB29" s="355"/>
      <c r="AC29" s="355"/>
      <c r="AD29" s="356"/>
      <c r="AE29" s="202"/>
      <c r="AF29" s="202"/>
      <c r="AG29" s="20" t="str">
        <f t="shared" si="4"/>
        <v/>
      </c>
      <c r="AH29" s="21" t="str">
        <f t="shared" si="5"/>
        <v/>
      </c>
    </row>
    <row r="30" spans="2:34" ht="16.5" customHeight="1">
      <c r="B30" s="13"/>
      <c r="C30" s="13"/>
      <c r="D30" s="13"/>
      <c r="F30" s="133" t="str" cm="1">
        <f t="array" aca="1" ref="F30" ca="1">IF(SUMPRODUCT(--ISNUMBER(SEARCH(DLIST_SONTU,G30)))&gt;0,"SON","")</f>
        <v/>
      </c>
      <c r="G30" s="354"/>
      <c r="H30" s="355"/>
      <c r="I30" s="355"/>
      <c r="J30" s="356"/>
      <c r="K30" s="202"/>
      <c r="L30" s="202"/>
      <c r="M30" s="20" t="str">
        <f t="shared" si="0"/>
        <v/>
      </c>
      <c r="N30" s="21" t="str">
        <f t="shared" si="1"/>
        <v/>
      </c>
      <c r="P30" s="133" t="str" cm="1">
        <f t="array" aca="1" ref="P30" ca="1">IF(SUMPRODUCT(--ISNUMBER(SEARCH(DLIST_SONTU,Q30)))&gt;0,"SON","")</f>
        <v/>
      </c>
      <c r="Q30" s="354"/>
      <c r="R30" s="355"/>
      <c r="S30" s="355"/>
      <c r="T30" s="356"/>
      <c r="U30" s="202"/>
      <c r="V30" s="202"/>
      <c r="W30" s="20" t="str">
        <f t="shared" si="2"/>
        <v/>
      </c>
      <c r="X30" s="21" t="str">
        <f t="shared" si="3"/>
        <v/>
      </c>
      <c r="Z30" s="133" t="str" cm="1">
        <f t="array" aca="1" ref="Z30" ca="1">IF(SUMPRODUCT(--ISNUMBER(SEARCH(DLIST_SONTU,AA30)))&gt;0,"SON","")</f>
        <v/>
      </c>
      <c r="AA30" s="354"/>
      <c r="AB30" s="355"/>
      <c r="AC30" s="355"/>
      <c r="AD30" s="356"/>
      <c r="AE30" s="202"/>
      <c r="AF30" s="202"/>
      <c r="AG30" s="20" t="str">
        <f t="shared" si="4"/>
        <v/>
      </c>
      <c r="AH30" s="21" t="str">
        <f t="shared" si="5"/>
        <v/>
      </c>
    </row>
    <row r="31" spans="2:34" ht="16.5" customHeight="1">
      <c r="B31" s="13"/>
      <c r="C31" s="13"/>
      <c r="D31" s="13"/>
      <c r="F31" s="133" t="str" cm="1">
        <f t="array" aca="1" ref="F31" ca="1">IF(SUMPRODUCT(--ISNUMBER(SEARCH(DLIST_SONTU,G31)))&gt;0,"SON","")</f>
        <v/>
      </c>
      <c r="G31" s="354"/>
      <c r="H31" s="355"/>
      <c r="I31" s="355"/>
      <c r="J31" s="356"/>
      <c r="K31" s="202"/>
      <c r="L31" s="202"/>
      <c r="M31" s="20" t="str">
        <f t="shared" si="0"/>
        <v/>
      </c>
      <c r="N31" s="21" t="str">
        <f t="shared" si="1"/>
        <v/>
      </c>
      <c r="P31" s="133" t="str" cm="1">
        <f t="array" aca="1" ref="P31" ca="1">IF(SUMPRODUCT(--ISNUMBER(SEARCH(DLIST_SONTU,Q31)))&gt;0,"SON","")</f>
        <v/>
      </c>
      <c r="Q31" s="354"/>
      <c r="R31" s="355"/>
      <c r="S31" s="355"/>
      <c r="T31" s="356"/>
      <c r="U31" s="202"/>
      <c r="V31" s="202"/>
      <c r="W31" s="20" t="str">
        <f t="shared" si="2"/>
        <v/>
      </c>
      <c r="X31" s="21" t="str">
        <f t="shared" si="3"/>
        <v/>
      </c>
      <c r="Z31" s="133" t="str" cm="1">
        <f t="array" aca="1" ref="Z31" ca="1">IF(SUMPRODUCT(--ISNUMBER(SEARCH(DLIST_SONTU,AA31)))&gt;0,"SON","")</f>
        <v/>
      </c>
      <c r="AA31" s="354"/>
      <c r="AB31" s="355"/>
      <c r="AC31" s="355"/>
      <c r="AD31" s="356"/>
      <c r="AE31" s="202"/>
      <c r="AF31" s="202"/>
      <c r="AG31" s="20" t="str">
        <f t="shared" si="4"/>
        <v/>
      </c>
      <c r="AH31" s="21" t="str">
        <f t="shared" si="5"/>
        <v/>
      </c>
    </row>
    <row r="32" spans="2:34" ht="16.5" customHeight="1">
      <c r="B32" s="13"/>
      <c r="C32" s="13"/>
      <c r="D32" s="13"/>
      <c r="F32" s="133" t="str" cm="1">
        <f t="array" aca="1" ref="F32" ca="1">IF(SUMPRODUCT(--ISNUMBER(SEARCH(DLIST_SONTU,G32)))&gt;0,"SON","")</f>
        <v/>
      </c>
      <c r="G32" s="354"/>
      <c r="H32" s="355"/>
      <c r="I32" s="355"/>
      <c r="J32" s="356"/>
      <c r="K32" s="202"/>
      <c r="L32" s="202"/>
      <c r="M32" s="20" t="str">
        <f t="shared" si="0"/>
        <v/>
      </c>
      <c r="N32" s="21" t="str">
        <f t="shared" si="1"/>
        <v/>
      </c>
      <c r="P32" s="133" t="str" cm="1">
        <f t="array" aca="1" ref="P32" ca="1">IF(SUMPRODUCT(--ISNUMBER(SEARCH(DLIST_SONTU,Q32)))&gt;0,"SON","")</f>
        <v/>
      </c>
      <c r="Q32" s="354"/>
      <c r="R32" s="355"/>
      <c r="S32" s="355"/>
      <c r="T32" s="356"/>
      <c r="U32" s="202"/>
      <c r="V32" s="202"/>
      <c r="W32" s="20" t="str">
        <f t="shared" si="2"/>
        <v/>
      </c>
      <c r="X32" s="21" t="str">
        <f t="shared" si="3"/>
        <v/>
      </c>
      <c r="Z32" s="133" t="str" cm="1">
        <f t="array" aca="1" ref="Z32" ca="1">IF(SUMPRODUCT(--ISNUMBER(SEARCH(DLIST_SONTU,AA32)))&gt;0,"SON","")</f>
        <v/>
      </c>
      <c r="AA32" s="354"/>
      <c r="AB32" s="355"/>
      <c r="AC32" s="355"/>
      <c r="AD32" s="356"/>
      <c r="AE32" s="202"/>
      <c r="AF32" s="202"/>
      <c r="AG32" s="20" t="str">
        <f t="shared" si="4"/>
        <v/>
      </c>
      <c r="AH32" s="21" t="str">
        <f t="shared" si="5"/>
        <v/>
      </c>
    </row>
    <row r="33" spans="2:34" ht="16.5" customHeight="1">
      <c r="B33" s="13"/>
      <c r="C33" s="13"/>
      <c r="D33" s="13"/>
      <c r="F33" s="133" t="str" cm="1">
        <f t="array" aca="1" ref="F33" ca="1">IF(SUMPRODUCT(--ISNUMBER(SEARCH(DLIST_SONTU,G33)))&gt;0,"SON","")</f>
        <v/>
      </c>
      <c r="G33" s="354"/>
      <c r="H33" s="355"/>
      <c r="I33" s="355"/>
      <c r="J33" s="356"/>
      <c r="K33" s="202"/>
      <c r="L33" s="202"/>
      <c r="M33" s="20" t="str">
        <f t="shared" si="0"/>
        <v/>
      </c>
      <c r="N33" s="21" t="str">
        <f t="shared" si="1"/>
        <v/>
      </c>
      <c r="P33" s="133" t="str" cm="1">
        <f t="array" aca="1" ref="P33" ca="1">IF(SUMPRODUCT(--ISNUMBER(SEARCH(DLIST_SONTU,Q33)))&gt;0,"SON","")</f>
        <v/>
      </c>
      <c r="Q33" s="354"/>
      <c r="R33" s="355"/>
      <c r="S33" s="355"/>
      <c r="T33" s="356"/>
      <c r="U33" s="202"/>
      <c r="V33" s="202"/>
      <c r="W33" s="20" t="str">
        <f t="shared" si="2"/>
        <v/>
      </c>
      <c r="X33" s="21" t="str">
        <f t="shared" si="3"/>
        <v/>
      </c>
      <c r="Z33" s="133" t="str" cm="1">
        <f t="array" aca="1" ref="Z33" ca="1">IF(SUMPRODUCT(--ISNUMBER(SEARCH(DLIST_SONTU,AA33)))&gt;0,"SON","")</f>
        <v/>
      </c>
      <c r="AA33" s="354"/>
      <c r="AB33" s="355"/>
      <c r="AC33" s="355"/>
      <c r="AD33" s="356"/>
      <c r="AE33" s="202"/>
      <c r="AF33" s="202"/>
      <c r="AG33" s="20" t="str">
        <f t="shared" si="4"/>
        <v/>
      </c>
      <c r="AH33" s="21" t="str">
        <f t="shared" si="5"/>
        <v/>
      </c>
    </row>
    <row r="34" spans="2:34" ht="16.5" customHeight="1">
      <c r="B34" s="13"/>
      <c r="C34" s="13"/>
      <c r="D34" s="13"/>
      <c r="F34" s="133" t="str" cm="1">
        <f t="array" aca="1" ref="F34" ca="1">IF(SUMPRODUCT(--ISNUMBER(SEARCH(DLIST_SONTU,G34)))&gt;0,"SON","")</f>
        <v/>
      </c>
      <c r="G34" s="354"/>
      <c r="H34" s="355"/>
      <c r="I34" s="355"/>
      <c r="J34" s="356"/>
      <c r="K34" s="202"/>
      <c r="L34" s="202"/>
      <c r="M34" s="20" t="str">
        <f t="shared" si="0"/>
        <v/>
      </c>
      <c r="N34" s="21" t="str">
        <f t="shared" si="1"/>
        <v/>
      </c>
      <c r="P34" s="133" t="str" cm="1">
        <f t="array" aca="1" ref="P34" ca="1">IF(SUMPRODUCT(--ISNUMBER(SEARCH(DLIST_SONTU,Q34)))&gt;0,"SON","")</f>
        <v/>
      </c>
      <c r="Q34" s="354"/>
      <c r="R34" s="355"/>
      <c r="S34" s="355"/>
      <c r="T34" s="356"/>
      <c r="U34" s="202"/>
      <c r="V34" s="202"/>
      <c r="W34" s="20" t="str">
        <f t="shared" si="2"/>
        <v/>
      </c>
      <c r="X34" s="21" t="str">
        <f t="shared" si="3"/>
        <v/>
      </c>
      <c r="Z34" s="133" t="str" cm="1">
        <f t="array" aca="1" ref="Z34" ca="1">IF(SUMPRODUCT(--ISNUMBER(SEARCH(DLIST_SONTU,AA34)))&gt;0,"SON","")</f>
        <v/>
      </c>
      <c r="AA34" s="354"/>
      <c r="AB34" s="355"/>
      <c r="AC34" s="355"/>
      <c r="AD34" s="356"/>
      <c r="AE34" s="202"/>
      <c r="AF34" s="202"/>
      <c r="AG34" s="20" t="str">
        <f t="shared" si="4"/>
        <v/>
      </c>
      <c r="AH34" s="21" t="str">
        <f t="shared" si="5"/>
        <v/>
      </c>
    </row>
    <row r="35" spans="2:34" ht="16.5" customHeight="1">
      <c r="B35" s="13"/>
      <c r="C35" s="13"/>
      <c r="D35" s="13"/>
      <c r="F35" s="133" t="str" cm="1">
        <f t="array" aca="1" ref="F35" ca="1">IF(SUMPRODUCT(--ISNUMBER(SEARCH(DLIST_SONTU,G35)))&gt;0,"SON","")</f>
        <v/>
      </c>
      <c r="G35" s="354"/>
      <c r="H35" s="355"/>
      <c r="I35" s="355"/>
      <c r="J35" s="356"/>
      <c r="K35" s="202"/>
      <c r="L35" s="202"/>
      <c r="M35" s="20" t="str">
        <f t="shared" si="0"/>
        <v/>
      </c>
      <c r="N35" s="21" t="str">
        <f t="shared" si="1"/>
        <v/>
      </c>
      <c r="P35" s="133" t="str" cm="1">
        <f t="array" aca="1" ref="P35" ca="1">IF(SUMPRODUCT(--ISNUMBER(SEARCH(DLIST_SONTU,Q35)))&gt;0,"SON","")</f>
        <v/>
      </c>
      <c r="Q35" s="354"/>
      <c r="R35" s="355"/>
      <c r="S35" s="355"/>
      <c r="T35" s="356"/>
      <c r="U35" s="202"/>
      <c r="V35" s="202"/>
      <c r="W35" s="20" t="str">
        <f t="shared" si="2"/>
        <v/>
      </c>
      <c r="X35" s="21" t="str">
        <f t="shared" si="3"/>
        <v/>
      </c>
      <c r="Z35" s="133" t="str" cm="1">
        <f t="array" aca="1" ref="Z35" ca="1">IF(SUMPRODUCT(--ISNUMBER(SEARCH(DLIST_SONTU,AA35)))&gt;0,"SON","")</f>
        <v/>
      </c>
      <c r="AA35" s="354"/>
      <c r="AB35" s="355"/>
      <c r="AC35" s="355"/>
      <c r="AD35" s="356"/>
      <c r="AE35" s="202"/>
      <c r="AF35" s="202"/>
      <c r="AG35" s="20" t="str">
        <f t="shared" si="4"/>
        <v/>
      </c>
      <c r="AH35" s="21" t="str">
        <f t="shared" si="5"/>
        <v/>
      </c>
    </row>
    <row r="36" spans="2:34" ht="16.5" customHeight="1">
      <c r="B36" s="13"/>
      <c r="C36" s="13"/>
      <c r="D36" s="13"/>
      <c r="F36" s="357" t="s">
        <v>378</v>
      </c>
      <c r="G36" s="357"/>
      <c r="H36" s="357"/>
      <c r="I36" s="357"/>
      <c r="J36" s="357"/>
      <c r="K36" s="358" t="s">
        <v>379</v>
      </c>
      <c r="L36" s="359"/>
      <c r="M36" s="24">
        <f>SUM(M11:M35)</f>
        <v>4933.3999999999996</v>
      </c>
      <c r="N36" s="22">
        <f>SUM(N11:N35)</f>
        <v>9707.85</v>
      </c>
      <c r="P36" s="357" t="s">
        <v>378</v>
      </c>
      <c r="Q36" s="357"/>
      <c r="R36" s="357"/>
      <c r="S36" s="357"/>
      <c r="T36" s="357"/>
      <c r="U36" s="358" t="s">
        <v>379</v>
      </c>
      <c r="V36" s="359"/>
      <c r="W36" s="24">
        <f>SUM(W11:W35)</f>
        <v>8605.4</v>
      </c>
      <c r="X36" s="22">
        <f>SUM(X11:X35)</f>
        <v>10349.6</v>
      </c>
      <c r="Z36" s="357" t="s">
        <v>378</v>
      </c>
      <c r="AA36" s="357"/>
      <c r="AB36" s="357"/>
      <c r="AC36" s="357"/>
      <c r="AD36" s="357"/>
      <c r="AE36" s="358" t="s">
        <v>379</v>
      </c>
      <c r="AF36" s="359"/>
      <c r="AG36" s="24">
        <f>SUM(AG11:AG35)</f>
        <v>0</v>
      </c>
      <c r="AH36" s="22">
        <f>SUM(AH11:AH35)</f>
        <v>0</v>
      </c>
    </row>
    <row r="37" spans="2:34" ht="16.5" customHeight="1">
      <c r="B37" s="13"/>
      <c r="C37" s="13"/>
      <c r="D37" s="13"/>
      <c r="F37" s="357"/>
      <c r="G37" s="357"/>
      <c r="H37" s="357"/>
      <c r="I37" s="357"/>
      <c r="J37" s="357"/>
      <c r="K37" s="358" t="s">
        <v>380</v>
      </c>
      <c r="L37" s="359"/>
      <c r="M37" s="23">
        <f>M36/54</f>
        <v>91.359259259259247</v>
      </c>
      <c r="N37" s="22">
        <f>N36/54</f>
        <v>179.77500000000001</v>
      </c>
      <c r="P37" s="357"/>
      <c r="Q37" s="357"/>
      <c r="R37" s="357"/>
      <c r="S37" s="357"/>
      <c r="T37" s="357"/>
      <c r="U37" s="358" t="s">
        <v>380</v>
      </c>
      <c r="V37" s="359"/>
      <c r="W37" s="23">
        <f>W36/54</f>
        <v>159.35925925925926</v>
      </c>
      <c r="X37" s="22">
        <f>X36/54</f>
        <v>191.65925925925927</v>
      </c>
      <c r="Z37" s="357"/>
      <c r="AA37" s="357"/>
      <c r="AB37" s="357"/>
      <c r="AC37" s="357"/>
      <c r="AD37" s="357"/>
      <c r="AE37" s="358" t="s">
        <v>380</v>
      </c>
      <c r="AF37" s="359"/>
      <c r="AG37" s="23">
        <f>AG36/54</f>
        <v>0</v>
      </c>
      <c r="AH37" s="22">
        <f>AH36/54</f>
        <v>0</v>
      </c>
    </row>
    <row r="38" spans="2:34" ht="16.5" customHeight="1">
      <c r="B38" s="13"/>
      <c r="C38" s="13"/>
      <c r="D38" s="13"/>
      <c r="G38" s="6"/>
      <c r="H38" s="6"/>
      <c r="I38" s="6"/>
      <c r="J38" s="6"/>
      <c r="K38" s="6"/>
      <c r="L38" s="6"/>
      <c r="M38" s="6"/>
      <c r="N38" s="6"/>
      <c r="Q38" s="6"/>
      <c r="R38" s="6"/>
      <c r="S38" s="6"/>
      <c r="T38" s="6"/>
      <c r="U38" s="6"/>
      <c r="V38" s="6"/>
      <c r="W38" s="6"/>
      <c r="X38" s="6"/>
      <c r="AA38" s="6"/>
      <c r="AB38" s="6"/>
      <c r="AC38" s="6"/>
      <c r="AD38" s="6"/>
      <c r="AE38" s="6"/>
      <c r="AF38" s="6"/>
      <c r="AG38" s="6"/>
      <c r="AH38" s="6"/>
    </row>
    <row r="39" spans="2:34" ht="16.5" customHeight="1">
      <c r="B39" s="13"/>
      <c r="C39" s="13"/>
      <c r="D39" s="13"/>
      <c r="F39" s="360" t="s">
        <v>381</v>
      </c>
      <c r="G39" s="360"/>
      <c r="H39" s="360"/>
      <c r="I39" s="360"/>
      <c r="J39" s="360"/>
      <c r="K39" s="28"/>
      <c r="L39" s="19" t="s">
        <v>362</v>
      </c>
      <c r="M39" s="19" t="s">
        <v>363</v>
      </c>
      <c r="N39" s="19" t="s">
        <v>364</v>
      </c>
      <c r="P39" s="360" t="s">
        <v>381</v>
      </c>
      <c r="Q39" s="360"/>
      <c r="R39" s="360"/>
      <c r="S39" s="360"/>
      <c r="T39" s="360"/>
      <c r="U39" s="28"/>
      <c r="V39" s="19" t="s">
        <v>362</v>
      </c>
      <c r="W39" s="19" t="s">
        <v>363</v>
      </c>
      <c r="X39" s="19" t="s">
        <v>364</v>
      </c>
      <c r="Z39" s="360" t="s">
        <v>381</v>
      </c>
      <c r="AA39" s="360"/>
      <c r="AB39" s="360"/>
      <c r="AC39" s="360"/>
      <c r="AD39" s="360"/>
      <c r="AE39" s="28"/>
      <c r="AF39" s="19" t="s">
        <v>362</v>
      </c>
      <c r="AG39" s="19" t="s">
        <v>363</v>
      </c>
      <c r="AH39" s="19" t="s">
        <v>364</v>
      </c>
    </row>
    <row r="40" spans="2:34" ht="16.5" customHeight="1">
      <c r="B40" s="13"/>
      <c r="C40" s="13"/>
      <c r="D40" s="13"/>
      <c r="F40" s="279" t="s">
        <v>382</v>
      </c>
      <c r="G40" s="281"/>
      <c r="H40" s="281"/>
      <c r="I40" s="281"/>
      <c r="J40" s="280"/>
      <c r="K40" s="29"/>
      <c r="L40" s="202">
        <v>1</v>
      </c>
      <c r="M40" s="20">
        <f t="shared" ref="M40:M45" si="6">IFERROR((VLOOKUP(F40,DB_TXEQ,5,0))*L40,"")</f>
        <v>208.4</v>
      </c>
      <c r="N40" s="21">
        <f t="shared" ref="N40:N45" si="7">IFERROR((VLOOKUP(F40,DB_TXEQ,6,0))*L40,"")</f>
        <v>299.3</v>
      </c>
      <c r="P40" s="279"/>
      <c r="Q40" s="281"/>
      <c r="R40" s="281"/>
      <c r="S40" s="281"/>
      <c r="T40" s="280"/>
      <c r="U40" s="29"/>
      <c r="V40" s="202"/>
      <c r="W40" s="20" t="str">
        <f t="shared" ref="W40:W45" si="8">IFERROR((VLOOKUP(P40,DB_TXEQ,5,0))*V40,"")</f>
        <v/>
      </c>
      <c r="X40" s="21" t="str">
        <f t="shared" ref="X40:X45" si="9">IFERROR((VLOOKUP(P40,DB_TXEQ,6,0))*V40,"")</f>
        <v/>
      </c>
      <c r="Z40" s="279"/>
      <c r="AA40" s="281"/>
      <c r="AB40" s="281"/>
      <c r="AC40" s="281"/>
      <c r="AD40" s="280"/>
      <c r="AE40" s="29"/>
      <c r="AF40" s="202"/>
      <c r="AG40" s="20" t="str">
        <f t="shared" ref="AG40:AG45" si="10">IFERROR((VLOOKUP(Z40,DB_TXEQ,5,0))*AF40,"")</f>
        <v/>
      </c>
      <c r="AH40" s="21" t="str">
        <f t="shared" ref="AH40:AH45" si="11">IFERROR((VLOOKUP(Z40,DB_TXEQ,6,0))*AF40,"")</f>
        <v/>
      </c>
    </row>
    <row r="41" spans="2:34" ht="16.5" customHeight="1">
      <c r="B41" s="13"/>
      <c r="C41" s="13"/>
      <c r="D41" s="13"/>
      <c r="F41" s="279" t="s">
        <v>383</v>
      </c>
      <c r="G41" s="281"/>
      <c r="H41" s="281"/>
      <c r="I41" s="281"/>
      <c r="J41" s="280"/>
      <c r="K41" s="29"/>
      <c r="L41" s="202">
        <v>1</v>
      </c>
      <c r="M41" s="20">
        <f t="shared" si="6"/>
        <v>250</v>
      </c>
      <c r="N41" s="21">
        <f t="shared" si="7"/>
        <v>250</v>
      </c>
      <c r="P41" s="279"/>
      <c r="Q41" s="281"/>
      <c r="R41" s="281"/>
      <c r="S41" s="281"/>
      <c r="T41" s="280"/>
      <c r="U41" s="29"/>
      <c r="V41" s="202"/>
      <c r="W41" s="20" t="str">
        <f t="shared" si="8"/>
        <v/>
      </c>
      <c r="X41" s="21" t="str">
        <f t="shared" si="9"/>
        <v/>
      </c>
      <c r="Z41" s="279"/>
      <c r="AA41" s="281"/>
      <c r="AB41" s="281"/>
      <c r="AC41" s="281"/>
      <c r="AD41" s="280"/>
      <c r="AE41" s="29"/>
      <c r="AF41" s="202"/>
      <c r="AG41" s="20" t="str">
        <f t="shared" si="10"/>
        <v/>
      </c>
      <c r="AH41" s="21" t="str">
        <f t="shared" si="11"/>
        <v/>
      </c>
    </row>
    <row r="42" spans="2:34" ht="16.5" customHeight="1">
      <c r="B42" s="13"/>
      <c r="C42" s="13"/>
      <c r="D42" s="13"/>
      <c r="F42" s="279" t="s">
        <v>384</v>
      </c>
      <c r="G42" s="281"/>
      <c r="H42" s="281"/>
      <c r="I42" s="281"/>
      <c r="J42" s="280"/>
      <c r="K42" s="29"/>
      <c r="L42" s="202">
        <v>1</v>
      </c>
      <c r="M42" s="20">
        <f>IFERROR((VLOOKUP(F42,DB_TXEQ,5,0))*L42,"")</f>
        <v>72</v>
      </c>
      <c r="N42" s="21">
        <f>IFERROR((VLOOKUP(F42,DB_TXEQ,6,0))*L42,"")</f>
        <v>72</v>
      </c>
      <c r="P42" s="279"/>
      <c r="Q42" s="281"/>
      <c r="R42" s="281"/>
      <c r="S42" s="281"/>
      <c r="T42" s="280"/>
      <c r="U42" s="29"/>
      <c r="V42" s="202"/>
      <c r="W42" s="20" t="str">
        <f t="shared" si="8"/>
        <v/>
      </c>
      <c r="X42" s="21" t="str">
        <f t="shared" si="9"/>
        <v/>
      </c>
      <c r="Z42" s="279"/>
      <c r="AA42" s="281"/>
      <c r="AB42" s="281"/>
      <c r="AC42" s="281"/>
      <c r="AD42" s="280"/>
      <c r="AE42" s="29"/>
      <c r="AF42" s="202"/>
      <c r="AG42" s="20" t="str">
        <f t="shared" si="10"/>
        <v/>
      </c>
      <c r="AH42" s="21" t="str">
        <f t="shared" si="11"/>
        <v/>
      </c>
    </row>
    <row r="43" spans="2:34" ht="16.5" customHeight="1">
      <c r="B43" s="13"/>
      <c r="C43" s="13"/>
      <c r="D43" s="13"/>
      <c r="F43" s="279"/>
      <c r="G43" s="281"/>
      <c r="H43" s="281"/>
      <c r="I43" s="281"/>
      <c r="J43" s="280"/>
      <c r="K43" s="29"/>
      <c r="L43" s="202"/>
      <c r="M43" s="20" t="str">
        <f>IFERROR((VLOOKUP(F43,DB_TXEQ,5,0))*L43,"")</f>
        <v/>
      </c>
      <c r="N43" s="21" t="str">
        <f>IFERROR((VLOOKUP(F43,DB_TXEQ,6,0))*L43,"")</f>
        <v/>
      </c>
      <c r="P43" s="279"/>
      <c r="Q43" s="281"/>
      <c r="R43" s="281"/>
      <c r="S43" s="281"/>
      <c r="T43" s="280"/>
      <c r="U43" s="29"/>
      <c r="V43" s="202"/>
      <c r="W43" s="20" t="str">
        <f t="shared" si="8"/>
        <v/>
      </c>
      <c r="X43" s="21" t="str">
        <f t="shared" si="9"/>
        <v/>
      </c>
      <c r="Z43" s="279"/>
      <c r="AA43" s="281"/>
      <c r="AB43" s="281"/>
      <c r="AC43" s="281"/>
      <c r="AD43" s="280"/>
      <c r="AE43" s="29"/>
      <c r="AF43" s="202"/>
      <c r="AG43" s="20" t="str">
        <f t="shared" si="10"/>
        <v/>
      </c>
      <c r="AH43" s="21" t="str">
        <f t="shared" si="11"/>
        <v/>
      </c>
    </row>
    <row r="44" spans="2:34" ht="16.5" customHeight="1">
      <c r="B44" s="13"/>
      <c r="C44" s="13"/>
      <c r="D44" s="13"/>
      <c r="F44" s="279"/>
      <c r="G44" s="281"/>
      <c r="H44" s="281"/>
      <c r="I44" s="281"/>
      <c r="J44" s="280"/>
      <c r="K44" s="29"/>
      <c r="L44" s="202"/>
      <c r="M44" s="20" t="str">
        <f t="shared" si="6"/>
        <v/>
      </c>
      <c r="N44" s="21" t="str">
        <f t="shared" si="7"/>
        <v/>
      </c>
      <c r="P44" s="279"/>
      <c r="Q44" s="281"/>
      <c r="R44" s="281"/>
      <c r="S44" s="281"/>
      <c r="T44" s="280"/>
      <c r="U44" s="29"/>
      <c r="V44" s="202"/>
      <c r="W44" s="20" t="str">
        <f t="shared" si="8"/>
        <v/>
      </c>
      <c r="X44" s="21" t="str">
        <f t="shared" si="9"/>
        <v/>
      </c>
      <c r="Z44" s="279"/>
      <c r="AA44" s="281"/>
      <c r="AB44" s="281"/>
      <c r="AC44" s="281"/>
      <c r="AD44" s="280"/>
      <c r="AE44" s="29"/>
      <c r="AF44" s="202"/>
      <c r="AG44" s="20" t="str">
        <f t="shared" si="10"/>
        <v/>
      </c>
      <c r="AH44" s="21" t="str">
        <f t="shared" si="11"/>
        <v/>
      </c>
    </row>
    <row r="45" spans="2:34" ht="16.5" customHeight="1">
      <c r="B45" s="13"/>
      <c r="C45" s="13"/>
      <c r="D45" s="13"/>
      <c r="F45" s="279"/>
      <c r="G45" s="281"/>
      <c r="H45" s="281"/>
      <c r="I45" s="281"/>
      <c r="J45" s="280"/>
      <c r="K45" s="29"/>
      <c r="L45" s="202"/>
      <c r="M45" s="20" t="str">
        <f t="shared" si="6"/>
        <v/>
      </c>
      <c r="N45" s="21" t="str">
        <f t="shared" si="7"/>
        <v/>
      </c>
      <c r="P45" s="279"/>
      <c r="Q45" s="281"/>
      <c r="R45" s="281"/>
      <c r="S45" s="281"/>
      <c r="T45" s="280"/>
      <c r="U45" s="29"/>
      <c r="V45" s="202"/>
      <c r="W45" s="20" t="str">
        <f t="shared" si="8"/>
        <v/>
      </c>
      <c r="X45" s="21" t="str">
        <f t="shared" si="9"/>
        <v/>
      </c>
      <c r="Z45" s="279"/>
      <c r="AA45" s="281"/>
      <c r="AB45" s="281"/>
      <c r="AC45" s="281"/>
      <c r="AD45" s="280"/>
      <c r="AE45" s="29"/>
      <c r="AF45" s="202"/>
      <c r="AG45" s="20" t="str">
        <f t="shared" si="10"/>
        <v/>
      </c>
      <c r="AH45" s="21" t="str">
        <f t="shared" si="11"/>
        <v/>
      </c>
    </row>
    <row r="46" spans="2:34" ht="16.5" customHeight="1">
      <c r="B46" s="13"/>
      <c r="C46" s="13"/>
      <c r="D46" s="13"/>
      <c r="F46" s="357" t="s">
        <v>378</v>
      </c>
      <c r="G46" s="357"/>
      <c r="H46" s="357"/>
      <c r="I46" s="357"/>
      <c r="J46" s="357"/>
      <c r="K46" s="358" t="s">
        <v>379</v>
      </c>
      <c r="L46" s="359"/>
      <c r="M46" s="22">
        <f>SUM(M40:M45)</f>
        <v>530.4</v>
      </c>
      <c r="N46" s="22">
        <f>SUM(N40:N45)</f>
        <v>621.29999999999995</v>
      </c>
      <c r="P46" s="357" t="s">
        <v>378</v>
      </c>
      <c r="Q46" s="357"/>
      <c r="R46" s="357"/>
      <c r="S46" s="357"/>
      <c r="T46" s="357"/>
      <c r="U46" s="358" t="s">
        <v>379</v>
      </c>
      <c r="V46" s="359"/>
      <c r="W46" s="22">
        <f>SUM(W40:W45)</f>
        <v>0</v>
      </c>
      <c r="X46" s="22">
        <f>SUM(X40:X45)</f>
        <v>0</v>
      </c>
      <c r="Z46" s="357" t="s">
        <v>378</v>
      </c>
      <c r="AA46" s="357"/>
      <c r="AB46" s="357"/>
      <c r="AC46" s="357"/>
      <c r="AD46" s="357"/>
      <c r="AE46" s="358" t="s">
        <v>379</v>
      </c>
      <c r="AF46" s="359"/>
      <c r="AG46" s="22">
        <f>SUM(AG40:AG45)</f>
        <v>0</v>
      </c>
      <c r="AH46" s="22">
        <f>SUM(AH40:AH45)</f>
        <v>0</v>
      </c>
    </row>
    <row r="47" spans="2:34" ht="16.5" customHeight="1">
      <c r="B47" s="13"/>
      <c r="C47" s="13"/>
      <c r="D47" s="13"/>
      <c r="F47" s="357"/>
      <c r="G47" s="357"/>
      <c r="H47" s="357"/>
      <c r="I47" s="357"/>
      <c r="J47" s="357"/>
      <c r="K47" s="358" t="s">
        <v>380</v>
      </c>
      <c r="L47" s="359"/>
      <c r="M47" s="22">
        <f>M46/54</f>
        <v>9.8222222222222211</v>
      </c>
      <c r="N47" s="22">
        <f>N46/54</f>
        <v>11.505555555555555</v>
      </c>
      <c r="P47" s="357"/>
      <c r="Q47" s="357"/>
      <c r="R47" s="357"/>
      <c r="S47" s="357"/>
      <c r="T47" s="357"/>
      <c r="U47" s="358" t="s">
        <v>380</v>
      </c>
      <c r="V47" s="359"/>
      <c r="W47" s="22">
        <f>W46/54</f>
        <v>0</v>
      </c>
      <c r="X47" s="22">
        <f>X46/54</f>
        <v>0</v>
      </c>
      <c r="Z47" s="357"/>
      <c r="AA47" s="357"/>
      <c r="AB47" s="357"/>
      <c r="AC47" s="357"/>
      <c r="AD47" s="357"/>
      <c r="AE47" s="358" t="s">
        <v>380</v>
      </c>
      <c r="AF47" s="359"/>
      <c r="AG47" s="22">
        <f>AG46/54</f>
        <v>0</v>
      </c>
      <c r="AH47" s="22">
        <f>AH46/54</f>
        <v>0</v>
      </c>
    </row>
    <row r="48" spans="2:34" ht="16.5" customHeight="1">
      <c r="B48" s="13"/>
      <c r="C48" s="13"/>
      <c r="D48" s="13"/>
    </row>
    <row r="49" spans="2:33" ht="16.5" customHeight="1">
      <c r="B49" s="13"/>
      <c r="C49" s="13"/>
      <c r="D49" s="13"/>
    </row>
    <row r="50" spans="2:33" ht="16.5" customHeight="1">
      <c r="B50" s="13"/>
      <c r="C50" s="13"/>
      <c r="D50" s="13"/>
      <c r="G50" s="316" t="s">
        <v>348</v>
      </c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Z50" s="316"/>
      <c r="AA50" s="316"/>
      <c r="AB50" s="316"/>
      <c r="AC50" s="316"/>
      <c r="AD50" s="316"/>
      <c r="AE50" s="316"/>
      <c r="AF50" s="316"/>
      <c r="AG50" s="316"/>
    </row>
    <row r="51" spans="2:33" ht="16.5" customHeight="1">
      <c r="B51" s="13"/>
      <c r="C51" s="13"/>
      <c r="D51" s="13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</row>
    <row r="52" spans="2:33" ht="16.5" customHeight="1">
      <c r="B52" s="13"/>
      <c r="C52" s="13"/>
      <c r="D52" s="13"/>
      <c r="F52" s="292" t="s">
        <v>385</v>
      </c>
      <c r="G52" s="292"/>
      <c r="H52" s="292"/>
      <c r="I52" s="292"/>
      <c r="J52" s="292"/>
      <c r="K52" s="292"/>
      <c r="L52" s="292"/>
      <c r="M52" s="292"/>
    </row>
    <row r="53" spans="2:33" ht="16.5" customHeight="1">
      <c r="B53" s="13"/>
      <c r="C53" s="13"/>
      <c r="D53" s="13"/>
      <c r="F53" s="292"/>
      <c r="G53" s="292"/>
      <c r="H53" s="292"/>
      <c r="I53" s="292"/>
      <c r="J53" s="292"/>
      <c r="K53" s="292"/>
      <c r="L53" s="292"/>
      <c r="M53" s="292"/>
    </row>
    <row r="54" spans="2:33" ht="16.5" customHeight="1">
      <c r="B54" s="13"/>
      <c r="C54" s="13"/>
      <c r="D54" s="13"/>
      <c r="F54" s="369" t="s">
        <v>386</v>
      </c>
      <c r="G54" s="370"/>
      <c r="H54" s="370"/>
      <c r="I54" s="31" t="s">
        <v>387</v>
      </c>
      <c r="J54" s="31" t="s">
        <v>388</v>
      </c>
      <c r="K54" s="31" t="s">
        <v>389</v>
      </c>
      <c r="L54" s="31" t="s">
        <v>390</v>
      </c>
      <c r="M54" s="31" t="s">
        <v>388</v>
      </c>
      <c r="P54" s="369" t="s">
        <v>386</v>
      </c>
      <c r="Q54" s="370"/>
      <c r="R54" s="370"/>
      <c r="S54" s="31" t="s">
        <v>387</v>
      </c>
      <c r="T54" s="31" t="s">
        <v>388</v>
      </c>
      <c r="U54" s="31" t="s">
        <v>389</v>
      </c>
      <c r="V54" s="31" t="s">
        <v>390</v>
      </c>
      <c r="W54" s="31" t="s">
        <v>388</v>
      </c>
      <c r="Z54" s="369" t="s">
        <v>386</v>
      </c>
      <c r="AA54" s="370"/>
      <c r="AB54" s="370"/>
      <c r="AC54" s="31" t="s">
        <v>387</v>
      </c>
      <c r="AD54" s="31" t="s">
        <v>388</v>
      </c>
      <c r="AE54" s="31" t="s">
        <v>389</v>
      </c>
      <c r="AF54" s="31" t="s">
        <v>390</v>
      </c>
      <c r="AG54" s="31" t="s">
        <v>388</v>
      </c>
    </row>
    <row r="55" spans="2:33" ht="16.5" customHeight="1">
      <c r="B55" s="13"/>
      <c r="C55" s="13"/>
      <c r="D55" s="13"/>
      <c r="F55" s="371"/>
      <c r="G55" s="372"/>
      <c r="H55" s="372"/>
      <c r="I55" s="31" t="s">
        <v>389</v>
      </c>
      <c r="J55" s="31" t="s">
        <v>390</v>
      </c>
      <c r="K55" s="31" t="s">
        <v>388</v>
      </c>
      <c r="L55" s="31" t="s">
        <v>389</v>
      </c>
      <c r="M55" s="31" t="s">
        <v>390</v>
      </c>
      <c r="P55" s="371"/>
      <c r="Q55" s="372"/>
      <c r="R55" s="372"/>
      <c r="S55" s="31" t="s">
        <v>389</v>
      </c>
      <c r="T55" s="31" t="s">
        <v>390</v>
      </c>
      <c r="U55" s="31" t="s">
        <v>388</v>
      </c>
      <c r="V55" s="31" t="s">
        <v>389</v>
      </c>
      <c r="W55" s="31" t="s">
        <v>390</v>
      </c>
      <c r="Z55" s="371"/>
      <c r="AA55" s="372"/>
      <c r="AB55" s="372"/>
      <c r="AC55" s="31" t="s">
        <v>389</v>
      </c>
      <c r="AD55" s="31" t="s">
        <v>390</v>
      </c>
      <c r="AE55" s="31" t="s">
        <v>388</v>
      </c>
      <c r="AF55" s="31" t="s">
        <v>389</v>
      </c>
      <c r="AG55" s="31" t="s">
        <v>390</v>
      </c>
    </row>
    <row r="56" spans="2:33" ht="16.5" customHeight="1">
      <c r="B56" s="13"/>
      <c r="C56" s="13"/>
      <c r="D56" s="13"/>
      <c r="F56" s="371"/>
      <c r="G56" s="372"/>
      <c r="H56" s="372"/>
      <c r="I56" s="31" t="s">
        <v>329</v>
      </c>
      <c r="J56" s="31" t="s">
        <v>329</v>
      </c>
      <c r="K56" s="31" t="s">
        <v>329</v>
      </c>
      <c r="L56" s="31" t="s">
        <v>329</v>
      </c>
      <c r="M56" s="31" t="s">
        <v>329</v>
      </c>
      <c r="P56" s="371"/>
      <c r="Q56" s="372"/>
      <c r="R56" s="372"/>
      <c r="S56" s="31" t="s">
        <v>329</v>
      </c>
      <c r="T56" s="31" t="s">
        <v>329</v>
      </c>
      <c r="U56" s="31" t="s">
        <v>329</v>
      </c>
      <c r="V56" s="31" t="s">
        <v>329</v>
      </c>
      <c r="W56" s="31" t="s">
        <v>329</v>
      </c>
      <c r="Z56" s="371"/>
      <c r="AA56" s="372"/>
      <c r="AB56" s="372"/>
      <c r="AC56" s="31" t="s">
        <v>329</v>
      </c>
      <c r="AD56" s="31" t="s">
        <v>329</v>
      </c>
      <c r="AE56" s="31" t="s">
        <v>329</v>
      </c>
      <c r="AF56" s="31" t="s">
        <v>329</v>
      </c>
      <c r="AG56" s="31" t="s">
        <v>329</v>
      </c>
    </row>
    <row r="57" spans="2:33" ht="16.5" customHeight="1">
      <c r="B57" s="13"/>
      <c r="C57" s="13"/>
      <c r="D57" s="13"/>
      <c r="F57" s="373"/>
      <c r="G57" s="374"/>
      <c r="H57" s="374"/>
      <c r="I57" s="31" t="s">
        <v>329</v>
      </c>
      <c r="J57" s="31" t="s">
        <v>329</v>
      </c>
      <c r="K57" s="31" t="s">
        <v>329</v>
      </c>
      <c r="L57" s="31" t="s">
        <v>329</v>
      </c>
      <c r="M57" s="31" t="s">
        <v>329</v>
      </c>
      <c r="P57" s="373"/>
      <c r="Q57" s="374"/>
      <c r="R57" s="374"/>
      <c r="S57" s="31" t="s">
        <v>329</v>
      </c>
      <c r="T57" s="31" t="s">
        <v>329</v>
      </c>
      <c r="U57" s="31" t="s">
        <v>329</v>
      </c>
      <c r="V57" s="31" t="s">
        <v>329</v>
      </c>
      <c r="W57" s="31" t="s">
        <v>329</v>
      </c>
      <c r="Z57" s="373"/>
      <c r="AA57" s="374"/>
      <c r="AB57" s="374"/>
      <c r="AC57" s="31" t="s">
        <v>329</v>
      </c>
      <c r="AD57" s="31" t="s">
        <v>329</v>
      </c>
      <c r="AE57" s="31" t="s">
        <v>329</v>
      </c>
      <c r="AF57" s="31" t="s">
        <v>329</v>
      </c>
      <c r="AG57" s="31" t="s">
        <v>329</v>
      </c>
    </row>
    <row r="58" spans="2:33" ht="16.5" customHeight="1">
      <c r="B58" s="13"/>
      <c r="C58" s="13"/>
      <c r="D58" s="13"/>
      <c r="F58" s="25"/>
      <c r="G58" s="25"/>
      <c r="H58" s="25"/>
      <c r="I58" s="25"/>
      <c r="J58" s="25"/>
      <c r="K58" s="25"/>
      <c r="L58" s="25"/>
      <c r="M58" s="25"/>
    </row>
    <row r="59" spans="2:33" ht="16.5" customHeight="1">
      <c r="B59" s="13"/>
      <c r="C59" s="13"/>
      <c r="D59" s="13"/>
      <c r="F59" s="32" t="s">
        <v>391</v>
      </c>
      <c r="P59" s="32" t="s">
        <v>391</v>
      </c>
      <c r="Z59" s="32" t="s">
        <v>391</v>
      </c>
    </row>
    <row r="60" spans="2:33">
      <c r="F60" s="51"/>
      <c r="G60" s="295" t="s">
        <v>392</v>
      </c>
      <c r="H60" s="295"/>
      <c r="I60" s="295"/>
      <c r="J60" s="351" t="s">
        <v>393</v>
      </c>
      <c r="K60" s="352"/>
      <c r="L60" s="353"/>
      <c r="M60" s="16" t="s">
        <v>158</v>
      </c>
      <c r="P60" s="51"/>
      <c r="Q60" s="295" t="s">
        <v>392</v>
      </c>
      <c r="R60" s="295"/>
      <c r="S60" s="295"/>
      <c r="T60" s="351" t="s">
        <v>393</v>
      </c>
      <c r="U60" s="352"/>
      <c r="V60" s="353"/>
      <c r="W60" s="16" t="s">
        <v>158</v>
      </c>
      <c r="Z60" s="51"/>
      <c r="AA60" s="295" t="s">
        <v>392</v>
      </c>
      <c r="AB60" s="295"/>
      <c r="AC60" s="295"/>
      <c r="AD60" s="351" t="s">
        <v>393</v>
      </c>
      <c r="AE60" s="352"/>
      <c r="AF60" s="353"/>
      <c r="AG60" s="16" t="s">
        <v>158</v>
      </c>
    </row>
    <row r="61" spans="2:33">
      <c r="F61" s="51"/>
      <c r="G61" s="295" t="s">
        <v>394</v>
      </c>
      <c r="H61" s="295"/>
      <c r="I61" s="295"/>
      <c r="J61" s="351" t="s">
        <v>386</v>
      </c>
      <c r="K61" s="352"/>
      <c r="L61" s="353"/>
      <c r="M61" s="16" t="s">
        <v>158</v>
      </c>
      <c r="P61" s="51"/>
      <c r="Q61" s="295" t="s">
        <v>394</v>
      </c>
      <c r="R61" s="295"/>
      <c r="S61" s="295"/>
      <c r="T61" s="351" t="s">
        <v>386</v>
      </c>
      <c r="U61" s="352"/>
      <c r="V61" s="353"/>
      <c r="W61" s="16" t="s">
        <v>158</v>
      </c>
      <c r="Z61" s="51"/>
      <c r="AA61" s="295" t="s">
        <v>394</v>
      </c>
      <c r="AB61" s="295"/>
      <c r="AC61" s="295"/>
      <c r="AD61" s="351" t="s">
        <v>386</v>
      </c>
      <c r="AE61" s="352"/>
      <c r="AF61" s="353"/>
      <c r="AG61" s="16" t="s">
        <v>158</v>
      </c>
    </row>
    <row r="62" spans="2:33">
      <c r="F62" s="51" t="str">
        <f>IF(ISNUMBER(SEARCH(VLOOKUP(J62,CHOOSE({1,2},DBRECT!$H$10:$H$100,DBRECT!$F$10:$F$100),2,0),VLOOKUP(J61,DBPSU!$H$5:$U$100,7,0)))=TRUE,IF(J62="","","OK"),IF(J62="","","ERR"))</f>
        <v>OK</v>
      </c>
      <c r="G62" s="295" t="s">
        <v>395</v>
      </c>
      <c r="H62" s="295"/>
      <c r="I62" s="295"/>
      <c r="J62" s="351" t="s">
        <v>396</v>
      </c>
      <c r="K62" s="352"/>
      <c r="L62" s="353"/>
      <c r="M62" s="16" t="s">
        <v>158</v>
      </c>
      <c r="P62" s="51" t="str">
        <f>IF(ISNUMBER(SEARCH(VLOOKUP(T62,CHOOSE({1,2},DBRECT!$H$10:$H$100,DBRECT!$F$10:$F$100),2,0),VLOOKUP(T61,DBPSU!$H$5:$U$100,7,0)))=TRUE,IF(T62="","","OK"),IF(T62="","","ERR"))</f>
        <v>OK</v>
      </c>
      <c r="Q62" s="295" t="s">
        <v>395</v>
      </c>
      <c r="R62" s="295"/>
      <c r="S62" s="295"/>
      <c r="T62" s="351" t="s">
        <v>396</v>
      </c>
      <c r="U62" s="352"/>
      <c r="V62" s="353"/>
      <c r="W62" s="16" t="s">
        <v>158</v>
      </c>
      <c r="Z62" s="51" t="str">
        <f>IF(ISNUMBER(SEARCH(VLOOKUP(AD62,CHOOSE({1,2},DBRECT!$H$10:$H$100,DBRECT!$F$10:$F$100),2,0),VLOOKUP(AD61,DBPSU!$H$5:$U$100,7,0)))=TRUE,IF(AD62="","","OK"),IF(AD62="","","ERR"))</f>
        <v>OK</v>
      </c>
      <c r="AA62" s="295" t="s">
        <v>395</v>
      </c>
      <c r="AB62" s="295"/>
      <c r="AC62" s="295"/>
      <c r="AD62" s="351" t="s">
        <v>396</v>
      </c>
      <c r="AE62" s="352"/>
      <c r="AF62" s="353"/>
      <c r="AG62" s="16" t="s">
        <v>158</v>
      </c>
    </row>
    <row r="63" spans="2:33">
      <c r="F63" s="51" t="str">
        <f>IFERROR(IF(J63&gt;(VLOOKUP(J62,DBRECT!$H$10:$M$100,5,FALSE)*(COUNTIF(I67:M70,"Enabled")+COUNTIF(I67:M70,"Blank")+COUNTIF(I67:M70,"")))/230/3,"OK","ERR"),"")</f>
        <v>OK</v>
      </c>
      <c r="G63" s="295" t="s">
        <v>397</v>
      </c>
      <c r="H63" s="295"/>
      <c r="I63" s="295"/>
      <c r="J63" s="203">
        <v>40</v>
      </c>
      <c r="K63" s="122" t="s">
        <v>158</v>
      </c>
      <c r="L63" s="115"/>
      <c r="M63" s="6"/>
      <c r="P63" s="51" t="str">
        <f>IFERROR(IF(T63&gt;(VLOOKUP(T62,DBRECT!$H$10:$M$100,5,FALSE)*(COUNTIF(S67:W70,"Enabled")+COUNTIF(S67:W70,"Blank")+COUNTIF(S67:W70,"")))/230/3,"OK","ERR"),"")</f>
        <v>OK</v>
      </c>
      <c r="Q63" s="295" t="s">
        <v>397</v>
      </c>
      <c r="R63" s="295"/>
      <c r="S63" s="295"/>
      <c r="T63" s="203">
        <v>40</v>
      </c>
      <c r="U63" s="122" t="s">
        <v>158</v>
      </c>
      <c r="V63" s="115"/>
      <c r="W63" s="6"/>
      <c r="Z63" s="51" t="str">
        <f>IFERROR(IF(AD63&gt;(VLOOKUP(AD62,DBRECT!$H$10:$M$100,5,FALSE)*(COUNTIF(AC67:AG70,"Enabled")+COUNTIF(AC67:AG70,"Blank")+COUNTIF(AC67:AG70,"")))/230/3,"OK","ERR"),"")</f>
        <v>OK</v>
      </c>
      <c r="AA63" s="295" t="s">
        <v>397</v>
      </c>
      <c r="AB63" s="295"/>
      <c r="AC63" s="295"/>
      <c r="AD63" s="203">
        <v>40</v>
      </c>
      <c r="AE63" s="122" t="s">
        <v>158</v>
      </c>
      <c r="AF63" s="115"/>
      <c r="AG63" s="6"/>
    </row>
    <row r="64" spans="2:33">
      <c r="F64" s="51" t="str">
        <f>IF(J64="","",IF(J64&lt;IFERROR(VLOOKUP(J73,DBBATT!$H$10:$P$100,6,FALSE),""),"ERR1",IF(J64&gt;IFERROR(VLOOKUP(J73,DBBATT!$H$10:$P$100,7,FALSE),""),"ERR2","OK")))</f>
        <v>OK</v>
      </c>
      <c r="G64" s="295" t="s">
        <v>398</v>
      </c>
      <c r="H64" s="295"/>
      <c r="I64" s="295"/>
      <c r="J64" s="203">
        <v>10</v>
      </c>
      <c r="K64" s="123" t="s">
        <v>158</v>
      </c>
      <c r="L64" s="124"/>
      <c r="M64" s="6"/>
      <c r="P64" s="51" t="str">
        <f>IF(T64="","",IF(T64&lt;IFERROR(VLOOKUP(T73,DBBATT!$H$10:$P$100,6,FALSE),0),"ERR1",IF(T64&gt;IFERROR(VLOOKUP(T73,DBBATT!$H$10:$P$100,7,FALSE),0),"ERR2","OK")))</f>
        <v>OK</v>
      </c>
      <c r="Q64" s="295" t="s">
        <v>398</v>
      </c>
      <c r="R64" s="295"/>
      <c r="S64" s="295"/>
      <c r="T64" s="203">
        <v>10</v>
      </c>
      <c r="U64" s="123" t="s">
        <v>158</v>
      </c>
      <c r="V64" s="124"/>
      <c r="W64" s="6"/>
      <c r="Z64" s="51" t="str">
        <f>IF(AD64="","",IF(AD64&lt;IFERROR(VLOOKUP(AD73,DBBATT!$H$10:$P$100,6,FALSE),0),"ERR1",IF(AD64&gt;IFERROR(VLOOKUP(AD73,DBBATT!$H$10:$P$100,7,FALSE),0),"ERR2","OK")))</f>
        <v>OK</v>
      </c>
      <c r="AA64" s="295" t="s">
        <v>398</v>
      </c>
      <c r="AB64" s="295"/>
      <c r="AC64" s="295"/>
      <c r="AD64" s="203">
        <v>10</v>
      </c>
      <c r="AE64" s="123" t="s">
        <v>158</v>
      </c>
      <c r="AF64" s="124"/>
      <c r="AG64" s="6"/>
    </row>
    <row r="65" spans="6:34">
      <c r="F65" s="6"/>
      <c r="G65" s="6"/>
      <c r="H65" s="6"/>
      <c r="I65" s="6"/>
      <c r="J65" s="6"/>
      <c r="K65" s="6"/>
      <c r="L65" s="6"/>
      <c r="M65" s="6"/>
    </row>
    <row r="66" spans="6:34">
      <c r="F66" s="32" t="s">
        <v>399</v>
      </c>
      <c r="G66" s="6"/>
      <c r="H66" s="6"/>
      <c r="I66" s="6"/>
      <c r="J66" s="6"/>
      <c r="K66" s="6"/>
      <c r="L66" s="6"/>
      <c r="M66" s="6"/>
      <c r="P66" s="32" t="s">
        <v>399</v>
      </c>
      <c r="Q66" s="6"/>
      <c r="R66" s="6"/>
      <c r="S66" s="6"/>
      <c r="T66" s="6"/>
      <c r="U66" s="6"/>
      <c r="V66" s="6"/>
      <c r="W66" s="6"/>
      <c r="Z66" s="32" t="s">
        <v>399</v>
      </c>
      <c r="AA66" s="6"/>
      <c r="AB66" s="6"/>
      <c r="AC66" s="6"/>
      <c r="AD66" s="6"/>
      <c r="AE66" s="6"/>
      <c r="AF66" s="6"/>
      <c r="AG66" s="6"/>
    </row>
    <row r="67" spans="6:34">
      <c r="F67" s="340" t="str">
        <f>IF(J61="","",H67*(IFERROR(VLOOKUP(J62,DBRECT!$H$10:$M$100,5,FALSE),0))&amp;"W")</f>
        <v>18000W</v>
      </c>
      <c r="G67" s="341"/>
      <c r="H67" s="344">
        <f>COUNTIF(I67:M70,"="&amp;"Enabled")</f>
        <v>6</v>
      </c>
      <c r="I67" s="30" t="s">
        <v>387</v>
      </c>
      <c r="J67" s="30" t="s">
        <v>400</v>
      </c>
      <c r="K67" s="30" t="s">
        <v>400</v>
      </c>
      <c r="L67" s="30" t="s">
        <v>400</v>
      </c>
      <c r="M67" s="30" t="s">
        <v>400</v>
      </c>
      <c r="N67" s="16" t="s">
        <v>158</v>
      </c>
      <c r="P67" s="340" t="str">
        <f>IF(T61="","",R67*(IFERROR(VLOOKUP(T62,DBRECT!$H$10:$M$100,5,FALSE),0))&amp;"W")</f>
        <v>18000W</v>
      </c>
      <c r="Q67" s="341"/>
      <c r="R67" s="344">
        <f>COUNTIF(S67:W70,"="&amp;"Enabled")</f>
        <v>6</v>
      </c>
      <c r="S67" s="30" t="s">
        <v>387</v>
      </c>
      <c r="T67" s="30" t="s">
        <v>400</v>
      </c>
      <c r="U67" s="30" t="s">
        <v>400</v>
      </c>
      <c r="V67" s="30" t="s">
        <v>400</v>
      </c>
      <c r="W67" s="30" t="s">
        <v>400</v>
      </c>
      <c r="X67" s="16" t="s">
        <v>158</v>
      </c>
      <c r="Z67" s="340" t="str">
        <f>IF(AD61="","",AB67*(IFERROR(VLOOKUP(AD62,DBRECT!$H$10:$M$100,5,FALSE),0))&amp;"W")</f>
        <v>18000W</v>
      </c>
      <c r="AA67" s="341"/>
      <c r="AB67" s="344">
        <f>COUNTIF(AC67:AG70,"="&amp;"Enabled")</f>
        <v>6</v>
      </c>
      <c r="AC67" s="30" t="s">
        <v>387</v>
      </c>
      <c r="AD67" s="30" t="s">
        <v>400</v>
      </c>
      <c r="AE67" s="30" t="s">
        <v>400</v>
      </c>
      <c r="AF67" s="30" t="s">
        <v>400</v>
      </c>
      <c r="AG67" s="30" t="s">
        <v>400</v>
      </c>
      <c r="AH67" s="16" t="s">
        <v>158</v>
      </c>
    </row>
    <row r="68" spans="6:34">
      <c r="F68" s="342"/>
      <c r="G68" s="343"/>
      <c r="H68" s="344"/>
      <c r="I68" s="30" t="s">
        <v>400</v>
      </c>
      <c r="J68" s="30" t="s">
        <v>400</v>
      </c>
      <c r="K68" s="30" t="s">
        <v>401</v>
      </c>
      <c r="L68" s="30" t="s">
        <v>401</v>
      </c>
      <c r="M68" s="30" t="s">
        <v>401</v>
      </c>
      <c r="N68" s="16" t="s">
        <v>158</v>
      </c>
      <c r="P68" s="342"/>
      <c r="Q68" s="343"/>
      <c r="R68" s="344"/>
      <c r="S68" s="30" t="s">
        <v>400</v>
      </c>
      <c r="T68" s="30" t="s">
        <v>400</v>
      </c>
      <c r="U68" s="30" t="s">
        <v>401</v>
      </c>
      <c r="V68" s="30" t="s">
        <v>401</v>
      </c>
      <c r="W68" s="30" t="s">
        <v>401</v>
      </c>
      <c r="X68" s="16" t="s">
        <v>158</v>
      </c>
      <c r="Z68" s="342"/>
      <c r="AA68" s="343"/>
      <c r="AB68" s="344"/>
      <c r="AC68" s="30" t="s">
        <v>400</v>
      </c>
      <c r="AD68" s="30" t="s">
        <v>400</v>
      </c>
      <c r="AE68" s="30" t="s">
        <v>401</v>
      </c>
      <c r="AF68" s="30" t="s">
        <v>401</v>
      </c>
      <c r="AG68" s="30" t="s">
        <v>401</v>
      </c>
      <c r="AH68" s="16" t="s">
        <v>158</v>
      </c>
    </row>
    <row r="69" spans="6:34">
      <c r="F69" s="345" t="str">
        <f>IF(J61="","NO PSU SELECTED",IF(H67&gt;(VLOOKUP(J61,DBPSU!$H$10:$U$100,5,FALSE)),"RECT. AMOUNT NOT SUPPORTED",""))</f>
        <v/>
      </c>
      <c r="G69" s="346"/>
      <c r="H69" s="347"/>
      <c r="I69" s="30" t="s">
        <v>329</v>
      </c>
      <c r="J69" s="30" t="s">
        <v>329</v>
      </c>
      <c r="K69" s="30" t="s">
        <v>329</v>
      </c>
      <c r="L69" s="30" t="s">
        <v>329</v>
      </c>
      <c r="M69" s="30" t="s">
        <v>329</v>
      </c>
      <c r="N69" s="16" t="s">
        <v>158</v>
      </c>
      <c r="P69" s="345" t="str">
        <f>IF(T61="","NO PSU SELECTED",IF(R67&gt;(VLOOKUP(T61,DBPSU!$H$10:$U$100,5,FALSE)),"RECT. AMOUNT NOT SUPPORTED",""))</f>
        <v/>
      </c>
      <c r="Q69" s="346"/>
      <c r="R69" s="347"/>
      <c r="S69" s="30" t="s">
        <v>329</v>
      </c>
      <c r="T69" s="30" t="s">
        <v>329</v>
      </c>
      <c r="U69" s="30" t="s">
        <v>329</v>
      </c>
      <c r="V69" s="30" t="s">
        <v>329</v>
      </c>
      <c r="W69" s="30" t="s">
        <v>329</v>
      </c>
      <c r="X69" s="16" t="s">
        <v>158</v>
      </c>
      <c r="Z69" s="345" t="str">
        <f>IF(AD61="","NO PSU SELECTED",IF(AB67&gt;(VLOOKUP(AD61,DBPSU!$H$10:$U$100,5,FALSE)),"RECT. AMOUNT NOT SUPPORTED",""))</f>
        <v/>
      </c>
      <c r="AA69" s="346"/>
      <c r="AB69" s="347"/>
      <c r="AC69" s="30" t="s">
        <v>329</v>
      </c>
      <c r="AD69" s="30" t="s">
        <v>329</v>
      </c>
      <c r="AE69" s="30" t="s">
        <v>329</v>
      </c>
      <c r="AF69" s="30" t="s">
        <v>329</v>
      </c>
      <c r="AG69" s="30" t="s">
        <v>329</v>
      </c>
      <c r="AH69" s="16" t="s">
        <v>158</v>
      </c>
    </row>
    <row r="70" spans="6:34">
      <c r="F70" s="348"/>
      <c r="G70" s="349"/>
      <c r="H70" s="350"/>
      <c r="I70" s="30" t="s">
        <v>329</v>
      </c>
      <c r="J70" s="30" t="s">
        <v>329</v>
      </c>
      <c r="K70" s="30" t="s">
        <v>329</v>
      </c>
      <c r="L70" s="30" t="s">
        <v>329</v>
      </c>
      <c r="M70" s="30" t="s">
        <v>329</v>
      </c>
      <c r="N70" s="16" t="s">
        <v>158</v>
      </c>
      <c r="P70" s="348"/>
      <c r="Q70" s="349"/>
      <c r="R70" s="350"/>
      <c r="S70" s="30" t="s">
        <v>329</v>
      </c>
      <c r="T70" s="30" t="s">
        <v>329</v>
      </c>
      <c r="U70" s="30" t="s">
        <v>329</v>
      </c>
      <c r="V70" s="30" t="s">
        <v>329</v>
      </c>
      <c r="W70" s="30" t="s">
        <v>329</v>
      </c>
      <c r="X70" s="16" t="s">
        <v>158</v>
      </c>
      <c r="Z70" s="348"/>
      <c r="AA70" s="349"/>
      <c r="AB70" s="350"/>
      <c r="AC70" s="30" t="s">
        <v>329</v>
      </c>
      <c r="AD70" s="30" t="s">
        <v>329</v>
      </c>
      <c r="AE70" s="30" t="s">
        <v>329</v>
      </c>
      <c r="AF70" s="30" t="s">
        <v>329</v>
      </c>
      <c r="AG70" s="30" t="s">
        <v>329</v>
      </c>
      <c r="AH70" s="16" t="s">
        <v>158</v>
      </c>
    </row>
    <row r="71" spans="6:34">
      <c r="F71" s="34"/>
      <c r="G71" s="377"/>
      <c r="H71" s="377"/>
      <c r="I71" s="377"/>
      <c r="J71" s="377"/>
      <c r="K71" s="377"/>
      <c r="L71" s="377"/>
      <c r="M71" s="377"/>
    </row>
    <row r="72" spans="6:34">
      <c r="F72" s="32" t="s">
        <v>402</v>
      </c>
      <c r="G72" s="6"/>
      <c r="H72" s="6"/>
      <c r="I72" s="6"/>
      <c r="J72" s="6"/>
      <c r="P72" s="32" t="s">
        <v>402</v>
      </c>
      <c r="Q72" s="6"/>
      <c r="R72" s="6"/>
      <c r="S72" s="6"/>
      <c r="T72" s="6"/>
      <c r="Z72" s="32" t="s">
        <v>402</v>
      </c>
      <c r="AA72" s="6"/>
      <c r="AB72" s="6"/>
      <c r="AC72" s="6"/>
      <c r="AD72" s="6"/>
    </row>
    <row r="73" spans="6:34">
      <c r="F73" s="51"/>
      <c r="G73" s="295" t="s">
        <v>403</v>
      </c>
      <c r="H73" s="295"/>
      <c r="I73" s="295"/>
      <c r="J73" s="330" t="s">
        <v>404</v>
      </c>
      <c r="K73" s="331"/>
      <c r="L73" s="16" t="s">
        <v>158</v>
      </c>
      <c r="M73" s="6"/>
      <c r="P73" s="51"/>
      <c r="Q73" s="295" t="s">
        <v>403</v>
      </c>
      <c r="R73" s="295"/>
      <c r="S73" s="295"/>
      <c r="T73" s="330" t="s">
        <v>404</v>
      </c>
      <c r="U73" s="331"/>
      <c r="V73" s="16" t="s">
        <v>158</v>
      </c>
      <c r="W73" s="6"/>
      <c r="Z73" s="51"/>
      <c r="AA73" s="295" t="s">
        <v>403</v>
      </c>
      <c r="AB73" s="295"/>
      <c r="AC73" s="295"/>
      <c r="AD73" s="330" t="s">
        <v>405</v>
      </c>
      <c r="AE73" s="331"/>
      <c r="AF73" s="16" t="s">
        <v>158</v>
      </c>
      <c r="AG73" s="6"/>
    </row>
    <row r="74" spans="6:34">
      <c r="F74" s="51"/>
      <c r="G74" s="295" t="s">
        <v>406</v>
      </c>
      <c r="H74" s="295"/>
      <c r="I74" s="295"/>
      <c r="J74" s="204">
        <v>5</v>
      </c>
      <c r="K74" s="16" t="s">
        <v>158</v>
      </c>
      <c r="P74" s="51"/>
      <c r="Q74" s="295" t="s">
        <v>406</v>
      </c>
      <c r="R74" s="295"/>
      <c r="S74" s="295"/>
      <c r="T74" s="204">
        <v>5</v>
      </c>
      <c r="U74" s="16" t="s">
        <v>158</v>
      </c>
      <c r="Z74" s="51"/>
      <c r="AA74" s="295" t="s">
        <v>406</v>
      </c>
      <c r="AB74" s="295"/>
      <c r="AC74" s="295"/>
      <c r="AD74" s="204">
        <v>5</v>
      </c>
      <c r="AE74" s="16" t="s">
        <v>158</v>
      </c>
    </row>
    <row r="75" spans="6:34">
      <c r="F75" s="51"/>
      <c r="G75" s="295" t="s">
        <v>407</v>
      </c>
      <c r="H75" s="295"/>
      <c r="I75" s="295"/>
      <c r="J75" s="204" t="s">
        <v>172</v>
      </c>
      <c r="K75" s="16" t="s">
        <v>158</v>
      </c>
      <c r="P75" s="51"/>
      <c r="Q75" s="295" t="s">
        <v>407</v>
      </c>
      <c r="R75" s="295"/>
      <c r="S75" s="295"/>
      <c r="T75" s="204" t="s">
        <v>172</v>
      </c>
      <c r="U75" s="16" t="s">
        <v>158</v>
      </c>
      <c r="Z75" s="51"/>
      <c r="AA75" s="295" t="s">
        <v>407</v>
      </c>
      <c r="AB75" s="295"/>
      <c r="AC75" s="295"/>
      <c r="AD75" s="204" t="s">
        <v>172</v>
      </c>
      <c r="AE75" s="16" t="s">
        <v>158</v>
      </c>
    </row>
    <row r="77" spans="6:34">
      <c r="F77" s="292" t="s">
        <v>408</v>
      </c>
      <c r="G77" s="292"/>
      <c r="H77" s="292"/>
      <c r="I77" s="292"/>
      <c r="J77" s="292"/>
      <c r="K77" s="292"/>
      <c r="L77" s="292"/>
      <c r="M77" s="292"/>
      <c r="P77" s="292"/>
      <c r="Q77" s="292"/>
      <c r="R77" s="292"/>
      <c r="S77" s="292"/>
      <c r="T77" s="292"/>
      <c r="U77" s="292"/>
      <c r="V77" s="292"/>
      <c r="W77" s="292"/>
      <c r="Z77" s="292"/>
      <c r="AA77" s="292"/>
      <c r="AB77" s="292"/>
      <c r="AC77" s="292"/>
      <c r="AD77" s="292"/>
      <c r="AE77" s="292"/>
      <c r="AF77" s="292"/>
      <c r="AG77" s="292"/>
    </row>
    <row r="78" spans="6:34">
      <c r="F78" s="292"/>
      <c r="G78" s="292"/>
      <c r="H78" s="292"/>
      <c r="I78" s="292"/>
      <c r="J78" s="292"/>
      <c r="K78" s="292"/>
      <c r="L78" s="292"/>
      <c r="M78" s="292"/>
      <c r="P78" s="292"/>
      <c r="Q78" s="292"/>
      <c r="R78" s="292"/>
      <c r="S78" s="292"/>
      <c r="T78" s="292"/>
      <c r="U78" s="292"/>
      <c r="V78" s="292"/>
      <c r="W78" s="292"/>
      <c r="Z78" s="292"/>
      <c r="AA78" s="292"/>
      <c r="AB78" s="292"/>
      <c r="AC78" s="292"/>
      <c r="AD78" s="292"/>
      <c r="AE78" s="292"/>
      <c r="AF78" s="292"/>
      <c r="AG78" s="292"/>
    </row>
    <row r="79" spans="6:34">
      <c r="F79" s="32" t="s">
        <v>409</v>
      </c>
      <c r="H79" s="6"/>
      <c r="I79" s="6"/>
      <c r="J79" s="6"/>
      <c r="K79" s="6"/>
      <c r="L79" s="6"/>
      <c r="P79" s="32" t="s">
        <v>409</v>
      </c>
      <c r="R79" s="6"/>
      <c r="S79" s="6"/>
      <c r="T79" s="6"/>
      <c r="U79" s="6"/>
      <c r="V79" s="6"/>
      <c r="Z79" s="32" t="s">
        <v>409</v>
      </c>
      <c r="AB79" s="6"/>
      <c r="AC79" s="6"/>
      <c r="AD79" s="6"/>
      <c r="AE79" s="6"/>
      <c r="AF79" s="6"/>
    </row>
    <row r="80" spans="6:34">
      <c r="F80" s="51"/>
      <c r="G80" s="295" t="s">
        <v>410</v>
      </c>
      <c r="H80" s="295"/>
      <c r="I80" s="295"/>
      <c r="J80" s="279" t="s">
        <v>411</v>
      </c>
      <c r="K80" s="280"/>
      <c r="L80" s="6"/>
      <c r="P80" s="51"/>
      <c r="Q80" s="295" t="s">
        <v>410</v>
      </c>
      <c r="R80" s="295"/>
      <c r="S80" s="295"/>
      <c r="T80" s="279" t="s">
        <v>412</v>
      </c>
      <c r="U80" s="280"/>
      <c r="V80" s="6"/>
      <c r="Z80" s="51"/>
      <c r="AA80" s="295" t="s">
        <v>410</v>
      </c>
      <c r="AB80" s="295"/>
      <c r="AC80" s="295"/>
      <c r="AD80" s="279"/>
      <c r="AE80" s="280"/>
      <c r="AF80" s="6"/>
    </row>
    <row r="82" spans="6:46">
      <c r="F82" s="51"/>
      <c r="G82" s="295" t="s">
        <v>413</v>
      </c>
      <c r="H82" s="295"/>
      <c r="I82" s="295"/>
      <c r="J82" s="325">
        <f>IFERROR((H67*(VLOOKUP(J62,DBRECT!$H$10:$M$100,5,FALSE)))*(VLOOKUP(J62,DBRECT!$H$10:$M$100,6,FALSE)),0)</f>
        <v>17280</v>
      </c>
      <c r="K82" s="325"/>
      <c r="L82" s="33" t="s">
        <v>414</v>
      </c>
      <c r="M82" s="185"/>
      <c r="P82" s="51"/>
      <c r="Q82" s="295" t="s">
        <v>413</v>
      </c>
      <c r="R82" s="295"/>
      <c r="S82" s="295"/>
      <c r="T82" s="325">
        <f>IFERROR((R67*(VLOOKUP(T62,DBRECT!$H$10:$M$100,5,FALSE)))*(VLOOKUP(T62,DBRECT!$H$10:$M$100,6,FALSE)),0)</f>
        <v>17280</v>
      </c>
      <c r="U82" s="325"/>
      <c r="V82" s="33" t="s">
        <v>414</v>
      </c>
      <c r="Z82" s="51"/>
      <c r="AA82" s="295" t="s">
        <v>413</v>
      </c>
      <c r="AB82" s="295"/>
      <c r="AC82" s="295"/>
      <c r="AD82" s="325">
        <f>IFERROR((AB67*(VLOOKUP(AD62,DBRECT!$H$10:$M$100,5,FALSE)))*(VLOOKUP(AD62,DBRECT!$H$10:$M$100,6,FALSE)),0)</f>
        <v>17280</v>
      </c>
      <c r="AE82" s="325"/>
      <c r="AF82" s="33" t="s">
        <v>414</v>
      </c>
    </row>
    <row r="83" spans="6:46">
      <c r="F83" s="51"/>
      <c r="G83" s="295" t="s">
        <v>415</v>
      </c>
      <c r="H83" s="295"/>
      <c r="I83" s="295"/>
      <c r="J83" s="325" t="str">
        <f>COUNTIF(I67:M70,"Enabled")&amp;" + "&amp;COUNTIF(I67:M70,"Blank")+COUNTIF(I67:M70,"")&amp;" Future"</f>
        <v>6 + 3 Future</v>
      </c>
      <c r="K83" s="325"/>
      <c r="L83" s="65" t="s">
        <v>416</v>
      </c>
      <c r="P83" s="51"/>
      <c r="Q83" s="295" t="s">
        <v>415</v>
      </c>
      <c r="R83" s="295"/>
      <c r="S83" s="295"/>
      <c r="T83" s="325" t="str">
        <f>COUNTIF(S67:W70,"Enabled")&amp;" + "&amp;COUNTIF(S67:W70,"Blank")+COUNTIF(S67:W70,"")&amp;" Future"</f>
        <v>6 + 3 Future</v>
      </c>
      <c r="U83" s="325"/>
      <c r="V83" s="65" t="s">
        <v>416</v>
      </c>
      <c r="Z83" s="51"/>
      <c r="AA83" s="295" t="s">
        <v>415</v>
      </c>
      <c r="AB83" s="295"/>
      <c r="AC83" s="295"/>
      <c r="AD83" s="325" t="str">
        <f>COUNTIF(AC67:AG70,"Enabled")&amp;" + "&amp;COUNTIF(AC67:AG70,"Blank")+COUNTIF(AC67:AG70,"")&amp;" Future"</f>
        <v>6 + 3 Future</v>
      </c>
      <c r="AE83" s="325"/>
      <c r="AF83" s="65" t="s">
        <v>416</v>
      </c>
    </row>
    <row r="84" spans="6:46">
      <c r="F84" s="51"/>
      <c r="G84" s="295" t="s">
        <v>417</v>
      </c>
      <c r="H84" s="295"/>
      <c r="I84" s="295"/>
      <c r="J84" s="326">
        <f>J64*J74*53.5</f>
        <v>2675</v>
      </c>
      <c r="K84" s="326"/>
      <c r="L84" s="65" t="s">
        <v>414</v>
      </c>
      <c r="P84" s="51"/>
      <c r="Q84" s="295" t="s">
        <v>417</v>
      </c>
      <c r="R84" s="295"/>
      <c r="S84" s="295"/>
      <c r="T84" s="326">
        <f>T64*T74*53.5</f>
        <v>2675</v>
      </c>
      <c r="U84" s="326"/>
      <c r="V84" s="65" t="s">
        <v>414</v>
      </c>
      <c r="Z84" s="51"/>
      <c r="AA84" s="295" t="s">
        <v>417</v>
      </c>
      <c r="AB84" s="295"/>
      <c r="AC84" s="295"/>
      <c r="AD84" s="326">
        <f>AD64*AD74*53.5</f>
        <v>2675</v>
      </c>
      <c r="AE84" s="326"/>
      <c r="AF84" s="65" t="s">
        <v>414</v>
      </c>
    </row>
    <row r="85" spans="6:46">
      <c r="F85" s="51" t="str">
        <f>IF(J84&gt;J85,"ERR",IF(J85=0,"","OK"))</f>
        <v>OK</v>
      </c>
      <c r="G85" s="295" t="s">
        <v>418</v>
      </c>
      <c r="H85" s="295"/>
      <c r="I85" s="295"/>
      <c r="J85" s="326">
        <f>IFERROR(IF(J82-(M36+M46+J122) &lt; 0,0,J82-(M36+M46+J122)),0)</f>
        <v>11038.6</v>
      </c>
      <c r="K85" s="326"/>
      <c r="L85" s="65" t="s">
        <v>414</v>
      </c>
      <c r="P85" s="51" t="str">
        <f>IF(T84&gt;T85,"ERR",IF(T85=0,"","OK"))</f>
        <v>OK</v>
      </c>
      <c r="Q85" s="295" t="s">
        <v>418</v>
      </c>
      <c r="R85" s="295"/>
      <c r="S85" s="295"/>
      <c r="T85" s="326">
        <f>IFERROR(IF(T82-(W36+W46) &lt; 0,0,T82-(W36+W46)),0)</f>
        <v>8674.6</v>
      </c>
      <c r="U85" s="326"/>
      <c r="V85" s="65" t="s">
        <v>414</v>
      </c>
      <c r="Z85" s="51" t="str">
        <f>IF(AD84&gt;AD85,"ERR",IF(AD85=0,"","OK"))</f>
        <v>OK</v>
      </c>
      <c r="AA85" s="295" t="s">
        <v>418</v>
      </c>
      <c r="AB85" s="295"/>
      <c r="AC85" s="295"/>
      <c r="AD85" s="326">
        <f>IFERROR(IF(AD82-(AG36+AG46) &lt; 0,0,AD82-(AG36+AG46)),0)</f>
        <v>17280</v>
      </c>
      <c r="AE85" s="326"/>
      <c r="AF85" s="65" t="s">
        <v>414</v>
      </c>
    </row>
    <row r="86" spans="6:46">
      <c r="F86" s="80">
        <f>IFERROR(J86/J82,"")</f>
        <v>0.3611921296296296</v>
      </c>
      <c r="G86" s="295" t="s">
        <v>419</v>
      </c>
      <c r="H86" s="295"/>
      <c r="I86" s="295"/>
      <c r="J86" s="326">
        <f>SUM(M46,M36)+J122</f>
        <v>6241.4</v>
      </c>
      <c r="K86" s="326"/>
      <c r="L86" s="65" t="s">
        <v>414</v>
      </c>
      <c r="P86" s="80">
        <f>IFERROR(T86/T82,"")</f>
        <v>0.49799768518518517</v>
      </c>
      <c r="Q86" s="295" t="s">
        <v>419</v>
      </c>
      <c r="R86" s="295"/>
      <c r="S86" s="295"/>
      <c r="T86" s="326">
        <f>SUM(W46,W36)</f>
        <v>8605.4</v>
      </c>
      <c r="U86" s="326"/>
      <c r="V86" s="65" t="s">
        <v>414</v>
      </c>
      <c r="Z86" s="80">
        <f>IFERROR(AD86/AD82,"")</f>
        <v>0</v>
      </c>
      <c r="AA86" s="295" t="s">
        <v>419</v>
      </c>
      <c r="AB86" s="295"/>
      <c r="AC86" s="295"/>
      <c r="AD86" s="326">
        <f>SUM(AG46,AG36)</f>
        <v>0</v>
      </c>
      <c r="AE86" s="326"/>
      <c r="AF86" s="65" t="s">
        <v>414</v>
      </c>
      <c r="AO86" s="17"/>
      <c r="AP86" s="17"/>
      <c r="AR86" s="17"/>
      <c r="AS86" s="17"/>
      <c r="AT86" s="17"/>
    </row>
    <row r="87" spans="6:46">
      <c r="F87" s="80">
        <f>IFERROR(J87/J82,"")</f>
        <v>0.64275173611111114</v>
      </c>
      <c r="G87" s="295" t="s">
        <v>420</v>
      </c>
      <c r="H87" s="295"/>
      <c r="I87" s="295"/>
      <c r="J87" s="326">
        <f>SUM(N46,N36)+J122</f>
        <v>11106.75</v>
      </c>
      <c r="K87" s="326"/>
      <c r="L87" s="65" t="s">
        <v>414</v>
      </c>
      <c r="P87" s="80">
        <f>IFERROR(T87/T82,"")</f>
        <v>0.59893518518518518</v>
      </c>
      <c r="Q87" s="295" t="s">
        <v>420</v>
      </c>
      <c r="R87" s="295"/>
      <c r="S87" s="295"/>
      <c r="T87" s="326">
        <f>SUM(X46,X36)</f>
        <v>10349.6</v>
      </c>
      <c r="U87" s="326"/>
      <c r="V87" s="65" t="s">
        <v>414</v>
      </c>
      <c r="Z87" s="80">
        <f>IFERROR(AD87/AD82,"")</f>
        <v>0</v>
      </c>
      <c r="AA87" s="295" t="s">
        <v>420</v>
      </c>
      <c r="AB87" s="295"/>
      <c r="AC87" s="295"/>
      <c r="AD87" s="326">
        <f>SUM(AH46,AH36)</f>
        <v>0</v>
      </c>
      <c r="AE87" s="326"/>
      <c r="AF87" s="65" t="s">
        <v>414</v>
      </c>
      <c r="AJ87" s="17"/>
      <c r="AK87" s="17"/>
      <c r="AL87" s="17"/>
      <c r="AM87" s="17"/>
      <c r="AN87" s="17"/>
      <c r="AO87" s="17"/>
      <c r="AP87" s="17"/>
    </row>
    <row r="88" spans="6:46">
      <c r="G88" s="66"/>
      <c r="H88" s="66"/>
      <c r="I88" s="66"/>
      <c r="J88" s="121"/>
      <c r="K88" s="121"/>
      <c r="L88" s="67"/>
      <c r="Q88" s="66"/>
      <c r="R88" s="66"/>
      <c r="S88" s="66"/>
      <c r="T88" s="121"/>
      <c r="U88" s="121"/>
      <c r="V88" s="67"/>
      <c r="AA88" s="66"/>
      <c r="AB88" s="66"/>
      <c r="AC88" s="66"/>
      <c r="AD88" s="121"/>
      <c r="AE88" s="121"/>
      <c r="AF88" s="67"/>
      <c r="AJ88" s="17"/>
      <c r="AK88" s="17"/>
      <c r="AL88" s="17"/>
      <c r="AM88" s="17"/>
      <c r="AN88" s="17"/>
    </row>
    <row r="89" spans="6:46">
      <c r="F89" s="32" t="s">
        <v>421</v>
      </c>
      <c r="H89" s="6"/>
      <c r="I89" s="6"/>
      <c r="J89" s="81"/>
      <c r="K89" s="81"/>
      <c r="L89" s="6"/>
      <c r="P89" s="32" t="s">
        <v>421</v>
      </c>
      <c r="R89" s="6"/>
      <c r="S89" s="6"/>
      <c r="T89" s="81"/>
      <c r="U89" s="81"/>
      <c r="V89" s="6"/>
      <c r="Z89" s="32" t="s">
        <v>421</v>
      </c>
      <c r="AB89" s="6"/>
      <c r="AC89" s="6"/>
      <c r="AD89" s="81"/>
      <c r="AE89" s="81"/>
      <c r="AF89" s="6"/>
    </row>
    <row r="90" spans="6:46">
      <c r="F90" s="26"/>
      <c r="G90" s="295" t="s">
        <v>422</v>
      </c>
      <c r="H90" s="295"/>
      <c r="I90" s="295"/>
      <c r="J90" s="327">
        <f>WSBBT!G29</f>
        <v>3.4703752363251836</v>
      </c>
      <c r="K90" s="325"/>
      <c r="L90" s="33" t="s">
        <v>423</v>
      </c>
      <c r="P90" s="26"/>
      <c r="Q90" s="295" t="s">
        <v>422</v>
      </c>
      <c r="R90" s="295"/>
      <c r="S90" s="295"/>
      <c r="T90" s="327">
        <f>WSBBT!G48</f>
        <v>2.5170241941106748</v>
      </c>
      <c r="U90" s="325"/>
      <c r="V90" s="33" t="s">
        <v>423</v>
      </c>
      <c r="Z90" s="26"/>
      <c r="AA90" s="295" t="s">
        <v>422</v>
      </c>
      <c r="AB90" s="295"/>
      <c r="AC90" s="295"/>
      <c r="AD90" s="327" t="str">
        <f>WSBBT!G67</f>
        <v/>
      </c>
      <c r="AE90" s="325"/>
      <c r="AF90" s="33" t="s">
        <v>423</v>
      </c>
    </row>
    <row r="91" spans="6:46">
      <c r="F91" s="26"/>
      <c r="G91" s="295" t="s">
        <v>424</v>
      </c>
      <c r="H91" s="295"/>
      <c r="I91" s="295"/>
      <c r="J91" s="327">
        <f ca="1">WSBBT!G30</f>
        <v>5.8974987990486127</v>
      </c>
      <c r="K91" s="325"/>
      <c r="L91" s="33" t="s">
        <v>423</v>
      </c>
      <c r="P91" s="26"/>
      <c r="Q91" s="295" t="s">
        <v>424</v>
      </c>
      <c r="R91" s="295"/>
      <c r="S91" s="295"/>
      <c r="T91" s="327">
        <f ca="1">WSBBT!G49</f>
        <v>7.4843807905610698</v>
      </c>
      <c r="U91" s="325"/>
      <c r="V91" s="33" t="s">
        <v>423</v>
      </c>
      <c r="Z91" s="26"/>
      <c r="AA91" s="295" t="s">
        <v>424</v>
      </c>
      <c r="AB91" s="295"/>
      <c r="AC91" s="295"/>
      <c r="AD91" s="327" t="str">
        <f ca="1">WSBBT!G68</f>
        <v/>
      </c>
      <c r="AE91" s="325"/>
      <c r="AF91" s="33" t="s">
        <v>423</v>
      </c>
    </row>
    <row r="92" spans="6:46">
      <c r="L92" s="6"/>
    </row>
    <row r="93" spans="6:46">
      <c r="L93" s="6"/>
    </row>
    <row r="94" spans="6:46" ht="15" customHeight="1">
      <c r="G94" s="316" t="s">
        <v>348</v>
      </c>
      <c r="H94" s="316"/>
      <c r="I94" s="316"/>
      <c r="J94" s="316"/>
      <c r="K94" s="316"/>
      <c r="L94" s="316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</row>
    <row r="95" spans="6:46" ht="15" customHeight="1">
      <c r="L95" s="6"/>
    </row>
    <row r="96" spans="6:46">
      <c r="F96" s="292" t="s">
        <v>425</v>
      </c>
      <c r="G96" s="292"/>
      <c r="H96" s="292"/>
      <c r="I96" s="292"/>
      <c r="J96" s="292"/>
      <c r="K96" s="292"/>
      <c r="L96" s="292"/>
      <c r="M96" s="292"/>
    </row>
    <row r="97" spans="6:33">
      <c r="F97" s="292"/>
      <c r="G97" s="292"/>
      <c r="H97" s="292"/>
      <c r="I97" s="292"/>
      <c r="J97" s="292"/>
      <c r="K97" s="292"/>
      <c r="L97" s="292"/>
      <c r="M97" s="292"/>
    </row>
    <row r="98" spans="6:33">
      <c r="F98" s="32" t="s">
        <v>426</v>
      </c>
      <c r="L98" s="6"/>
    </row>
    <row r="99" spans="6:33">
      <c r="F99" s="51"/>
      <c r="G99" s="295" t="s">
        <v>427</v>
      </c>
      <c r="H99" s="295"/>
      <c r="I99" s="295"/>
      <c r="J99" s="330" t="s">
        <v>329</v>
      </c>
      <c r="K99" s="331"/>
      <c r="L99" s="16" t="s">
        <v>158</v>
      </c>
    </row>
    <row r="100" spans="6:33">
      <c r="F100" s="51"/>
      <c r="G100" s="295" t="s">
        <v>403</v>
      </c>
      <c r="H100" s="295"/>
      <c r="I100" s="295"/>
      <c r="J100" s="330" t="s">
        <v>334</v>
      </c>
      <c r="K100" s="331"/>
      <c r="L100" s="16" t="s">
        <v>158</v>
      </c>
    </row>
    <row r="101" spans="6:33">
      <c r="L101" s="6"/>
    </row>
    <row r="102" spans="6:33">
      <c r="L102" s="6"/>
    </row>
    <row r="103" spans="6:33">
      <c r="G103" s="316" t="s">
        <v>348</v>
      </c>
      <c r="H103" s="316"/>
      <c r="I103" s="316"/>
      <c r="J103" s="316"/>
      <c r="K103" s="316"/>
      <c r="L103" s="316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6"/>
      <c r="AB103" s="316"/>
      <c r="AC103" s="316"/>
      <c r="AD103" s="316"/>
      <c r="AE103" s="316"/>
      <c r="AF103" s="316"/>
      <c r="AG103" s="316"/>
    </row>
    <row r="105" spans="6:33">
      <c r="F105" s="292" t="s">
        <v>428</v>
      </c>
      <c r="G105" s="292"/>
      <c r="H105" s="292"/>
      <c r="I105" s="292"/>
      <c r="J105" s="292"/>
      <c r="K105" s="292"/>
      <c r="L105" s="292"/>
      <c r="M105" s="292"/>
      <c r="N105" s="292"/>
      <c r="O105" s="292"/>
      <c r="P105" s="292"/>
    </row>
    <row r="106" spans="6:33">
      <c r="F106" s="292"/>
      <c r="G106" s="292"/>
      <c r="H106" s="292"/>
      <c r="I106" s="292"/>
      <c r="J106" s="292"/>
      <c r="K106" s="292"/>
      <c r="L106" s="292"/>
      <c r="M106" s="292"/>
      <c r="N106" s="292"/>
      <c r="O106" s="292"/>
      <c r="P106" s="292"/>
    </row>
    <row r="107" spans="6:33" ht="17.45">
      <c r="F107" s="32" t="s">
        <v>429</v>
      </c>
      <c r="G107" s="25"/>
      <c r="H107" s="25"/>
      <c r="I107" s="25"/>
      <c r="J107" s="25"/>
      <c r="K107" s="25"/>
      <c r="L107" s="25"/>
      <c r="M107" s="25"/>
      <c r="Y107" s="86" t="s">
        <v>430</v>
      </c>
    </row>
    <row r="108" spans="6:33" ht="15" customHeight="1">
      <c r="F108" s="51"/>
      <c r="G108" s="295" t="s">
        <v>431</v>
      </c>
      <c r="H108" s="295"/>
      <c r="I108" s="295"/>
      <c r="J108" s="279" t="s">
        <v>432</v>
      </c>
      <c r="K108" s="280"/>
      <c r="L108" s="136" t="s">
        <v>158</v>
      </c>
      <c r="M108" s="6"/>
      <c r="N108" s="6"/>
      <c r="O108" s="6"/>
      <c r="P108" s="6"/>
      <c r="Q108" s="6"/>
      <c r="R108" s="6"/>
      <c r="S108" s="6"/>
      <c r="X108" s="83" t="s">
        <v>191</v>
      </c>
      <c r="Y108" s="84" t="s">
        <v>433</v>
      </c>
    </row>
    <row r="109" spans="6:33">
      <c r="F109" s="51"/>
      <c r="G109" s="295" t="s">
        <v>434</v>
      </c>
      <c r="H109" s="295"/>
      <c r="I109" s="295"/>
      <c r="J109" s="279" t="s">
        <v>435</v>
      </c>
      <c r="K109" s="280"/>
      <c r="L109" s="136" t="s">
        <v>158</v>
      </c>
      <c r="M109" s="6"/>
      <c r="N109" s="6"/>
      <c r="O109" s="6"/>
      <c r="P109" s="6"/>
      <c r="Q109" s="6"/>
      <c r="R109" s="6"/>
      <c r="S109" s="6"/>
      <c r="Y109" s="84"/>
    </row>
    <row r="110" spans="6:33">
      <c r="F110" s="51"/>
      <c r="G110" s="295" t="s">
        <v>436</v>
      </c>
      <c r="H110" s="295"/>
      <c r="I110" s="295"/>
      <c r="J110" s="279">
        <v>6</v>
      </c>
      <c r="K110" s="280"/>
      <c r="L110" s="136" t="s">
        <v>158</v>
      </c>
      <c r="N110" s="119" t="s">
        <v>437</v>
      </c>
      <c r="O110" s="338" t="s">
        <v>438</v>
      </c>
      <c r="P110" s="338"/>
      <c r="Q110" s="338"/>
      <c r="R110" s="378" t="s">
        <v>439</v>
      </c>
      <c r="S110" s="379"/>
      <c r="T110" s="338" t="s">
        <v>440</v>
      </c>
      <c r="U110" s="338"/>
      <c r="Y110" s="84"/>
    </row>
    <row r="111" spans="6:33">
      <c r="F111" s="51" t="str">
        <f>IF(AND(OR(J108="ICS ODC",J108="VERTIV ODC"),J111=""),IF(J111="","","OK"),IF(OR(J108="SHELTER",J108="IN-SITU"),IF(J111="","","OK"),IF(J111="","","ERR")))</f>
        <v/>
      </c>
      <c r="G111" s="295" t="s">
        <v>441</v>
      </c>
      <c r="H111" s="295"/>
      <c r="I111" s="295"/>
      <c r="J111" s="279"/>
      <c r="K111" s="281"/>
      <c r="L111" s="280"/>
      <c r="M111" s="16" t="s">
        <v>158</v>
      </c>
      <c r="N111" s="120" t="str">
        <f>IFERROR(VLOOKUP(J111,DBCOOLING!$H$10:$Q$100,2,0),"")</f>
        <v/>
      </c>
      <c r="O111" s="339">
        <f>IFERROR(VLOOKUP(J111,DBCOOLING!$H$10:$Q$100,7,0),0)</f>
        <v>0</v>
      </c>
      <c r="P111" s="339"/>
      <c r="Q111" s="339"/>
      <c r="R111" s="328">
        <f>IFERROR(VLOOKUP(J111,DBCOOLING!$H$10:$Q$100,9,0),0)</f>
        <v>0</v>
      </c>
      <c r="S111" s="329"/>
      <c r="T111" s="339">
        <f>IFERROR(VLOOKUP(J111,DBCOOLING!$H$10:$Q$100,10,0),0)</f>
        <v>0</v>
      </c>
      <c r="U111" s="339"/>
      <c r="Y111" s="84"/>
    </row>
    <row r="112" spans="6:33">
      <c r="F112" s="51" t="str">
        <f>IF(J112="","",IF(IFERROR(SEARCH($J$108,IFERROR(VLOOKUP(J112,DBCOOLING!$H$10:$Q$100,4,FALSE),0),1)&gt;0,0),"OK","ERR"))</f>
        <v/>
      </c>
      <c r="G112" s="295" t="s">
        <v>442</v>
      </c>
      <c r="H112" s="295"/>
      <c r="I112" s="295"/>
      <c r="J112" s="279"/>
      <c r="K112" s="281"/>
      <c r="L112" s="280"/>
      <c r="M112" s="16" t="s">
        <v>158</v>
      </c>
      <c r="N112" s="120" t="str">
        <f>IFERROR(VLOOKUP(J112,DBCOOLING!$H$10:$Q$100,2,0),"")</f>
        <v/>
      </c>
      <c r="O112" s="339">
        <f>IFERROR(VLOOKUP(J112,DBCOOLING!$H$10:$Q$100,7,0),0)</f>
        <v>0</v>
      </c>
      <c r="P112" s="339"/>
      <c r="Q112" s="339"/>
      <c r="R112" s="328">
        <f>IFERROR(VLOOKUP(J112,DBCOOLING!$H$10:$Q$100,9,0),0)</f>
        <v>0</v>
      </c>
      <c r="S112" s="329"/>
      <c r="T112" s="339">
        <f>IFERROR(VLOOKUP(J112,DBCOOLING!$H$10:$Q$100,10,0),0)</f>
        <v>0</v>
      </c>
      <c r="U112" s="339"/>
    </row>
    <row r="113" spans="6:33">
      <c r="F113" s="51" t="str">
        <f>IF(J113="","",IF(IFERROR(SEARCH($J$108,IFERROR(VLOOKUP(J113,DBCOOLING!$H$10:$Q$100,4,FALSE),0),1)&gt;0,0),"OK","ERR"))</f>
        <v/>
      </c>
      <c r="G113" s="295" t="s">
        <v>443</v>
      </c>
      <c r="H113" s="295"/>
      <c r="I113" s="295"/>
      <c r="J113" s="279"/>
      <c r="K113" s="281"/>
      <c r="L113" s="280"/>
      <c r="M113" s="16" t="s">
        <v>158</v>
      </c>
      <c r="N113" s="120" t="str">
        <f>IFERROR(VLOOKUP(J113,DBCOOLING!$H$10:$Q$100,2,0),"")</f>
        <v/>
      </c>
      <c r="O113" s="339">
        <f>IFERROR(VLOOKUP(J113,DBCOOLING!$H$10:$Q$100,7,0),0)</f>
        <v>0</v>
      </c>
      <c r="P113" s="339"/>
      <c r="Q113" s="339"/>
      <c r="R113" s="328">
        <f>IFERROR(VLOOKUP(J113,DBCOOLING!$H$10:$Q$100,9,0),0)</f>
        <v>0</v>
      </c>
      <c r="S113" s="329"/>
      <c r="T113" s="339">
        <f>IFERROR(VLOOKUP(J113,DBCOOLING!$H$10:$Q$100,10,0),0)</f>
        <v>0</v>
      </c>
      <c r="U113" s="339"/>
    </row>
    <row r="114" spans="6:33">
      <c r="F114" s="51" t="str">
        <f>IF(J114="","",IF(IFERROR(SEARCH($J$108,IFERROR(VLOOKUP(J114,DBCOOLING!$H$10:$Q$100,4,FALSE),0),1)&gt;0,0),"OK","ERR"))</f>
        <v/>
      </c>
      <c r="G114" s="295" t="s">
        <v>444</v>
      </c>
      <c r="H114" s="295"/>
      <c r="I114" s="295"/>
      <c r="J114" s="279"/>
      <c r="K114" s="281"/>
      <c r="L114" s="280"/>
      <c r="M114" s="16" t="s">
        <v>158</v>
      </c>
      <c r="N114" s="120" t="str">
        <f>IFERROR(VLOOKUP(J114,DBCOOLING!$H$10:$Q$100,2,0),"")</f>
        <v/>
      </c>
      <c r="O114" s="339">
        <f>IFERROR(VLOOKUP(J114,DBCOOLING!$H$10:$Q$100,7,0),0)</f>
        <v>0</v>
      </c>
      <c r="P114" s="339"/>
      <c r="Q114" s="339"/>
      <c r="R114" s="328">
        <f>IFERROR(VLOOKUP(J114,DBCOOLING!$H$10:$Q$100,9,0),0)</f>
        <v>0</v>
      </c>
      <c r="S114" s="329"/>
      <c r="T114" s="339">
        <f>IFERROR(VLOOKUP(J114,DBCOOLING!$H$10:$Q$100,10,0),0)</f>
        <v>0</v>
      </c>
      <c r="U114" s="339"/>
    </row>
    <row r="115" spans="6:33">
      <c r="F115" s="51" t="str">
        <f>IF(J115="","",IF(IFERROR(SEARCH($J$108,IFERROR(VLOOKUP(J115,DBCOOLING!$H$10:$Q$100,4,FALSE),0),1)&gt;0,0),"OK","ERR"))</f>
        <v/>
      </c>
      <c r="G115" s="295" t="s">
        <v>445</v>
      </c>
      <c r="H115" s="295"/>
      <c r="I115" s="295"/>
      <c r="J115" s="279"/>
      <c r="K115" s="281"/>
      <c r="L115" s="280"/>
      <c r="M115" s="16" t="s">
        <v>158</v>
      </c>
      <c r="N115" s="120" t="str">
        <f>IFERROR(VLOOKUP(J115,DBCOOLING!$H$10:$Q$100,2,0),"")</f>
        <v/>
      </c>
      <c r="O115" s="339">
        <f>IFERROR(VLOOKUP(J115,DBCOOLING!$H$10:$Q$100,7,0),0)</f>
        <v>0</v>
      </c>
      <c r="P115" s="339"/>
      <c r="Q115" s="339"/>
      <c r="R115" s="328">
        <f>IFERROR(VLOOKUP(J115,DBCOOLING!$H$10:$Q$100,9,0),0)</f>
        <v>0</v>
      </c>
      <c r="S115" s="329"/>
      <c r="T115" s="339">
        <f>IFERROR(VLOOKUP(J115,DBCOOLING!$H$10:$Q$100,10,0),0)</f>
        <v>0</v>
      </c>
      <c r="U115" s="339"/>
    </row>
    <row r="116" spans="6:33">
      <c r="S116" s="185">
        <f>SUM(R112:S115)</f>
        <v>0</v>
      </c>
    </row>
    <row r="117" spans="6:33" ht="15" customHeight="1">
      <c r="F117" s="336" t="s">
        <v>446</v>
      </c>
      <c r="G117" s="336"/>
      <c r="H117" s="336"/>
      <c r="I117" s="336"/>
      <c r="J117" s="114"/>
      <c r="K117" s="114"/>
      <c r="L117" s="114"/>
      <c r="M117" s="114"/>
      <c r="N117" s="6"/>
      <c r="O117" s="6"/>
      <c r="P117" s="6"/>
      <c r="Q117" s="77"/>
    </row>
    <row r="118" spans="6:33" ht="15.75" customHeight="1">
      <c r="F118" s="337"/>
      <c r="G118" s="337"/>
      <c r="H118" s="337"/>
      <c r="I118" s="337"/>
      <c r="J118" s="114"/>
      <c r="K118" s="114"/>
      <c r="L118" s="114"/>
      <c r="M118" s="114"/>
      <c r="N118" s="6"/>
      <c r="O118" s="6"/>
      <c r="P118" s="6"/>
    </row>
    <row r="119" spans="6:33" ht="15" customHeight="1">
      <c r="F119" s="51"/>
      <c r="G119" s="295" t="s">
        <v>447</v>
      </c>
      <c r="H119" s="295"/>
      <c r="I119" s="295"/>
      <c r="J119" s="326">
        <f>IFERROR((IF($M$9="ENABLED",SUMIF($K$11:$K$35,"Int.",$M$11:$M$35)+$M$46))+(IF($W$9="ENABLED",SUMIF($U$11:$U$35,"Int.",$W$11:$W$35)+$W$46))+(IF($AG$9="ENABLED",SUMIF($AE$11:$AE$35,"Int.",$AG$11:$AG$35)+$AG$46))+(IF($M$9="ENABLED",(1-VLOOKUP($J$62,DBRECT!$H$10:$M$100,6, 0))*SUM($M$36,$M$46),0))+(IF($W$9="ENABLED",(1-VLOOKUP($T$62,DBRECT!$H$10:$M$100,6, 0))*SUM($W$36,$W$46),0))+(IF($AG$9="ENABLED",(1-VLOOKUP($AD$62,DBRECT!$H$10:$M$100,6, 0))*SUM($AG$36,$AG$46),0)),0)</f>
        <v>1412.7680000000005</v>
      </c>
      <c r="K119" s="325"/>
      <c r="L119" s="82" t="s">
        <v>414</v>
      </c>
      <c r="M119" s="25"/>
      <c r="N119" s="83" t="s">
        <v>191</v>
      </c>
      <c r="O119" s="84" t="s">
        <v>448</v>
      </c>
      <c r="P119" s="84"/>
      <c r="Q119" s="84"/>
      <c r="R119" s="85"/>
    </row>
    <row r="120" spans="6:33">
      <c r="F120" s="51" t="str">
        <f>IF(J120=0,"",IF(J109="Airconditioning",IF(J120&gt;J119,"OK","ERR2"),IF(AND(J109="Free Air",J120&lt;&gt;""),"ERR1","OK")))</f>
        <v/>
      </c>
      <c r="G120" s="295" t="s">
        <v>449</v>
      </c>
      <c r="H120" s="295"/>
      <c r="I120" s="295"/>
      <c r="J120" s="326">
        <f>SUM(O112:Q115)</f>
        <v>0</v>
      </c>
      <c r="K120" s="326"/>
      <c r="L120" s="82" t="s">
        <v>414</v>
      </c>
      <c r="M120" s="6"/>
      <c r="N120" s="83"/>
      <c r="O120" s="84"/>
      <c r="P120" s="83" t="s">
        <v>191</v>
      </c>
      <c r="Q120" s="84" t="s">
        <v>450</v>
      </c>
      <c r="R120" s="85"/>
    </row>
    <row r="121" spans="6:33">
      <c r="F121" s="51" t="str">
        <f>IF(J121=0,"",IF(J121&gt;J119,"OK","ERR"))</f>
        <v>OK</v>
      </c>
      <c r="G121" s="295" t="s">
        <v>451</v>
      </c>
      <c r="H121" s="295"/>
      <c r="I121" s="295"/>
      <c r="J121" s="326">
        <f>(IF(AND(OR(J108="ICS ODC",J108="VERTIV ODC"),J109="Free Air"),VLOOKUP(J108&amp;" FAN",DBCOOLING!H10:Q100,7,0)*J110,0))+(IF(O111="",0,O111))</f>
        <v>9048</v>
      </c>
      <c r="K121" s="326"/>
      <c r="L121" s="82" t="s">
        <v>414</v>
      </c>
      <c r="M121" s="6"/>
      <c r="N121" s="6"/>
      <c r="O121" s="6"/>
      <c r="P121" s="83" t="s">
        <v>191</v>
      </c>
      <c r="Q121" s="84" t="s">
        <v>452</v>
      </c>
    </row>
    <row r="122" spans="6:33" ht="15" customHeight="1">
      <c r="F122" s="51"/>
      <c r="G122" s="295" t="s">
        <v>453</v>
      </c>
      <c r="H122" s="295"/>
      <c r="I122" s="295"/>
      <c r="J122" s="326">
        <f>IF(N112="DC",R112,0)+IF(N113="DC",R113,0)+IF(N114="DC",R114,0)+IF(N115="DC",R115,0)+IF(N111="DC",R111,0)+IF(AND(OR(J108="ICS ODC",J108="VERTIV ODC"),J109="Free Air"),VLOOKUP(J108&amp;" FAN",DBCOOLING!H10:Q100,9,0)*J110,0)</f>
        <v>777.59999999999991</v>
      </c>
      <c r="K122" s="326"/>
      <c r="L122" s="82" t="s">
        <v>414</v>
      </c>
      <c r="N122" s="83" t="s">
        <v>191</v>
      </c>
      <c r="O122" s="118" t="s">
        <v>454</v>
      </c>
      <c r="P122" s="6"/>
      <c r="Q122" s="6"/>
    </row>
    <row r="123" spans="6:33" ht="15" customHeight="1">
      <c r="P123" s="84"/>
    </row>
    <row r="124" spans="6:33" ht="15" customHeight="1"/>
    <row r="125" spans="6:33" ht="15" customHeight="1">
      <c r="G125" s="316" t="s">
        <v>348</v>
      </c>
      <c r="H125" s="316"/>
      <c r="I125" s="316"/>
      <c r="J125" s="316"/>
      <c r="K125" s="316"/>
      <c r="L125" s="316"/>
      <c r="M125" s="316"/>
      <c r="N125" s="316"/>
      <c r="O125" s="316"/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  <c r="AA125" s="316"/>
      <c r="AB125" s="316"/>
      <c r="AC125" s="316"/>
      <c r="AD125" s="316"/>
      <c r="AE125" s="316"/>
      <c r="AF125" s="316"/>
      <c r="AG125" s="316"/>
    </row>
    <row r="126" spans="6:33" ht="15" customHeight="1"/>
    <row r="127" spans="6:33" ht="15" customHeight="1">
      <c r="F127" s="292" t="s">
        <v>455</v>
      </c>
      <c r="G127" s="292"/>
      <c r="H127" s="292"/>
      <c r="I127" s="292"/>
      <c r="J127" s="292"/>
      <c r="K127" s="292"/>
      <c r="L127" s="292"/>
      <c r="M127" s="292"/>
    </row>
    <row r="128" spans="6:33" ht="15" customHeight="1">
      <c r="F128" s="292"/>
      <c r="G128" s="292"/>
      <c r="H128" s="292"/>
      <c r="I128" s="292"/>
      <c r="J128" s="292"/>
      <c r="K128" s="292"/>
      <c r="L128" s="292"/>
      <c r="M128" s="292"/>
    </row>
    <row r="129" spans="6:28" ht="15" customHeight="1">
      <c r="F129" s="25"/>
      <c r="G129" s="25"/>
      <c r="H129" s="25"/>
      <c r="I129" s="25"/>
      <c r="J129" s="25"/>
      <c r="K129" s="25"/>
      <c r="L129" s="25"/>
      <c r="M129" s="25"/>
    </row>
    <row r="130" spans="6:28" ht="15" customHeight="1">
      <c r="G130" s="6"/>
      <c r="H130" s="81"/>
      <c r="I130" s="81"/>
      <c r="J130" s="81"/>
      <c r="K130" s="334" t="s">
        <v>456</v>
      </c>
      <c r="L130" s="334"/>
      <c r="M130" s="334"/>
      <c r="N130" s="334"/>
      <c r="O130" s="334"/>
      <c r="P130" s="334"/>
      <c r="Q130" s="334"/>
      <c r="T130" s="334" t="s">
        <v>457</v>
      </c>
      <c r="U130" s="334"/>
    </row>
    <row r="131" spans="6:28" ht="15" customHeight="1">
      <c r="G131" s="6"/>
      <c r="H131" s="81"/>
      <c r="I131" s="81"/>
      <c r="J131" s="81"/>
      <c r="K131" s="335" t="s">
        <v>388</v>
      </c>
      <c r="L131" s="335"/>
      <c r="M131" s="334" t="s">
        <v>389</v>
      </c>
      <c r="N131" s="334"/>
      <c r="O131" s="333" t="s">
        <v>390</v>
      </c>
      <c r="P131" s="333"/>
      <c r="Q131" s="333"/>
      <c r="T131" s="335" t="s">
        <v>388</v>
      </c>
      <c r="U131" s="335"/>
      <c r="AB131" s="85"/>
    </row>
    <row r="132" spans="6:28" ht="15" customHeight="1">
      <c r="G132" s="6"/>
      <c r="H132" s="81"/>
      <c r="I132" s="81"/>
      <c r="J132" s="81"/>
      <c r="K132" s="100" t="s">
        <v>363</v>
      </c>
      <c r="L132" s="100" t="s">
        <v>364</v>
      </c>
      <c r="M132" s="100" t="s">
        <v>363</v>
      </c>
      <c r="N132" s="100" t="s">
        <v>364</v>
      </c>
      <c r="O132" s="332" t="s">
        <v>363</v>
      </c>
      <c r="P132" s="332"/>
      <c r="Q132" s="100" t="s">
        <v>364</v>
      </c>
      <c r="T132" s="100" t="s">
        <v>363</v>
      </c>
      <c r="U132" s="100" t="s">
        <v>364</v>
      </c>
      <c r="Y132" s="86" t="s">
        <v>458</v>
      </c>
      <c r="Z132" s="39"/>
      <c r="AA132" s="39"/>
      <c r="AB132" s="85"/>
    </row>
    <row r="133" spans="6:28" ht="15" customHeight="1">
      <c r="F133" s="384" t="s">
        <v>459</v>
      </c>
      <c r="G133" s="385"/>
      <c r="H133" s="381" t="s">
        <v>460</v>
      </c>
      <c r="I133" s="381"/>
      <c r="J133" s="381"/>
      <c r="K133" s="104">
        <f>IFERROR(SUM(WSPSU!H19,WSPSU!H42,WSPSU!H65),0)</f>
        <v>5146.8906666666653</v>
      </c>
      <c r="L133" s="104">
        <f>IFERROR(SUM(WSPSU!H26,WSPSU!H49,WSPSU!H72),0)</f>
        <v>7438.2013333333325</v>
      </c>
      <c r="M133" s="104">
        <f>IFERROR(SUM(WSPSU!I19,WSPSU!I42,WSPSU!I65),0)</f>
        <v>5146.8906666666653</v>
      </c>
      <c r="N133" s="104">
        <f>IFERROR(SUM(WSPSU!I26,WSPSU!I49,WSPSU!I72),0)</f>
        <v>7438.2013333333325</v>
      </c>
      <c r="O133" s="390">
        <f>IFERROR(SUM(WSPSU!J19,WSPSU!J42,WSPSU!J65),0)</f>
        <v>5146.8906666666653</v>
      </c>
      <c r="P133" s="390"/>
      <c r="Q133" s="104">
        <f>IFERROR(SUM(WSPSU!J26,WSPSU!J49,WSPSU!J72),0)</f>
        <v>7438.2013333333325</v>
      </c>
      <c r="R133" s="82" t="s">
        <v>461</v>
      </c>
      <c r="T133" s="105">
        <f>SUM(K133,M133,O133)</f>
        <v>15440.671999999995</v>
      </c>
      <c r="U133" s="105">
        <f>SUM(L133,N133,Q133)</f>
        <v>22314.603999999999</v>
      </c>
      <c r="V133" s="82" t="s">
        <v>461</v>
      </c>
      <c r="X133" s="83" t="s">
        <v>191</v>
      </c>
      <c r="Y133" s="84" t="s">
        <v>462</v>
      </c>
      <c r="Z133" s="84"/>
      <c r="AA133" s="84"/>
      <c r="AB133" s="85"/>
    </row>
    <row r="134" spans="6:28">
      <c r="F134" s="386"/>
      <c r="G134" s="387"/>
      <c r="H134" s="381"/>
      <c r="I134" s="381"/>
      <c r="J134" s="381"/>
      <c r="K134" s="97">
        <f>K133/230</f>
        <v>22.377785507246372</v>
      </c>
      <c r="L134" s="101">
        <f>L133/230</f>
        <v>32.340005797101448</v>
      </c>
      <c r="M134" s="97">
        <f>M133/230</f>
        <v>22.377785507246372</v>
      </c>
      <c r="N134" s="101">
        <f>N133/230</f>
        <v>32.340005797101448</v>
      </c>
      <c r="O134" s="391">
        <f>O133/230</f>
        <v>22.377785507246372</v>
      </c>
      <c r="P134" s="391"/>
      <c r="Q134" s="101">
        <f>Q133/230</f>
        <v>32.340005797101448</v>
      </c>
      <c r="R134" s="82" t="s">
        <v>463</v>
      </c>
      <c r="T134" s="103">
        <f>T133/230</f>
        <v>67.133356521739103</v>
      </c>
      <c r="U134" s="102">
        <f>U133/230</f>
        <v>97.02001739130435</v>
      </c>
      <c r="V134" s="82" t="s">
        <v>463</v>
      </c>
      <c r="X134" s="83" t="s">
        <v>191</v>
      </c>
      <c r="Y134" s="84" t="s">
        <v>464</v>
      </c>
    </row>
    <row r="135" spans="6:28">
      <c r="F135" s="386"/>
      <c r="G135" s="387"/>
      <c r="O135" s="81"/>
      <c r="X135" s="83" t="s">
        <v>191</v>
      </c>
      <c r="Y135" s="84" t="s">
        <v>465</v>
      </c>
      <c r="Z135" s="84"/>
      <c r="AA135" s="85"/>
    </row>
    <row r="136" spans="6:28">
      <c r="F136" s="386"/>
      <c r="G136" s="387"/>
      <c r="H136" s="381" t="s">
        <v>466</v>
      </c>
      <c r="I136" s="381"/>
      <c r="J136" s="381"/>
      <c r="K136" s="104">
        <f>IFERROR(SUM(WSPSU!H19,WSPSU!H42,WSPSU!H65)+(IF(N112="AC",R112,0)+(IF(N115="AC",R115,0))),0)</f>
        <v>5146.8906666666653</v>
      </c>
      <c r="L136" s="104">
        <f>IFERROR(SUM(WSPSU!H26,WSPSU!H49,WSPSU!H72)+(IF(N112="AC",R112,0)+(IF(N115="AC",R115,0))),0)</f>
        <v>7438.2013333333325</v>
      </c>
      <c r="M136" s="104">
        <f>IFERROR(SUM(WSPSU!I19,WSPSU!I42,WSPSU!I65)+(IF(N113="AC",R113,0)),0)</f>
        <v>5146.8906666666653</v>
      </c>
      <c r="N136" s="104">
        <f>IFERROR(SUM(WSPSU!I26,WSPSU!I49,WSPSU!I72)+(IF(N113="AC",R113,0)),0)</f>
        <v>7438.2013333333325</v>
      </c>
      <c r="O136" s="390">
        <f>IFERROR(SUM(WSPSU!J19,WSPSU!J42,WSPSU!J65)+(IF(N114="AC",R114,0)),0)</f>
        <v>5146.8906666666653</v>
      </c>
      <c r="P136" s="390"/>
      <c r="Q136" s="104">
        <f>IFERROR(SUM(WSPSU!J26,WSPSU!J49,WSPSU!J72)+(IF(N114="AC",R114,0)),0)</f>
        <v>7438.2013333333325</v>
      </c>
      <c r="R136" s="82" t="s">
        <v>461</v>
      </c>
      <c r="T136" s="105">
        <f>SUM(K136,M136,O136)</f>
        <v>15440.671999999995</v>
      </c>
      <c r="U136" s="105">
        <f>SUM(L136,N136,Q136)</f>
        <v>22314.603999999999</v>
      </c>
      <c r="V136" s="82" t="s">
        <v>461</v>
      </c>
      <c r="Y136" s="84" t="s">
        <v>467</v>
      </c>
      <c r="Z136" s="85"/>
      <c r="AA136" s="85"/>
    </row>
    <row r="137" spans="6:28">
      <c r="F137" s="386"/>
      <c r="G137" s="387"/>
      <c r="H137" s="381"/>
      <c r="I137" s="381"/>
      <c r="J137" s="381"/>
      <c r="K137" s="97">
        <f>K136/230</f>
        <v>22.377785507246372</v>
      </c>
      <c r="L137" s="101">
        <f>L136/230</f>
        <v>32.340005797101448</v>
      </c>
      <c r="M137" s="97">
        <f>M136/230</f>
        <v>22.377785507246372</v>
      </c>
      <c r="N137" s="101">
        <f>N136/230</f>
        <v>32.340005797101448</v>
      </c>
      <c r="O137" s="391">
        <f>O136/230</f>
        <v>22.377785507246372</v>
      </c>
      <c r="P137" s="391"/>
      <c r="Q137" s="101">
        <f>Q136/230</f>
        <v>32.340005797101448</v>
      </c>
      <c r="R137" s="82" t="s">
        <v>463</v>
      </c>
      <c r="T137" s="103">
        <f>T136/230</f>
        <v>67.133356521739103</v>
      </c>
      <c r="U137" s="102">
        <f>U136/230</f>
        <v>97.02001739130435</v>
      </c>
      <c r="V137" s="82" t="s">
        <v>463</v>
      </c>
      <c r="Y137" s="84"/>
      <c r="Z137" s="201" t="s">
        <v>210</v>
      </c>
      <c r="AA137" s="84" t="s">
        <v>468</v>
      </c>
      <c r="AB137" s="84"/>
    </row>
    <row r="138" spans="6:28">
      <c r="F138" s="386"/>
      <c r="G138" s="387"/>
      <c r="Y138" s="84"/>
      <c r="Z138" s="201" t="s">
        <v>210</v>
      </c>
      <c r="AA138" s="84" t="s">
        <v>469</v>
      </c>
    </row>
    <row r="139" spans="6:28">
      <c r="F139" s="386"/>
      <c r="G139" s="387"/>
      <c r="Y139" s="85"/>
      <c r="Z139" s="201" t="s">
        <v>210</v>
      </c>
      <c r="AA139" s="84" t="s">
        <v>470</v>
      </c>
    </row>
    <row r="140" spans="6:28">
      <c r="F140" s="386"/>
      <c r="G140" s="387"/>
      <c r="H140" s="380" t="s">
        <v>471</v>
      </c>
      <c r="I140" s="380"/>
      <c r="J140" s="380"/>
      <c r="K140" s="104">
        <f>IFERROR(SUM(WSPSU!H20,WSPSU!H43,WSPSU!H66)+WSPSU!$L$9+(IF(N112="AC",R112,0)+(IF(N115="AC",R115,0))),0)</f>
        <v>7033.5999999999985</v>
      </c>
      <c r="L140" s="241">
        <f>IFERROR(SUM(WSPSU!H27,WSPSU!H50,WSPSU!H73)+WSPSU!$L$9+(IF(N112="AC",R112,0)+(IF(N115="AC",R115,0))),0)</f>
        <v>9236.783333333331</v>
      </c>
      <c r="M140" s="104">
        <f>IFERROR(SUM(WSPSU!I20,WSPSU!I43,WSPSU!I66)+(IF(N113="AC",R113,0)),0)</f>
        <v>6803.5999999999985</v>
      </c>
      <c r="N140" s="104">
        <f>IFERROR(SUM(WSPSU!I27,WSPSU!I50,WSPSU!I73)+(IF(N113="AC",R113,0)),0)</f>
        <v>9006.783333333331</v>
      </c>
      <c r="O140" s="390">
        <f>IFERROR(SUM(WSPSU!J20,WSPSU!J43,WSPSU!J66)+(IF(N114="AC",R114,0)),0)</f>
        <v>6803.5999999999985</v>
      </c>
      <c r="P140" s="390"/>
      <c r="Q140" s="104">
        <f>IFERROR(SUM(WSPSU!J27,WSPSU!J50,WSPSU!J73)+(IF(N114="AC",R114,0)),0)</f>
        <v>9006.783333333331</v>
      </c>
      <c r="R140" s="82" t="s">
        <v>461</v>
      </c>
      <c r="T140" s="105">
        <f>SUM(K140,M140,O140)</f>
        <v>20640.799999999996</v>
      </c>
      <c r="U140" s="105">
        <f>SUM(L140,N140,Q140)</f>
        <v>27250.349999999991</v>
      </c>
      <c r="V140" s="82" t="s">
        <v>461</v>
      </c>
      <c r="Y140" s="85"/>
      <c r="Z140" s="201" t="s">
        <v>210</v>
      </c>
      <c r="AA140" s="84" t="s">
        <v>472</v>
      </c>
      <c r="AB140" s="84"/>
    </row>
    <row r="141" spans="6:28">
      <c r="F141" s="388"/>
      <c r="G141" s="389"/>
      <c r="H141" s="380"/>
      <c r="I141" s="380"/>
      <c r="J141" s="380"/>
      <c r="K141" s="97">
        <f>K140/230</f>
        <v>30.580869565217384</v>
      </c>
      <c r="L141" s="101">
        <f>L140/230</f>
        <v>40.159927536231876</v>
      </c>
      <c r="M141" s="97">
        <f>M140/230</f>
        <v>29.580869565217384</v>
      </c>
      <c r="N141" s="101">
        <f>N140/230</f>
        <v>39.159927536231876</v>
      </c>
      <c r="O141" s="391">
        <f>O140/230</f>
        <v>29.580869565217384</v>
      </c>
      <c r="P141" s="391"/>
      <c r="Q141" s="101">
        <f>Q140/230</f>
        <v>39.159927536231876</v>
      </c>
      <c r="R141" s="82" t="s">
        <v>463</v>
      </c>
      <c r="T141" s="103">
        <f>T140/230</f>
        <v>89.742608695652152</v>
      </c>
      <c r="U141" s="102">
        <f>U140/230</f>
        <v>118.47978260869561</v>
      </c>
      <c r="V141" s="82" t="s">
        <v>463</v>
      </c>
      <c r="Z141" s="83"/>
      <c r="AA141" s="84"/>
      <c r="AB141" s="85"/>
    </row>
    <row r="142" spans="6:28">
      <c r="X142" s="83" t="s">
        <v>191</v>
      </c>
      <c r="Y142" s="84" t="s">
        <v>473</v>
      </c>
      <c r="Z142" s="84"/>
      <c r="AA142" s="84"/>
    </row>
    <row r="143" spans="6:28">
      <c r="U143" s="185">
        <f>J87+S116</f>
        <v>11106.75</v>
      </c>
      <c r="Y143" s="84" t="s">
        <v>474</v>
      </c>
    </row>
    <row r="145" spans="2:33">
      <c r="F145" s="336" t="s">
        <v>475</v>
      </c>
      <c r="G145" s="336"/>
      <c r="H145" s="336"/>
      <c r="I145" s="336"/>
    </row>
    <row r="146" spans="2:33">
      <c r="F146" s="336"/>
      <c r="G146" s="336"/>
      <c r="H146" s="336"/>
      <c r="I146" s="336"/>
      <c r="K146" s="35"/>
      <c r="L146" s="35"/>
      <c r="M146" s="35"/>
    </row>
    <row r="147" spans="2:33">
      <c r="K147" s="320" t="s">
        <v>476</v>
      </c>
      <c r="L147" s="320"/>
      <c r="N147" s="320" t="s">
        <v>477</v>
      </c>
      <c r="O147" s="321"/>
      <c r="P147" s="321"/>
      <c r="Q147" s="321"/>
    </row>
    <row r="148" spans="2:33">
      <c r="K148" s="51" t="s">
        <v>478</v>
      </c>
      <c r="L148" s="51" t="s">
        <v>479</v>
      </c>
      <c r="M148" s="51" t="s">
        <v>480</v>
      </c>
      <c r="N148" s="162" t="s">
        <v>352</v>
      </c>
      <c r="O148" s="320" t="s">
        <v>356</v>
      </c>
      <c r="P148" s="320"/>
      <c r="Q148" s="51" t="s">
        <v>357</v>
      </c>
    </row>
    <row r="149" spans="2:33">
      <c r="F149" s="395"/>
      <c r="G149" s="394" t="s">
        <v>481</v>
      </c>
      <c r="H149" s="394"/>
      <c r="I149" s="394"/>
      <c r="J149" s="394"/>
      <c r="K149" s="392">
        <f>IF('EXT-MAINS-DT'!J26="","NA",'EXT-MAINS-DT'!J26)</f>
        <v>100</v>
      </c>
      <c r="L149" s="392">
        <f>IF('PRP-SOL'!R24="","NA",'PRP-SOL'!R24)</f>
        <v>100</v>
      </c>
      <c r="M149" s="392" t="str">
        <f>'PRP-SOL'!R11</f>
        <v>3P 415V</v>
      </c>
      <c r="N149" s="322" t="str">
        <f>IF(OR($L149=0,$L149="NA"),"NR",IF(AND('PLBC-CALC'!$J$10="Yes",OR('PLBC-CALC'!F$74="OK",'PLBC-CALC'!F$74="NR"),'PLBC-CALC'!F$69="OK",'PLBC-CALC'!F$12="OK"),"PASS",IF('PLBC-CALC'!$J$10="No","D","FAIL")))</f>
        <v>D</v>
      </c>
      <c r="O149" s="324" t="str">
        <f>IF(OR($L149=0,$L149="NA"),"NR",IF(AND('PLBC-CALC'!$J$10="Yes",'PLBC-CALC'!L$74="OK",'PLBC-CALC'!L$62="E",'PLBC-CALC'!L$69="OK",'PLBC-CALC'!F$12="OK"),"PASS",IF('PLBC-CALC'!$J$10="No","D",IF('PLBC-CALC'!$L$62="D","NR","FAIL"))))</f>
        <v>D</v>
      </c>
      <c r="P149" s="324"/>
      <c r="Q149" s="324" t="str">
        <f>IF(OR($L149=0,$L149="NA"),"NR",IF(AND('PLBC-CALC'!$J$10="Yes",'PLBC-CALC'!R$74="OK",'PLBC-CALC'!R$69="OK",'PLBC-CALC'!R$62="E",'PLBC-CALC'!F$12="OK"),"PASS",IF('PLBC-CALC'!$J$10="No","D",IF('PLBC-CALC'!$R$62="D","NR","FAIL"))))</f>
        <v>D</v>
      </c>
    </row>
    <row r="150" spans="2:33">
      <c r="F150" s="396"/>
      <c r="G150" s="394"/>
      <c r="H150" s="394"/>
      <c r="I150" s="394"/>
      <c r="J150" s="394"/>
      <c r="K150" s="393"/>
      <c r="L150" s="393"/>
      <c r="M150" s="393"/>
      <c r="N150" s="323"/>
      <c r="O150" s="324"/>
      <c r="P150" s="324"/>
      <c r="Q150" s="324"/>
    </row>
    <row r="151" spans="2:33">
      <c r="F151" s="395"/>
      <c r="G151" s="394" t="s">
        <v>482</v>
      </c>
      <c r="H151" s="394"/>
      <c r="I151" s="394"/>
      <c r="J151" s="394"/>
      <c r="K151" s="392">
        <f>IF('EXT-MAINS-DT'!J55="","NA",'EXT-MAINS-DT'!J55)</f>
        <v>50</v>
      </c>
      <c r="L151" s="392">
        <f>IF('PRP-SOL'!R53="","NA",'PRP-SOL'!R53)</f>
        <v>50</v>
      </c>
      <c r="M151" s="324" t="str">
        <f>'PRP-SOL'!R49</f>
        <v>3P 415V</v>
      </c>
      <c r="N151" s="322" t="str">
        <f>IF(OR($L151=0,$L151="NA"),"NR",IF(AND('PLBC-CALC'!$J$10="Yes",OR('PLBC-CALC'!F$74="OK",'PLBC-CALC'!F$74="NR"),'PLBC-CALC'!F$69="OK",'PLBC-CALC'!F$12="OK"),"PASS",IF('PLBC-CALC'!$J$10="No","D","FAIL")))</f>
        <v>D</v>
      </c>
      <c r="O151" s="324" t="str">
        <f>IF(OR($L151=0,$L151="NA"),"NR",IF(AND('PLBC-CALC'!$J$10="Yes",'PLBC-CALC'!L$74="OK",'PLBC-CALC'!L$62="E",'PLBC-CALC'!L$69="OK",'PLBC-CALC'!F$12="OK"),"PASS",IF('PLBC-CALC'!$J$10="No","D",IF('PLBC-CALC'!$L$62="D","NR","FAIL"))))</f>
        <v>D</v>
      </c>
      <c r="P151" s="324"/>
      <c r="Q151" s="324" t="str">
        <f>IF(OR($L151=0,$L151="NA"),"NR",IF(AND('PLBC-CALC'!$J$10="Yes",'PLBC-CALC'!R$74="OK",'PLBC-CALC'!R$69="OK",'PLBC-CALC'!R$62="E",'PLBC-CALC'!F$12="OK"),"PASS",IF('PLBC-CALC'!$J$10="No","D",IF('PLBC-CALC'!$R$62="D","NR","FAIL"))))</f>
        <v>D</v>
      </c>
    </row>
    <row r="152" spans="2:33">
      <c r="F152" s="396"/>
      <c r="G152" s="394"/>
      <c r="H152" s="394"/>
      <c r="I152" s="394"/>
      <c r="J152" s="394"/>
      <c r="K152" s="393"/>
      <c r="L152" s="393"/>
      <c r="M152" s="324"/>
      <c r="N152" s="323"/>
      <c r="O152" s="324"/>
      <c r="P152" s="324"/>
      <c r="Q152" s="324"/>
    </row>
    <row r="153" spans="2:33">
      <c r="F153" s="395"/>
      <c r="G153" s="394" t="s">
        <v>483</v>
      </c>
      <c r="H153" s="394"/>
      <c r="I153" s="394"/>
      <c r="J153" s="394"/>
      <c r="K153" s="392">
        <f>IF('EXT-MAINS-DT'!K67="","NA",'EXT-MAINS-DT'!K67)</f>
        <v>50</v>
      </c>
      <c r="L153" s="392">
        <f>IF('PRP-SOL'!R65="","NA",'PRP-SOL'!R65)</f>
        <v>50</v>
      </c>
      <c r="M153" s="324"/>
      <c r="N153" s="322" t="str">
        <f>IF(OR($L153=0,$L153="NA"),"NR",IF(AND('PLBC-CALC'!$J$10="Yes",OR('PLBC-CALC'!F$74="OK",'PLBC-CALC'!F$74="NR"),'PLBC-CALC'!F$69="OK",'PLBC-CALC'!F$12="OK"),"PASS",IF('PLBC-CALC'!$J$10="No","D","FAIL")))</f>
        <v>D</v>
      </c>
      <c r="O153" s="324" t="str">
        <f>IF(OR($L153=0,$L153="NA"),"NR",IF(AND('PLBC-CALC'!$J$10="Yes",OR('PLBC-CALC'!L$74="OK",'PLBC-CALC'!L$74="NR"),'PLBC-CALC'!L$62="E",'PLBC-CALC'!L$69="OK",'PLBC-CALC'!F$12="OK"),"PASS",IF('PLBC-CALC'!$J$10="No","D",IF('PLBC-CALC'!$L$62="D","NR","FAIL"))))</f>
        <v>D</v>
      </c>
      <c r="P153" s="324"/>
      <c r="Q153" s="324" t="str">
        <f>IF(OR($L153=0,$L153="NA"),"NR",IF(AND('PLBC-CALC'!$J$10="Yes",OR('PLBC-CALC'!R$74="OK",'PLBC-CALC'!R$74="OK"),'PLBC-CALC'!R$69="OK",'PLBC-CALC'!R$62="E",'PLBC-CALC'!F$12="OK"),"PASS",IF('PLBC-CALC'!$J$10="No","D",IF('PLBC-CALC'!$R$62="D","NR","FAIL"))))</f>
        <v>D</v>
      </c>
    </row>
    <row r="154" spans="2:33">
      <c r="F154" s="396"/>
      <c r="G154" s="394"/>
      <c r="H154" s="394"/>
      <c r="I154" s="394"/>
      <c r="J154" s="394"/>
      <c r="K154" s="393"/>
      <c r="L154" s="393"/>
      <c r="M154" s="324"/>
      <c r="N154" s="323"/>
      <c r="O154" s="324"/>
      <c r="P154" s="324"/>
      <c r="Q154" s="324"/>
    </row>
    <row r="155" spans="2:33">
      <c r="B155" s="1" t="s">
        <v>484</v>
      </c>
    </row>
    <row r="158" spans="2:33">
      <c r="G158" s="382" t="s">
        <v>348</v>
      </c>
      <c r="H158" s="382"/>
      <c r="I158" s="382"/>
      <c r="J158" s="382"/>
      <c r="K158" s="382"/>
      <c r="L158" s="382"/>
      <c r="M158" s="382"/>
      <c r="N158" s="382"/>
      <c r="O158" s="382"/>
      <c r="P158" s="382"/>
      <c r="Q158" s="382"/>
      <c r="R158" s="382"/>
      <c r="S158" s="382"/>
      <c r="T158" s="382"/>
      <c r="U158" s="382"/>
      <c r="V158" s="382"/>
      <c r="W158" s="382"/>
      <c r="X158" s="382"/>
      <c r="Y158" s="382"/>
      <c r="Z158" s="382"/>
      <c r="AA158" s="382"/>
      <c r="AB158" s="382"/>
      <c r="AC158" s="382"/>
      <c r="AD158" s="382"/>
      <c r="AE158" s="382"/>
      <c r="AF158" s="382"/>
      <c r="AG158" s="382"/>
    </row>
    <row r="160" spans="2:33" ht="14.65" customHeight="1">
      <c r="F160" s="278" t="s">
        <v>485</v>
      </c>
      <c r="G160" s="278"/>
      <c r="H160" s="278"/>
      <c r="I160" s="278"/>
      <c r="J160" s="278"/>
      <c r="K160" s="278"/>
      <c r="L160" s="278"/>
      <c r="M160" s="278"/>
    </row>
    <row r="161" spans="6:13" ht="14.65" customHeight="1">
      <c r="F161" s="278"/>
      <c r="G161" s="278"/>
      <c r="H161" s="278"/>
      <c r="I161" s="278"/>
      <c r="J161" s="278"/>
      <c r="K161" s="278"/>
      <c r="L161" s="278"/>
      <c r="M161" s="278"/>
    </row>
    <row r="163" spans="6:13" ht="14.65" customHeight="1">
      <c r="F163" s="383" t="s">
        <v>486</v>
      </c>
      <c r="G163" s="383"/>
      <c r="H163" s="383"/>
      <c r="I163" s="383"/>
      <c r="J163" s="383"/>
      <c r="K163" s="239" t="s">
        <v>487</v>
      </c>
      <c r="L163" s="239" t="s">
        <v>488</v>
      </c>
      <c r="M163" s="239" t="s">
        <v>489</v>
      </c>
    </row>
    <row r="164" spans="6:13">
      <c r="F164" s="383"/>
      <c r="G164" s="383"/>
      <c r="H164" s="383"/>
      <c r="I164" s="383"/>
      <c r="J164" s="383"/>
      <c r="K164" s="318">
        <f>MIN(K149:K154)</f>
        <v>50</v>
      </c>
      <c r="L164" s="318">
        <f>MIN(L149:L154)</f>
        <v>50</v>
      </c>
      <c r="M164" s="318" t="str">
        <f>M151</f>
        <v>3P 415V</v>
      </c>
    </row>
    <row r="165" spans="6:13">
      <c r="F165" s="383"/>
      <c r="G165" s="383"/>
      <c r="H165" s="383"/>
      <c r="I165" s="383"/>
      <c r="J165" s="383"/>
      <c r="K165" s="318"/>
      <c r="L165" s="318"/>
      <c r="M165" s="318"/>
    </row>
    <row r="166" spans="6:13" ht="14.65" customHeight="1">
      <c r="F166" s="383" t="s">
        <v>490</v>
      </c>
      <c r="G166" s="383"/>
      <c r="H166" s="383"/>
      <c r="I166" s="383"/>
      <c r="J166" s="383"/>
      <c r="K166" s="238" t="s">
        <v>363</v>
      </c>
      <c r="L166" s="238" t="s">
        <v>364</v>
      </c>
      <c r="M166" s="318"/>
    </row>
    <row r="167" spans="6:13">
      <c r="F167" s="383"/>
      <c r="G167" s="383"/>
      <c r="H167" s="383"/>
      <c r="I167" s="383"/>
      <c r="J167" s="383"/>
      <c r="K167" s="317">
        <f>MAX(K141,M141,O141)</f>
        <v>30.580869565217384</v>
      </c>
      <c r="L167" s="317">
        <f>MAX(L141,N141,Q141)</f>
        <v>40.159927536231876</v>
      </c>
      <c r="M167" s="318"/>
    </row>
    <row r="168" spans="6:13">
      <c r="F168" s="383"/>
      <c r="G168" s="383"/>
      <c r="H168" s="383"/>
      <c r="I168" s="383"/>
      <c r="J168" s="383"/>
      <c r="K168" s="317"/>
      <c r="L168" s="318"/>
      <c r="M168" s="318"/>
    </row>
    <row r="169" spans="6:13" ht="14.65" customHeight="1">
      <c r="F169" s="383" t="s">
        <v>491</v>
      </c>
      <c r="G169" s="383"/>
      <c r="H169" s="383"/>
      <c r="I169" s="383"/>
      <c r="J169" s="383"/>
      <c r="K169" s="319" t="s">
        <v>488</v>
      </c>
      <c r="L169" s="319"/>
      <c r="M169" s="318"/>
    </row>
    <row r="170" spans="6:13">
      <c r="F170" s="383"/>
      <c r="G170" s="383"/>
      <c r="H170" s="383"/>
      <c r="I170" s="383"/>
      <c r="J170" s="383"/>
      <c r="K170" s="318">
        <f>'PLBC-CALC'!J88</f>
        <v>0</v>
      </c>
      <c r="L170" s="318"/>
      <c r="M170" s="318"/>
    </row>
    <row r="171" spans="6:13">
      <c r="F171" s="383"/>
      <c r="G171" s="383"/>
      <c r="H171" s="383"/>
      <c r="I171" s="383"/>
      <c r="J171" s="383"/>
      <c r="K171" s="318"/>
      <c r="L171" s="318"/>
      <c r="M171" s="318"/>
    </row>
    <row r="179" spans="7:33">
      <c r="S179" t="s">
        <v>347</v>
      </c>
    </row>
    <row r="180" spans="7:33">
      <c r="G180" s="316" t="s">
        <v>348</v>
      </c>
      <c r="H180" s="316"/>
      <c r="I180" s="316"/>
      <c r="J180" s="316"/>
      <c r="K180" s="316"/>
      <c r="L180" s="316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  <c r="AA180" s="316"/>
      <c r="AB180" s="316"/>
      <c r="AC180" s="316"/>
      <c r="AD180" s="316"/>
      <c r="AE180" s="316"/>
      <c r="AF180" s="316"/>
      <c r="AG180" s="316"/>
    </row>
    <row r="186" spans="7:33">
      <c r="M186" s="185"/>
    </row>
  </sheetData>
  <mergeCells count="369">
    <mergeCell ref="F133:G141"/>
    <mergeCell ref="O133:P133"/>
    <mergeCell ref="O134:P134"/>
    <mergeCell ref="O140:P140"/>
    <mergeCell ref="O141:P141"/>
    <mergeCell ref="F145:I146"/>
    <mergeCell ref="K153:K154"/>
    <mergeCell ref="G149:J150"/>
    <mergeCell ref="G153:J154"/>
    <mergeCell ref="G151:J152"/>
    <mergeCell ref="K151:K152"/>
    <mergeCell ref="K149:K150"/>
    <mergeCell ref="M149:M150"/>
    <mergeCell ref="M151:M154"/>
    <mergeCell ref="F149:F150"/>
    <mergeCell ref="F153:F154"/>
    <mergeCell ref="F151:F152"/>
    <mergeCell ref="L149:L150"/>
    <mergeCell ref="L153:L154"/>
    <mergeCell ref="L151:L152"/>
    <mergeCell ref="O136:P136"/>
    <mergeCell ref="O137:P137"/>
    <mergeCell ref="G180:AG180"/>
    <mergeCell ref="H140:J141"/>
    <mergeCell ref="H133:J134"/>
    <mergeCell ref="H136:J137"/>
    <mergeCell ref="G103:AG103"/>
    <mergeCell ref="G125:AG125"/>
    <mergeCell ref="F127:M128"/>
    <mergeCell ref="G122:I122"/>
    <mergeCell ref="J122:K122"/>
    <mergeCell ref="G111:I111"/>
    <mergeCell ref="J111:L111"/>
    <mergeCell ref="J109:K109"/>
    <mergeCell ref="G110:I110"/>
    <mergeCell ref="T110:U110"/>
    <mergeCell ref="T111:U111"/>
    <mergeCell ref="F105:P106"/>
    <mergeCell ref="T112:U112"/>
    <mergeCell ref="T113:U113"/>
    <mergeCell ref="T114:U114"/>
    <mergeCell ref="T115:U115"/>
    <mergeCell ref="G158:AG158"/>
    <mergeCell ref="F163:J165"/>
    <mergeCell ref="F166:J168"/>
    <mergeCell ref="F169:J171"/>
    <mergeCell ref="G80:I80"/>
    <mergeCell ref="J80:K80"/>
    <mergeCell ref="J112:L112"/>
    <mergeCell ref="G113:I113"/>
    <mergeCell ref="J113:L113"/>
    <mergeCell ref="G114:I114"/>
    <mergeCell ref="J114:L114"/>
    <mergeCell ref="R113:S113"/>
    <mergeCell ref="R114:S114"/>
    <mergeCell ref="O112:Q112"/>
    <mergeCell ref="O113:Q113"/>
    <mergeCell ref="O114:Q114"/>
    <mergeCell ref="G86:I86"/>
    <mergeCell ref="J86:K86"/>
    <mergeCell ref="G84:I84"/>
    <mergeCell ref="J84:K84"/>
    <mergeCell ref="G83:I83"/>
    <mergeCell ref="J83:K83"/>
    <mergeCell ref="R110:S110"/>
    <mergeCell ref="F96:M97"/>
    <mergeCell ref="R111:S111"/>
    <mergeCell ref="G30:J30"/>
    <mergeCell ref="F67:G68"/>
    <mergeCell ref="H67:H68"/>
    <mergeCell ref="F69:H70"/>
    <mergeCell ref="G73:I73"/>
    <mergeCell ref="J73:K73"/>
    <mergeCell ref="G74:I74"/>
    <mergeCell ref="G75:I75"/>
    <mergeCell ref="F77:M78"/>
    <mergeCell ref="G71:M71"/>
    <mergeCell ref="F36:J37"/>
    <mergeCell ref="F39:J39"/>
    <mergeCell ref="F40:J40"/>
    <mergeCell ref="K47:L47"/>
    <mergeCell ref="F45:J45"/>
    <mergeCell ref="F46:J47"/>
    <mergeCell ref="F42:J42"/>
    <mergeCell ref="F43:J43"/>
    <mergeCell ref="F44:J44"/>
    <mergeCell ref="K36:L36"/>
    <mergeCell ref="K37:L37"/>
    <mergeCell ref="G35:J35"/>
    <mergeCell ref="G31:J31"/>
    <mergeCell ref="G60:I60"/>
    <mergeCell ref="B27:D27"/>
    <mergeCell ref="B23:D23"/>
    <mergeCell ref="G14:J14"/>
    <mergeCell ref="G15:J15"/>
    <mergeCell ref="G16:J16"/>
    <mergeCell ref="G17:J17"/>
    <mergeCell ref="G18:J18"/>
    <mergeCell ref="G28:J28"/>
    <mergeCell ref="G29:J29"/>
    <mergeCell ref="B18:D18"/>
    <mergeCell ref="B19:D19"/>
    <mergeCell ref="B20:D20"/>
    <mergeCell ref="B21:D21"/>
    <mergeCell ref="B22:D22"/>
    <mergeCell ref="G19:J19"/>
    <mergeCell ref="B24:D24"/>
    <mergeCell ref="B25:D25"/>
    <mergeCell ref="B26:D26"/>
    <mergeCell ref="B17:D17"/>
    <mergeCell ref="G20:J20"/>
    <mergeCell ref="G23:J23"/>
    <mergeCell ref="G26:J26"/>
    <mergeCell ref="G27:J27"/>
    <mergeCell ref="G24:J24"/>
    <mergeCell ref="G25:J25"/>
    <mergeCell ref="G21:J21"/>
    <mergeCell ref="B12:D12"/>
    <mergeCell ref="B13:D13"/>
    <mergeCell ref="B14:D14"/>
    <mergeCell ref="B15:D15"/>
    <mergeCell ref="B16:D16"/>
    <mergeCell ref="G22:J22"/>
    <mergeCell ref="F2:P4"/>
    <mergeCell ref="Q2:T4"/>
    <mergeCell ref="B9:D9"/>
    <mergeCell ref="B10:D10"/>
    <mergeCell ref="B11:D11"/>
    <mergeCell ref="P9:Q9"/>
    <mergeCell ref="R9:S9"/>
    <mergeCell ref="Q13:T13"/>
    <mergeCell ref="Q14:T14"/>
    <mergeCell ref="G12:J12"/>
    <mergeCell ref="G13:J13"/>
    <mergeCell ref="G11:J11"/>
    <mergeCell ref="F7:L8"/>
    <mergeCell ref="M9:N9"/>
    <mergeCell ref="F9:G9"/>
    <mergeCell ref="H9:I9"/>
    <mergeCell ref="K9:L9"/>
    <mergeCell ref="G10:J10"/>
    <mergeCell ref="U9:V9"/>
    <mergeCell ref="W9:X9"/>
    <mergeCell ref="Q10:T10"/>
    <mergeCell ref="Q11:T11"/>
    <mergeCell ref="Q12:T12"/>
    <mergeCell ref="Q15:T15"/>
    <mergeCell ref="Q16:T16"/>
    <mergeCell ref="Q17:T17"/>
    <mergeCell ref="Q18:T18"/>
    <mergeCell ref="Q23:T23"/>
    <mergeCell ref="Q24:T24"/>
    <mergeCell ref="Q25:T25"/>
    <mergeCell ref="Q26:T26"/>
    <mergeCell ref="Q27:T27"/>
    <mergeCell ref="Q19:T19"/>
    <mergeCell ref="Q20:T20"/>
    <mergeCell ref="Q21:T21"/>
    <mergeCell ref="Q22:T22"/>
    <mergeCell ref="P44:T44"/>
    <mergeCell ref="P45:T45"/>
    <mergeCell ref="P46:T47"/>
    <mergeCell ref="Q63:S63"/>
    <mergeCell ref="Q64:S64"/>
    <mergeCell ref="U36:V36"/>
    <mergeCell ref="U37:V37"/>
    <mergeCell ref="Q28:T28"/>
    <mergeCell ref="Q29:T29"/>
    <mergeCell ref="Q30:T30"/>
    <mergeCell ref="Q31:T31"/>
    <mergeCell ref="Q32:T32"/>
    <mergeCell ref="P39:T39"/>
    <mergeCell ref="P40:T40"/>
    <mergeCell ref="P41:T41"/>
    <mergeCell ref="P42:T42"/>
    <mergeCell ref="P43:T43"/>
    <mergeCell ref="Q33:T33"/>
    <mergeCell ref="Q34:T34"/>
    <mergeCell ref="Q35:T35"/>
    <mergeCell ref="P36:T37"/>
    <mergeCell ref="U46:V46"/>
    <mergeCell ref="U47:V47"/>
    <mergeCell ref="P54:R57"/>
    <mergeCell ref="J60:L60"/>
    <mergeCell ref="G32:J32"/>
    <mergeCell ref="G33:J33"/>
    <mergeCell ref="G34:J34"/>
    <mergeCell ref="F52:M53"/>
    <mergeCell ref="F41:J41"/>
    <mergeCell ref="G63:I63"/>
    <mergeCell ref="G61:I61"/>
    <mergeCell ref="J61:L61"/>
    <mergeCell ref="G50:AG50"/>
    <mergeCell ref="AA61:AC61"/>
    <mergeCell ref="AD61:AF61"/>
    <mergeCell ref="AA62:AC62"/>
    <mergeCell ref="AD62:AF62"/>
    <mergeCell ref="Z45:AD45"/>
    <mergeCell ref="Z46:AD47"/>
    <mergeCell ref="AE46:AF46"/>
    <mergeCell ref="AE47:AF47"/>
    <mergeCell ref="Z54:AB57"/>
    <mergeCell ref="K46:L46"/>
    <mergeCell ref="F54:H57"/>
    <mergeCell ref="T61:V61"/>
    <mergeCell ref="Q62:S62"/>
    <mergeCell ref="T62:V62"/>
    <mergeCell ref="T60:V60"/>
    <mergeCell ref="Q60:S60"/>
    <mergeCell ref="G62:I62"/>
    <mergeCell ref="J62:L62"/>
    <mergeCell ref="Q61:S61"/>
    <mergeCell ref="Q90:S90"/>
    <mergeCell ref="T90:U90"/>
    <mergeCell ref="Q82:S82"/>
    <mergeCell ref="T82:U82"/>
    <mergeCell ref="Q83:S83"/>
    <mergeCell ref="T83:U83"/>
    <mergeCell ref="Q84:S84"/>
    <mergeCell ref="T84:U84"/>
    <mergeCell ref="Q73:S73"/>
    <mergeCell ref="T73:U73"/>
    <mergeCell ref="Q74:S74"/>
    <mergeCell ref="Q75:S75"/>
    <mergeCell ref="P77:W78"/>
    <mergeCell ref="Q87:S87"/>
    <mergeCell ref="T87:U87"/>
    <mergeCell ref="Q80:S80"/>
    <mergeCell ref="T80:U80"/>
    <mergeCell ref="G85:I85"/>
    <mergeCell ref="J85:K85"/>
    <mergeCell ref="AA25:AD25"/>
    <mergeCell ref="AA26:AD26"/>
    <mergeCell ref="AA27:AD27"/>
    <mergeCell ref="AA28:AD28"/>
    <mergeCell ref="AA29:AD29"/>
    <mergeCell ref="AG9:AH9"/>
    <mergeCell ref="AA10:AD10"/>
    <mergeCell ref="AA11:AD11"/>
    <mergeCell ref="AA12:AD12"/>
    <mergeCell ref="AA13:AD13"/>
    <mergeCell ref="Z9:AA9"/>
    <mergeCell ref="AB9:AC9"/>
    <mergeCell ref="AE9:AF9"/>
    <mergeCell ref="AA14:AD14"/>
    <mergeCell ref="AA15:AD15"/>
    <mergeCell ref="AA16:AD16"/>
    <mergeCell ref="AA17:AD17"/>
    <mergeCell ref="AA18:AD18"/>
    <mergeCell ref="AA19:AD19"/>
    <mergeCell ref="AA20:AD20"/>
    <mergeCell ref="AA21:AD21"/>
    <mergeCell ref="AA22:AD22"/>
    <mergeCell ref="AA23:AD23"/>
    <mergeCell ref="AA24:AD24"/>
    <mergeCell ref="AA35:AD35"/>
    <mergeCell ref="Z36:AD37"/>
    <mergeCell ref="AE36:AF36"/>
    <mergeCell ref="AE37:AF37"/>
    <mergeCell ref="Z39:AD39"/>
    <mergeCell ref="AA30:AD30"/>
    <mergeCell ref="AA31:AD31"/>
    <mergeCell ref="AA32:AD32"/>
    <mergeCell ref="AA33:AD33"/>
    <mergeCell ref="AA34:AD34"/>
    <mergeCell ref="Z40:AD40"/>
    <mergeCell ref="Z41:AD41"/>
    <mergeCell ref="Z42:AD42"/>
    <mergeCell ref="Z43:AD43"/>
    <mergeCell ref="Z44:AD44"/>
    <mergeCell ref="AA63:AC63"/>
    <mergeCell ref="AA60:AC60"/>
    <mergeCell ref="AD60:AF60"/>
    <mergeCell ref="AD73:AE73"/>
    <mergeCell ref="T131:U131"/>
    <mergeCell ref="T130:U130"/>
    <mergeCell ref="G121:I121"/>
    <mergeCell ref="J121:K121"/>
    <mergeCell ref="AD82:AE82"/>
    <mergeCell ref="AA64:AC64"/>
    <mergeCell ref="Z67:AA68"/>
    <mergeCell ref="AB67:AB68"/>
    <mergeCell ref="Z69:AB70"/>
    <mergeCell ref="AA73:AC73"/>
    <mergeCell ref="AA80:AC80"/>
    <mergeCell ref="AD80:AE80"/>
    <mergeCell ref="AA74:AC74"/>
    <mergeCell ref="AA75:AC75"/>
    <mergeCell ref="Z77:AG78"/>
    <mergeCell ref="AA82:AC82"/>
    <mergeCell ref="P67:Q68"/>
    <mergeCell ref="R67:R68"/>
    <mergeCell ref="P69:R70"/>
    <mergeCell ref="G64:I64"/>
    <mergeCell ref="G82:I82"/>
    <mergeCell ref="J82:K82"/>
    <mergeCell ref="O111:Q111"/>
    <mergeCell ref="G120:I120"/>
    <mergeCell ref="J120:K120"/>
    <mergeCell ref="G115:I115"/>
    <mergeCell ref="J115:L115"/>
    <mergeCell ref="G108:I108"/>
    <mergeCell ref="J108:K108"/>
    <mergeCell ref="G109:I109"/>
    <mergeCell ref="O132:P132"/>
    <mergeCell ref="O131:Q131"/>
    <mergeCell ref="M131:N131"/>
    <mergeCell ref="K131:L131"/>
    <mergeCell ref="F117:I118"/>
    <mergeCell ref="K130:Q130"/>
    <mergeCell ref="G119:I119"/>
    <mergeCell ref="J119:K119"/>
    <mergeCell ref="J110:K110"/>
    <mergeCell ref="O110:Q110"/>
    <mergeCell ref="O115:Q115"/>
    <mergeCell ref="R115:S115"/>
    <mergeCell ref="Q91:S91"/>
    <mergeCell ref="T91:U91"/>
    <mergeCell ref="Q85:S85"/>
    <mergeCell ref="T85:U85"/>
    <mergeCell ref="Q86:S86"/>
    <mergeCell ref="T86:U86"/>
    <mergeCell ref="G94:AG94"/>
    <mergeCell ref="G99:I99"/>
    <mergeCell ref="J99:K99"/>
    <mergeCell ref="AA91:AC91"/>
    <mergeCell ref="AD91:AE91"/>
    <mergeCell ref="G87:I87"/>
    <mergeCell ref="J87:K87"/>
    <mergeCell ref="G90:I90"/>
    <mergeCell ref="J90:K90"/>
    <mergeCell ref="G91:I91"/>
    <mergeCell ref="J91:K91"/>
    <mergeCell ref="G100:I100"/>
    <mergeCell ref="J100:K100"/>
    <mergeCell ref="R112:S112"/>
    <mergeCell ref="G112:I112"/>
    <mergeCell ref="AA83:AC83"/>
    <mergeCell ref="AD83:AE83"/>
    <mergeCell ref="AA84:AC84"/>
    <mergeCell ref="AD84:AE84"/>
    <mergeCell ref="AA85:AC85"/>
    <mergeCell ref="AD85:AE85"/>
    <mergeCell ref="AA86:AC86"/>
    <mergeCell ref="AD86:AE86"/>
    <mergeCell ref="AA90:AC90"/>
    <mergeCell ref="AD90:AE90"/>
    <mergeCell ref="AA87:AC87"/>
    <mergeCell ref="AD87:AE87"/>
    <mergeCell ref="K167:K168"/>
    <mergeCell ref="L167:L168"/>
    <mergeCell ref="M164:M171"/>
    <mergeCell ref="F160:M161"/>
    <mergeCell ref="K164:K165"/>
    <mergeCell ref="L164:L165"/>
    <mergeCell ref="K170:L171"/>
    <mergeCell ref="K169:L169"/>
    <mergeCell ref="N147:Q147"/>
    <mergeCell ref="K147:L147"/>
    <mergeCell ref="N149:N150"/>
    <mergeCell ref="N153:N154"/>
    <mergeCell ref="N151:N152"/>
    <mergeCell ref="O148:P148"/>
    <mergeCell ref="Q149:Q150"/>
    <mergeCell ref="Q153:Q154"/>
    <mergeCell ref="Q151:Q152"/>
    <mergeCell ref="O151:P152"/>
    <mergeCell ref="O153:P154"/>
    <mergeCell ref="O149:P150"/>
  </mergeCells>
  <conditionalFormatting sqref="H9:I9">
    <cfRule type="cellIs" dxfId="1017" priority="479" operator="equal">
      <formula>"JOINT"</formula>
    </cfRule>
    <cfRule type="cellIs" dxfId="1016" priority="563" operator="equal">
      <formula>"VODAFONE"</formula>
    </cfRule>
    <cfRule type="cellIs" dxfId="1015" priority="564" operator="equal">
      <formula>"OPTUS"</formula>
    </cfRule>
  </conditionalFormatting>
  <conditionalFormatting sqref="I67:M67">
    <cfRule type="cellIs" dxfId="1014" priority="560" operator="equal">
      <formula>"NA"</formula>
    </cfRule>
    <cfRule type="cellIs" dxfId="1013" priority="561" operator="equal">
      <formula>"Disabled"</formula>
    </cfRule>
    <cfRule type="cellIs" dxfId="1012" priority="562" operator="equal">
      <formula>"Enabled"</formula>
    </cfRule>
  </conditionalFormatting>
  <conditionalFormatting sqref="J74:J75">
    <cfRule type="cellIs" dxfId="1011" priority="559" operator="notEqual">
      <formula>""</formula>
    </cfRule>
  </conditionalFormatting>
  <conditionalFormatting sqref="I54">
    <cfRule type="cellIs" dxfId="1010" priority="555" operator="equal">
      <formula>"SOLAR"</formula>
    </cfRule>
    <cfRule type="cellIs" dxfId="1009" priority="556" operator="equal">
      <formula>"L3"</formula>
    </cfRule>
    <cfRule type="cellIs" dxfId="1008" priority="557" operator="equal">
      <formula>"L2"</formula>
    </cfRule>
    <cfRule type="cellIs" dxfId="1007" priority="558" operator="equal">
      <formula>"L1"</formula>
    </cfRule>
  </conditionalFormatting>
  <conditionalFormatting sqref="I54">
    <cfRule type="cellIs" dxfId="1006" priority="553" operator="equal">
      <formula>"NA"</formula>
    </cfRule>
    <cfRule type="cellIs" dxfId="1005" priority="554" operator="equal">
      <formula>"CPU"</formula>
    </cfRule>
  </conditionalFormatting>
  <conditionalFormatting sqref="J54:M54">
    <cfRule type="cellIs" dxfId="1004" priority="549" operator="equal">
      <formula>"SOLAR"</formula>
    </cfRule>
    <cfRule type="cellIs" dxfId="1003" priority="550" operator="equal">
      <formula>"L3"</formula>
    </cfRule>
    <cfRule type="cellIs" dxfId="1002" priority="551" operator="equal">
      <formula>"L2"</formula>
    </cfRule>
    <cfRule type="cellIs" dxfId="1001" priority="552" operator="equal">
      <formula>"L1"</formula>
    </cfRule>
  </conditionalFormatting>
  <conditionalFormatting sqref="J54:M54">
    <cfRule type="cellIs" dxfId="1000" priority="547" operator="equal">
      <formula>"NA"</formula>
    </cfRule>
    <cfRule type="cellIs" dxfId="999" priority="548" operator="equal">
      <formula>"CPU"</formula>
    </cfRule>
  </conditionalFormatting>
  <conditionalFormatting sqref="I55:I57">
    <cfRule type="cellIs" dxfId="998" priority="543" operator="equal">
      <formula>"SOLAR"</formula>
    </cfRule>
    <cfRule type="cellIs" dxfId="997" priority="544" operator="equal">
      <formula>"L3"</formula>
    </cfRule>
    <cfRule type="cellIs" dxfId="996" priority="545" operator="equal">
      <formula>"L2"</formula>
    </cfRule>
    <cfRule type="cellIs" dxfId="995" priority="546" operator="equal">
      <formula>"L1"</formula>
    </cfRule>
  </conditionalFormatting>
  <conditionalFormatting sqref="I55:I57">
    <cfRule type="cellIs" dxfId="994" priority="541" operator="equal">
      <formula>"NA"</formula>
    </cfRule>
    <cfRule type="cellIs" dxfId="993" priority="542" operator="equal">
      <formula>"CPU"</formula>
    </cfRule>
  </conditionalFormatting>
  <conditionalFormatting sqref="J55:M57">
    <cfRule type="cellIs" dxfId="992" priority="537" operator="equal">
      <formula>"SOLAR"</formula>
    </cfRule>
    <cfRule type="cellIs" dxfId="991" priority="538" operator="equal">
      <formula>"L3"</formula>
    </cfRule>
    <cfRule type="cellIs" dxfId="990" priority="539" operator="equal">
      <formula>"L2"</formula>
    </cfRule>
    <cfRule type="cellIs" dxfId="989" priority="540" operator="equal">
      <formula>"L1"</formula>
    </cfRule>
  </conditionalFormatting>
  <conditionalFormatting sqref="J55:M57">
    <cfRule type="cellIs" dxfId="988" priority="535" operator="equal">
      <formula>"NA"</formula>
    </cfRule>
    <cfRule type="cellIs" dxfId="987" priority="536" operator="equal">
      <formula>"CPU"</formula>
    </cfRule>
  </conditionalFormatting>
  <conditionalFormatting sqref="I68">
    <cfRule type="cellIs" dxfId="986" priority="526" operator="equal">
      <formula>"NA"</formula>
    </cfRule>
    <cfRule type="cellIs" dxfId="985" priority="527" operator="equal">
      <formula>"Disabled"</formula>
    </cfRule>
    <cfRule type="cellIs" dxfId="984" priority="528" operator="equal">
      <formula>"Enabled"</formula>
    </cfRule>
  </conditionalFormatting>
  <conditionalFormatting sqref="J68">
    <cfRule type="cellIs" dxfId="983" priority="523" operator="equal">
      <formula>"NA"</formula>
    </cfRule>
    <cfRule type="cellIs" dxfId="982" priority="524" operator="equal">
      <formula>"Disabled"</formula>
    </cfRule>
    <cfRule type="cellIs" dxfId="981" priority="525" operator="equal">
      <formula>"Enabled"</formula>
    </cfRule>
  </conditionalFormatting>
  <conditionalFormatting sqref="K68">
    <cfRule type="cellIs" dxfId="980" priority="520" operator="equal">
      <formula>"NA"</formula>
    </cfRule>
    <cfRule type="cellIs" dxfId="979" priority="521" operator="equal">
      <formula>"Disabled"</formula>
    </cfRule>
    <cfRule type="cellIs" dxfId="978" priority="522" operator="equal">
      <formula>"Enabled"</formula>
    </cfRule>
  </conditionalFormatting>
  <conditionalFormatting sqref="L68">
    <cfRule type="cellIs" dxfId="977" priority="517" operator="equal">
      <formula>"NA"</formula>
    </cfRule>
    <cfRule type="cellIs" dxfId="976" priority="518" operator="equal">
      <formula>"Disabled"</formula>
    </cfRule>
    <cfRule type="cellIs" dxfId="975" priority="519" operator="equal">
      <formula>"Enabled"</formula>
    </cfRule>
  </conditionalFormatting>
  <conditionalFormatting sqref="I69">
    <cfRule type="cellIs" dxfId="974" priority="514" operator="equal">
      <formula>"NA"</formula>
    </cfRule>
    <cfRule type="cellIs" dxfId="973" priority="515" operator="equal">
      <formula>"Disabled"</formula>
    </cfRule>
    <cfRule type="cellIs" dxfId="972" priority="516" operator="equal">
      <formula>"Enabled"</formula>
    </cfRule>
  </conditionalFormatting>
  <conditionalFormatting sqref="I70">
    <cfRule type="cellIs" dxfId="971" priority="511" operator="equal">
      <formula>"NA"</formula>
    </cfRule>
    <cfRule type="cellIs" dxfId="970" priority="512" operator="equal">
      <formula>"Disabled"</formula>
    </cfRule>
    <cfRule type="cellIs" dxfId="969" priority="513" operator="equal">
      <formula>"Enabled"</formula>
    </cfRule>
  </conditionalFormatting>
  <conditionalFormatting sqref="J70">
    <cfRule type="cellIs" dxfId="968" priority="508" operator="equal">
      <formula>"NA"</formula>
    </cfRule>
    <cfRule type="cellIs" dxfId="967" priority="509" operator="equal">
      <formula>"Disabled"</formula>
    </cfRule>
    <cfRule type="cellIs" dxfId="966" priority="510" operator="equal">
      <formula>"Enabled"</formula>
    </cfRule>
  </conditionalFormatting>
  <conditionalFormatting sqref="J69">
    <cfRule type="cellIs" dxfId="965" priority="505" operator="equal">
      <formula>"NA"</formula>
    </cfRule>
    <cfRule type="cellIs" dxfId="964" priority="506" operator="equal">
      <formula>"Disabled"</formula>
    </cfRule>
    <cfRule type="cellIs" dxfId="963" priority="507" operator="equal">
      <formula>"Enabled"</formula>
    </cfRule>
  </conditionalFormatting>
  <conditionalFormatting sqref="K69">
    <cfRule type="cellIs" dxfId="962" priority="502" operator="equal">
      <formula>"NA"</formula>
    </cfRule>
    <cfRule type="cellIs" dxfId="961" priority="503" operator="equal">
      <formula>"Disabled"</formula>
    </cfRule>
    <cfRule type="cellIs" dxfId="960" priority="504" operator="equal">
      <formula>"Enabled"</formula>
    </cfRule>
  </conditionalFormatting>
  <conditionalFormatting sqref="K70">
    <cfRule type="cellIs" dxfId="959" priority="499" operator="equal">
      <formula>"NA"</formula>
    </cfRule>
    <cfRule type="cellIs" dxfId="958" priority="500" operator="equal">
      <formula>"Disabled"</formula>
    </cfRule>
    <cfRule type="cellIs" dxfId="957" priority="501" operator="equal">
      <formula>"Enabled"</formula>
    </cfRule>
  </conditionalFormatting>
  <conditionalFormatting sqref="L70">
    <cfRule type="cellIs" dxfId="956" priority="496" operator="equal">
      <formula>"NA"</formula>
    </cfRule>
    <cfRule type="cellIs" dxfId="955" priority="497" operator="equal">
      <formula>"Disabled"</formula>
    </cfRule>
    <cfRule type="cellIs" dxfId="954" priority="498" operator="equal">
      <formula>"Enabled"</formula>
    </cfRule>
  </conditionalFormatting>
  <conditionalFormatting sqref="L69">
    <cfRule type="cellIs" dxfId="953" priority="493" operator="equal">
      <formula>"NA"</formula>
    </cfRule>
    <cfRule type="cellIs" dxfId="952" priority="494" operator="equal">
      <formula>"Disabled"</formula>
    </cfRule>
    <cfRule type="cellIs" dxfId="951" priority="495" operator="equal">
      <formula>"Enabled"</formula>
    </cfRule>
  </conditionalFormatting>
  <conditionalFormatting sqref="M69">
    <cfRule type="cellIs" dxfId="950" priority="490" operator="equal">
      <formula>"NA"</formula>
    </cfRule>
    <cfRule type="cellIs" dxfId="949" priority="491" operator="equal">
      <formula>"Disabled"</formula>
    </cfRule>
    <cfRule type="cellIs" dxfId="948" priority="492" operator="equal">
      <formula>"Enabled"</formula>
    </cfRule>
  </conditionalFormatting>
  <conditionalFormatting sqref="M70">
    <cfRule type="cellIs" dxfId="947" priority="487" operator="equal">
      <formula>"NA"</formula>
    </cfRule>
    <cfRule type="cellIs" dxfId="946" priority="488" operator="equal">
      <formula>"Disabled"</formula>
    </cfRule>
    <cfRule type="cellIs" dxfId="945" priority="489" operator="equal">
      <formula>"Enabled"</formula>
    </cfRule>
  </conditionalFormatting>
  <conditionalFormatting sqref="M68">
    <cfRule type="cellIs" dxfId="944" priority="484" operator="equal">
      <formula>"NA"</formula>
    </cfRule>
    <cfRule type="cellIs" dxfId="943" priority="485" operator="equal">
      <formula>"Disabled"</formula>
    </cfRule>
    <cfRule type="cellIs" dxfId="942" priority="486" operator="equal">
      <formula>"Enabled"</formula>
    </cfRule>
  </conditionalFormatting>
  <conditionalFormatting sqref="F119:F122 F112:F115 F60:F64">
    <cfRule type="cellIs" dxfId="941" priority="480" operator="equal">
      <formula>"ERR1"</formula>
    </cfRule>
    <cfRule type="cellIs" dxfId="940" priority="481" operator="equal">
      <formula>"ERR2"</formula>
    </cfRule>
    <cfRule type="cellIs" dxfId="939" priority="482" operator="equal">
      <formula>"ERR"</formula>
    </cfRule>
    <cfRule type="cellIs" dxfId="938" priority="483" operator="equal">
      <formula>"OK"</formula>
    </cfRule>
  </conditionalFormatting>
  <conditionalFormatting sqref="S54">
    <cfRule type="cellIs" dxfId="937" priority="472" operator="equal">
      <formula>"SOLAR"</formula>
    </cfRule>
    <cfRule type="cellIs" dxfId="936" priority="473" operator="equal">
      <formula>"L3"</formula>
    </cfRule>
    <cfRule type="cellIs" dxfId="935" priority="474" operator="equal">
      <formula>"L2"</formula>
    </cfRule>
    <cfRule type="cellIs" dxfId="934" priority="475" operator="equal">
      <formula>"L1"</formula>
    </cfRule>
  </conditionalFormatting>
  <conditionalFormatting sqref="S54">
    <cfRule type="cellIs" dxfId="933" priority="470" operator="equal">
      <formula>"NA"</formula>
    </cfRule>
    <cfRule type="cellIs" dxfId="932" priority="471" operator="equal">
      <formula>"CPU"</formula>
    </cfRule>
  </conditionalFormatting>
  <conditionalFormatting sqref="T54:W54">
    <cfRule type="cellIs" dxfId="931" priority="466" operator="equal">
      <formula>"SOLAR"</formula>
    </cfRule>
    <cfRule type="cellIs" dxfId="930" priority="467" operator="equal">
      <formula>"L3"</formula>
    </cfRule>
    <cfRule type="cellIs" dxfId="929" priority="468" operator="equal">
      <formula>"L2"</formula>
    </cfRule>
    <cfRule type="cellIs" dxfId="928" priority="469" operator="equal">
      <formula>"L1"</formula>
    </cfRule>
  </conditionalFormatting>
  <conditionalFormatting sqref="T54:W54">
    <cfRule type="cellIs" dxfId="927" priority="464" operator="equal">
      <formula>"NA"</formula>
    </cfRule>
    <cfRule type="cellIs" dxfId="926" priority="465" operator="equal">
      <formula>"CPU"</formula>
    </cfRule>
  </conditionalFormatting>
  <conditionalFormatting sqref="S55:S57">
    <cfRule type="cellIs" dxfId="925" priority="460" operator="equal">
      <formula>"SOLAR"</formula>
    </cfRule>
    <cfRule type="cellIs" dxfId="924" priority="461" operator="equal">
      <formula>"L3"</formula>
    </cfRule>
    <cfRule type="cellIs" dxfId="923" priority="462" operator="equal">
      <formula>"L2"</formula>
    </cfRule>
    <cfRule type="cellIs" dxfId="922" priority="463" operator="equal">
      <formula>"L1"</formula>
    </cfRule>
  </conditionalFormatting>
  <conditionalFormatting sqref="S55:S57">
    <cfRule type="cellIs" dxfId="921" priority="458" operator="equal">
      <formula>"NA"</formula>
    </cfRule>
    <cfRule type="cellIs" dxfId="920" priority="459" operator="equal">
      <formula>"CPU"</formula>
    </cfRule>
  </conditionalFormatting>
  <conditionalFormatting sqref="T55:W57">
    <cfRule type="cellIs" dxfId="919" priority="454" operator="equal">
      <formula>"SOLAR"</formula>
    </cfRule>
    <cfRule type="cellIs" dxfId="918" priority="455" operator="equal">
      <formula>"L3"</formula>
    </cfRule>
    <cfRule type="cellIs" dxfId="917" priority="456" operator="equal">
      <formula>"L2"</formula>
    </cfRule>
    <cfRule type="cellIs" dxfId="916" priority="457" operator="equal">
      <formula>"L1"</formula>
    </cfRule>
  </conditionalFormatting>
  <conditionalFormatting sqref="T55:W57">
    <cfRule type="cellIs" dxfId="915" priority="452" operator="equal">
      <formula>"NA"</formula>
    </cfRule>
    <cfRule type="cellIs" dxfId="914" priority="453" operator="equal">
      <formula>"CPU"</formula>
    </cfRule>
  </conditionalFormatting>
  <conditionalFormatting sqref="S67:W67">
    <cfRule type="cellIs" dxfId="913" priority="449" operator="equal">
      <formula>"NA"</formula>
    </cfRule>
    <cfRule type="cellIs" dxfId="912" priority="450" operator="equal">
      <formula>"Disabled"</formula>
    </cfRule>
    <cfRule type="cellIs" dxfId="911" priority="451" operator="equal">
      <formula>"Enabled"</formula>
    </cfRule>
  </conditionalFormatting>
  <conditionalFormatting sqref="S68">
    <cfRule type="cellIs" dxfId="910" priority="446" operator="equal">
      <formula>"NA"</formula>
    </cfRule>
    <cfRule type="cellIs" dxfId="909" priority="447" operator="equal">
      <formula>"Disabled"</formula>
    </cfRule>
    <cfRule type="cellIs" dxfId="908" priority="448" operator="equal">
      <formula>"Enabled"</formula>
    </cfRule>
  </conditionalFormatting>
  <conditionalFormatting sqref="T68">
    <cfRule type="cellIs" dxfId="907" priority="443" operator="equal">
      <formula>"NA"</formula>
    </cfRule>
    <cfRule type="cellIs" dxfId="906" priority="444" operator="equal">
      <formula>"Disabled"</formula>
    </cfRule>
    <cfRule type="cellIs" dxfId="905" priority="445" operator="equal">
      <formula>"Enabled"</formula>
    </cfRule>
  </conditionalFormatting>
  <conditionalFormatting sqref="U68">
    <cfRule type="cellIs" dxfId="904" priority="440" operator="equal">
      <formula>"NA"</formula>
    </cfRule>
    <cfRule type="cellIs" dxfId="903" priority="441" operator="equal">
      <formula>"Disabled"</formula>
    </cfRule>
    <cfRule type="cellIs" dxfId="902" priority="442" operator="equal">
      <formula>"Enabled"</formula>
    </cfRule>
  </conditionalFormatting>
  <conditionalFormatting sqref="V68">
    <cfRule type="cellIs" dxfId="901" priority="437" operator="equal">
      <formula>"NA"</formula>
    </cfRule>
    <cfRule type="cellIs" dxfId="900" priority="438" operator="equal">
      <formula>"Disabled"</formula>
    </cfRule>
    <cfRule type="cellIs" dxfId="899" priority="439" operator="equal">
      <formula>"Enabled"</formula>
    </cfRule>
  </conditionalFormatting>
  <conditionalFormatting sqref="S69">
    <cfRule type="cellIs" dxfId="898" priority="434" operator="equal">
      <formula>"NA"</formula>
    </cfRule>
    <cfRule type="cellIs" dxfId="897" priority="435" operator="equal">
      <formula>"Disabled"</formula>
    </cfRule>
    <cfRule type="cellIs" dxfId="896" priority="436" operator="equal">
      <formula>"Enabled"</formula>
    </cfRule>
  </conditionalFormatting>
  <conditionalFormatting sqref="S70">
    <cfRule type="cellIs" dxfId="895" priority="431" operator="equal">
      <formula>"NA"</formula>
    </cfRule>
    <cfRule type="cellIs" dxfId="894" priority="432" operator="equal">
      <formula>"Disabled"</formula>
    </cfRule>
    <cfRule type="cellIs" dxfId="893" priority="433" operator="equal">
      <formula>"Enabled"</formula>
    </cfRule>
  </conditionalFormatting>
  <conditionalFormatting sqref="T70">
    <cfRule type="cellIs" dxfId="892" priority="428" operator="equal">
      <formula>"NA"</formula>
    </cfRule>
    <cfRule type="cellIs" dxfId="891" priority="429" operator="equal">
      <formula>"Disabled"</formula>
    </cfRule>
    <cfRule type="cellIs" dxfId="890" priority="430" operator="equal">
      <formula>"Enabled"</formula>
    </cfRule>
  </conditionalFormatting>
  <conditionalFormatting sqref="T69">
    <cfRule type="cellIs" dxfId="889" priority="425" operator="equal">
      <formula>"NA"</formula>
    </cfRule>
    <cfRule type="cellIs" dxfId="888" priority="426" operator="equal">
      <formula>"Disabled"</formula>
    </cfRule>
    <cfRule type="cellIs" dxfId="887" priority="427" operator="equal">
      <formula>"Enabled"</formula>
    </cfRule>
  </conditionalFormatting>
  <conditionalFormatting sqref="U69">
    <cfRule type="cellIs" dxfId="886" priority="422" operator="equal">
      <formula>"NA"</formula>
    </cfRule>
    <cfRule type="cellIs" dxfId="885" priority="423" operator="equal">
      <formula>"Disabled"</formula>
    </cfRule>
    <cfRule type="cellIs" dxfId="884" priority="424" operator="equal">
      <formula>"Enabled"</formula>
    </cfRule>
  </conditionalFormatting>
  <conditionalFormatting sqref="U70">
    <cfRule type="cellIs" dxfId="883" priority="419" operator="equal">
      <formula>"NA"</formula>
    </cfRule>
    <cfRule type="cellIs" dxfId="882" priority="420" operator="equal">
      <formula>"Disabled"</formula>
    </cfRule>
    <cfRule type="cellIs" dxfId="881" priority="421" operator="equal">
      <formula>"Enabled"</formula>
    </cfRule>
  </conditionalFormatting>
  <conditionalFormatting sqref="V70">
    <cfRule type="cellIs" dxfId="880" priority="416" operator="equal">
      <formula>"NA"</formula>
    </cfRule>
    <cfRule type="cellIs" dxfId="879" priority="417" operator="equal">
      <formula>"Disabled"</formula>
    </cfRule>
    <cfRule type="cellIs" dxfId="878" priority="418" operator="equal">
      <formula>"Enabled"</formula>
    </cfRule>
  </conditionalFormatting>
  <conditionalFormatting sqref="V69">
    <cfRule type="cellIs" dxfId="877" priority="413" operator="equal">
      <formula>"NA"</formula>
    </cfRule>
    <cfRule type="cellIs" dxfId="876" priority="414" operator="equal">
      <formula>"Disabled"</formula>
    </cfRule>
    <cfRule type="cellIs" dxfId="875" priority="415" operator="equal">
      <formula>"Enabled"</formula>
    </cfRule>
  </conditionalFormatting>
  <conditionalFormatting sqref="W69">
    <cfRule type="cellIs" dxfId="874" priority="410" operator="equal">
      <formula>"NA"</formula>
    </cfRule>
    <cfRule type="cellIs" dxfId="873" priority="411" operator="equal">
      <formula>"Disabled"</formula>
    </cfRule>
    <cfRule type="cellIs" dxfId="872" priority="412" operator="equal">
      <formula>"Enabled"</formula>
    </cfRule>
  </conditionalFormatting>
  <conditionalFormatting sqref="W70">
    <cfRule type="cellIs" dxfId="871" priority="407" operator="equal">
      <formula>"NA"</formula>
    </cfRule>
    <cfRule type="cellIs" dxfId="870" priority="408" operator="equal">
      <formula>"Disabled"</formula>
    </cfRule>
    <cfRule type="cellIs" dxfId="869" priority="409" operator="equal">
      <formula>"Enabled"</formula>
    </cfRule>
  </conditionalFormatting>
  <conditionalFormatting sqref="W68">
    <cfRule type="cellIs" dxfId="868" priority="404" operator="equal">
      <formula>"NA"</formula>
    </cfRule>
    <cfRule type="cellIs" dxfId="867" priority="405" operator="equal">
      <formula>"Disabled"</formula>
    </cfRule>
    <cfRule type="cellIs" dxfId="866" priority="406" operator="equal">
      <formula>"Enabled"</formula>
    </cfRule>
  </conditionalFormatting>
  <conditionalFormatting sqref="P61:P64">
    <cfRule type="cellIs" dxfId="865" priority="400" operator="equal">
      <formula>"ERR1"</formula>
    </cfRule>
    <cfRule type="cellIs" dxfId="864" priority="401" operator="equal">
      <formula>"ERR2"</formula>
    </cfRule>
    <cfRule type="cellIs" dxfId="863" priority="402" operator="equal">
      <formula>"ERR"</formula>
    </cfRule>
    <cfRule type="cellIs" dxfId="862" priority="403" operator="equal">
      <formula>"OK"</formula>
    </cfRule>
  </conditionalFormatting>
  <conditionalFormatting sqref="AC54">
    <cfRule type="cellIs" dxfId="861" priority="392" operator="equal">
      <formula>"SOLAR"</formula>
    </cfRule>
    <cfRule type="cellIs" dxfId="860" priority="393" operator="equal">
      <formula>"L3"</formula>
    </cfRule>
    <cfRule type="cellIs" dxfId="859" priority="394" operator="equal">
      <formula>"L2"</formula>
    </cfRule>
    <cfRule type="cellIs" dxfId="858" priority="395" operator="equal">
      <formula>"L1"</formula>
    </cfRule>
  </conditionalFormatting>
  <conditionalFormatting sqref="AC54">
    <cfRule type="cellIs" dxfId="857" priority="390" operator="equal">
      <formula>"NA"</formula>
    </cfRule>
    <cfRule type="cellIs" dxfId="856" priority="391" operator="equal">
      <formula>"CPU"</formula>
    </cfRule>
  </conditionalFormatting>
  <conditionalFormatting sqref="AD54:AG54">
    <cfRule type="cellIs" dxfId="855" priority="386" operator="equal">
      <formula>"SOLAR"</formula>
    </cfRule>
    <cfRule type="cellIs" dxfId="854" priority="387" operator="equal">
      <formula>"L3"</formula>
    </cfRule>
    <cfRule type="cellIs" dxfId="853" priority="388" operator="equal">
      <formula>"L2"</formula>
    </cfRule>
    <cfRule type="cellIs" dxfId="852" priority="389" operator="equal">
      <formula>"L1"</formula>
    </cfRule>
  </conditionalFormatting>
  <conditionalFormatting sqref="AD54:AG54">
    <cfRule type="cellIs" dxfId="851" priority="384" operator="equal">
      <formula>"NA"</formula>
    </cfRule>
    <cfRule type="cellIs" dxfId="850" priority="385" operator="equal">
      <formula>"CPU"</formula>
    </cfRule>
  </conditionalFormatting>
  <conditionalFormatting sqref="AC55:AC57">
    <cfRule type="cellIs" dxfId="849" priority="380" operator="equal">
      <formula>"SOLAR"</formula>
    </cfRule>
    <cfRule type="cellIs" dxfId="848" priority="381" operator="equal">
      <formula>"L3"</formula>
    </cfRule>
    <cfRule type="cellIs" dxfId="847" priority="382" operator="equal">
      <formula>"L2"</formula>
    </cfRule>
    <cfRule type="cellIs" dxfId="846" priority="383" operator="equal">
      <formula>"L1"</formula>
    </cfRule>
  </conditionalFormatting>
  <conditionalFormatting sqref="AC55:AC57">
    <cfRule type="cellIs" dxfId="845" priority="378" operator="equal">
      <formula>"NA"</formula>
    </cfRule>
    <cfRule type="cellIs" dxfId="844" priority="379" operator="equal">
      <formula>"CPU"</formula>
    </cfRule>
  </conditionalFormatting>
  <conditionalFormatting sqref="AD55:AG57">
    <cfRule type="cellIs" dxfId="843" priority="374" operator="equal">
      <formula>"SOLAR"</formula>
    </cfRule>
    <cfRule type="cellIs" dxfId="842" priority="375" operator="equal">
      <formula>"L3"</formula>
    </cfRule>
    <cfRule type="cellIs" dxfId="841" priority="376" operator="equal">
      <formula>"L2"</formula>
    </cfRule>
    <cfRule type="cellIs" dxfId="840" priority="377" operator="equal">
      <formula>"L1"</formula>
    </cfRule>
  </conditionalFormatting>
  <conditionalFormatting sqref="AD55:AG57">
    <cfRule type="cellIs" dxfId="839" priority="372" operator="equal">
      <formula>"NA"</formula>
    </cfRule>
    <cfRule type="cellIs" dxfId="838" priority="373" operator="equal">
      <formula>"CPU"</formula>
    </cfRule>
  </conditionalFormatting>
  <conditionalFormatting sqref="AC67:AG67">
    <cfRule type="cellIs" dxfId="837" priority="369" operator="equal">
      <formula>"NA"</formula>
    </cfRule>
    <cfRule type="cellIs" dxfId="836" priority="370" operator="equal">
      <formula>"Disabled"</formula>
    </cfRule>
    <cfRule type="cellIs" dxfId="835" priority="371" operator="equal">
      <formula>"Enabled"</formula>
    </cfRule>
  </conditionalFormatting>
  <conditionalFormatting sqref="AC68">
    <cfRule type="cellIs" dxfId="834" priority="366" operator="equal">
      <formula>"NA"</formula>
    </cfRule>
    <cfRule type="cellIs" dxfId="833" priority="367" operator="equal">
      <formula>"Disabled"</formula>
    </cfRule>
    <cfRule type="cellIs" dxfId="832" priority="368" operator="equal">
      <formula>"Enabled"</formula>
    </cfRule>
  </conditionalFormatting>
  <conditionalFormatting sqref="AD68">
    <cfRule type="cellIs" dxfId="831" priority="363" operator="equal">
      <formula>"NA"</formula>
    </cfRule>
    <cfRule type="cellIs" dxfId="830" priority="364" operator="equal">
      <formula>"Disabled"</formula>
    </cfRule>
    <cfRule type="cellIs" dxfId="829" priority="365" operator="equal">
      <formula>"Enabled"</formula>
    </cfRule>
  </conditionalFormatting>
  <conditionalFormatting sqref="AE68">
    <cfRule type="cellIs" dxfId="828" priority="360" operator="equal">
      <formula>"NA"</formula>
    </cfRule>
    <cfRule type="cellIs" dxfId="827" priority="361" operator="equal">
      <formula>"Disabled"</formula>
    </cfRule>
    <cfRule type="cellIs" dxfId="826" priority="362" operator="equal">
      <formula>"Enabled"</formula>
    </cfRule>
  </conditionalFormatting>
  <conditionalFormatting sqref="AF68">
    <cfRule type="cellIs" dxfId="825" priority="357" operator="equal">
      <formula>"NA"</formula>
    </cfRule>
    <cfRule type="cellIs" dxfId="824" priority="358" operator="equal">
      <formula>"Disabled"</formula>
    </cfRule>
    <cfRule type="cellIs" dxfId="823" priority="359" operator="equal">
      <formula>"Enabled"</formula>
    </cfRule>
  </conditionalFormatting>
  <conditionalFormatting sqref="AC69">
    <cfRule type="cellIs" dxfId="822" priority="354" operator="equal">
      <formula>"NA"</formula>
    </cfRule>
    <cfRule type="cellIs" dxfId="821" priority="355" operator="equal">
      <formula>"Disabled"</formula>
    </cfRule>
    <cfRule type="cellIs" dxfId="820" priority="356" operator="equal">
      <formula>"Enabled"</formula>
    </cfRule>
  </conditionalFormatting>
  <conditionalFormatting sqref="AC70">
    <cfRule type="cellIs" dxfId="819" priority="351" operator="equal">
      <formula>"NA"</formula>
    </cfRule>
    <cfRule type="cellIs" dxfId="818" priority="352" operator="equal">
      <formula>"Disabled"</formula>
    </cfRule>
    <cfRule type="cellIs" dxfId="817" priority="353" operator="equal">
      <formula>"Enabled"</formula>
    </cfRule>
  </conditionalFormatting>
  <conditionalFormatting sqref="AD70">
    <cfRule type="cellIs" dxfId="816" priority="348" operator="equal">
      <formula>"NA"</formula>
    </cfRule>
    <cfRule type="cellIs" dxfId="815" priority="349" operator="equal">
      <formula>"Disabled"</formula>
    </cfRule>
    <cfRule type="cellIs" dxfId="814" priority="350" operator="equal">
      <formula>"Enabled"</formula>
    </cfRule>
  </conditionalFormatting>
  <conditionalFormatting sqref="AD69">
    <cfRule type="cellIs" dxfId="813" priority="345" operator="equal">
      <formula>"NA"</formula>
    </cfRule>
    <cfRule type="cellIs" dxfId="812" priority="346" operator="equal">
      <formula>"Disabled"</formula>
    </cfRule>
    <cfRule type="cellIs" dxfId="811" priority="347" operator="equal">
      <formula>"Enabled"</formula>
    </cfRule>
  </conditionalFormatting>
  <conditionalFormatting sqref="AE69">
    <cfRule type="cellIs" dxfId="810" priority="342" operator="equal">
      <formula>"NA"</formula>
    </cfRule>
    <cfRule type="cellIs" dxfId="809" priority="343" operator="equal">
      <formula>"Disabled"</formula>
    </cfRule>
    <cfRule type="cellIs" dxfId="808" priority="344" operator="equal">
      <formula>"Enabled"</formula>
    </cfRule>
  </conditionalFormatting>
  <conditionalFormatting sqref="AE70">
    <cfRule type="cellIs" dxfId="807" priority="339" operator="equal">
      <formula>"NA"</formula>
    </cfRule>
    <cfRule type="cellIs" dxfId="806" priority="340" operator="equal">
      <formula>"Disabled"</formula>
    </cfRule>
    <cfRule type="cellIs" dxfId="805" priority="341" operator="equal">
      <formula>"Enabled"</formula>
    </cfRule>
  </conditionalFormatting>
  <conditionalFormatting sqref="AF70">
    <cfRule type="cellIs" dxfId="804" priority="336" operator="equal">
      <formula>"NA"</formula>
    </cfRule>
    <cfRule type="cellIs" dxfId="803" priority="337" operator="equal">
      <formula>"Disabled"</formula>
    </cfRule>
    <cfRule type="cellIs" dxfId="802" priority="338" operator="equal">
      <formula>"Enabled"</formula>
    </cfRule>
  </conditionalFormatting>
  <conditionalFormatting sqref="AF69">
    <cfRule type="cellIs" dxfId="801" priority="333" operator="equal">
      <formula>"NA"</formula>
    </cfRule>
    <cfRule type="cellIs" dxfId="800" priority="334" operator="equal">
      <formula>"Disabled"</formula>
    </cfRule>
    <cfRule type="cellIs" dxfId="799" priority="335" operator="equal">
      <formula>"Enabled"</formula>
    </cfRule>
  </conditionalFormatting>
  <conditionalFormatting sqref="AG69">
    <cfRule type="cellIs" dxfId="798" priority="330" operator="equal">
      <formula>"NA"</formula>
    </cfRule>
    <cfRule type="cellIs" dxfId="797" priority="331" operator="equal">
      <formula>"Disabled"</formula>
    </cfRule>
    <cfRule type="cellIs" dxfId="796" priority="332" operator="equal">
      <formula>"Enabled"</formula>
    </cfRule>
  </conditionalFormatting>
  <conditionalFormatting sqref="AG70">
    <cfRule type="cellIs" dxfId="795" priority="327" operator="equal">
      <formula>"NA"</formula>
    </cfRule>
    <cfRule type="cellIs" dxfId="794" priority="328" operator="equal">
      <formula>"Disabled"</formula>
    </cfRule>
    <cfRule type="cellIs" dxfId="793" priority="329" operator="equal">
      <formula>"Enabled"</formula>
    </cfRule>
  </conditionalFormatting>
  <conditionalFormatting sqref="AG68">
    <cfRule type="cellIs" dxfId="792" priority="324" operator="equal">
      <formula>"NA"</formula>
    </cfRule>
    <cfRule type="cellIs" dxfId="791" priority="325" operator="equal">
      <formula>"Disabled"</formula>
    </cfRule>
    <cfRule type="cellIs" dxfId="790" priority="326" operator="equal">
      <formula>"Enabled"</formula>
    </cfRule>
  </conditionalFormatting>
  <conditionalFormatting sqref="Z61:Z64">
    <cfRule type="cellIs" dxfId="789" priority="320" operator="equal">
      <formula>"ERR1"</formula>
    </cfRule>
    <cfRule type="cellIs" dxfId="788" priority="321" operator="equal">
      <formula>"ERR2"</formula>
    </cfRule>
    <cfRule type="cellIs" dxfId="787" priority="322" operator="equal">
      <formula>"ERR"</formula>
    </cfRule>
    <cfRule type="cellIs" dxfId="786" priority="323" operator="equal">
      <formula>"OK"</formula>
    </cfRule>
  </conditionalFormatting>
  <conditionalFormatting sqref="W9:X9">
    <cfRule type="cellIs" dxfId="785" priority="276" operator="equal">
      <formula>"DISABLED"</formula>
    </cfRule>
    <cfRule type="cellIs" dxfId="784" priority="277" operator="equal">
      <formula>"ENABLED"</formula>
    </cfRule>
  </conditionalFormatting>
  <conditionalFormatting sqref="AG9:AH9">
    <cfRule type="cellIs" dxfId="783" priority="274" operator="equal">
      <formula>"DISABLED"</formula>
    </cfRule>
    <cfRule type="cellIs" dxfId="782" priority="275" operator="equal">
      <formula>"ENABLED"</formula>
    </cfRule>
  </conditionalFormatting>
  <conditionalFormatting sqref="R9:S9">
    <cfRule type="cellIs" dxfId="781" priority="271" operator="equal">
      <formula>"JOINT"</formula>
    </cfRule>
    <cfRule type="cellIs" dxfId="780" priority="272" operator="equal">
      <formula>"VODAFONE"</formula>
    </cfRule>
    <cfRule type="cellIs" dxfId="779" priority="273" operator="equal">
      <formula>"OPTUS"</formula>
    </cfRule>
  </conditionalFormatting>
  <conditionalFormatting sqref="AB9:AC9">
    <cfRule type="cellIs" dxfId="778" priority="268" operator="equal">
      <formula>"JOINT"</formula>
    </cfRule>
    <cfRule type="cellIs" dxfId="777" priority="269" operator="equal">
      <formula>"VODAFONE"</formula>
    </cfRule>
    <cfRule type="cellIs" dxfId="776" priority="270" operator="equal">
      <formula>"OPTUS"</formula>
    </cfRule>
  </conditionalFormatting>
  <conditionalFormatting sqref="F87">
    <cfRule type="cellIs" dxfId="775" priority="265" operator="greaterThan">
      <formula>90%</formula>
    </cfRule>
    <cfRule type="cellIs" dxfId="774" priority="266" operator="between">
      <formula>1%</formula>
      <formula>30%</formula>
    </cfRule>
    <cfRule type="cellIs" dxfId="773" priority="267" operator="between">
      <formula>30%</formula>
      <formula>90%</formula>
    </cfRule>
  </conditionalFormatting>
  <conditionalFormatting sqref="P86:P87">
    <cfRule type="cellIs" dxfId="772" priority="262" operator="greaterThan">
      <formula>90%</formula>
    </cfRule>
    <cfRule type="cellIs" dxfId="771" priority="263" operator="lessThan">
      <formula>30%</formula>
    </cfRule>
    <cfRule type="cellIs" dxfId="770" priority="264" operator="between">
      <formula>30%</formula>
      <formula>90%</formula>
    </cfRule>
  </conditionalFormatting>
  <conditionalFormatting sqref="Z86:Z87">
    <cfRule type="cellIs" dxfId="769" priority="259" operator="greaterThan">
      <formula>90%</formula>
    </cfRule>
    <cfRule type="cellIs" dxfId="768" priority="260" operator="lessThan">
      <formula>30%</formula>
    </cfRule>
    <cfRule type="cellIs" dxfId="767" priority="261" operator="between">
      <formula>30%</formula>
      <formula>90%</formula>
    </cfRule>
  </conditionalFormatting>
  <conditionalFormatting sqref="F85">
    <cfRule type="cellIs" dxfId="766" priority="249" operator="equal">
      <formula>"ERR1"</formula>
    </cfRule>
    <cfRule type="cellIs" dxfId="765" priority="250" operator="equal">
      <formula>"ERR2"</formula>
    </cfRule>
    <cfRule type="cellIs" dxfId="764" priority="251" operator="equal">
      <formula>"ERR"</formula>
    </cfRule>
    <cfRule type="cellIs" dxfId="763" priority="252" operator="equal">
      <formula>"OK"</formula>
    </cfRule>
  </conditionalFormatting>
  <conditionalFormatting sqref="P85">
    <cfRule type="cellIs" dxfId="762" priority="245" operator="equal">
      <formula>"ERR1"</formula>
    </cfRule>
    <cfRule type="cellIs" dxfId="761" priority="246" operator="equal">
      <formula>"ERR2"</formula>
    </cfRule>
    <cfRule type="cellIs" dxfId="760" priority="247" operator="equal">
      <formula>"ERR"</formula>
    </cfRule>
    <cfRule type="cellIs" dxfId="759" priority="248" operator="equal">
      <formula>"OK"</formula>
    </cfRule>
  </conditionalFormatting>
  <conditionalFormatting sqref="Z85">
    <cfRule type="cellIs" dxfId="758" priority="241" operator="equal">
      <formula>"ERR1"</formula>
    </cfRule>
    <cfRule type="cellIs" dxfId="757" priority="242" operator="equal">
      <formula>"ERR2"</formula>
    </cfRule>
    <cfRule type="cellIs" dxfId="756" priority="243" operator="equal">
      <formula>"ERR"</formula>
    </cfRule>
    <cfRule type="cellIs" dxfId="755" priority="244" operator="equal">
      <formula>"OK"</formula>
    </cfRule>
  </conditionalFormatting>
  <conditionalFormatting sqref="F108:F111">
    <cfRule type="cellIs" dxfId="754" priority="237" operator="equal">
      <formula>"ERR1"</formula>
    </cfRule>
    <cfRule type="cellIs" dxfId="753" priority="238" operator="equal">
      <formula>"ERR2"</formula>
    </cfRule>
    <cfRule type="cellIs" dxfId="752" priority="239" operator="equal">
      <formula>"ERR"</formula>
    </cfRule>
    <cfRule type="cellIs" dxfId="751" priority="240" operator="equal">
      <formula>"OK"</formula>
    </cfRule>
  </conditionalFormatting>
  <conditionalFormatting sqref="F11:F35">
    <cfRule type="cellIs" dxfId="750" priority="200" operator="equal">
      <formula>"SON"</formula>
    </cfRule>
  </conditionalFormatting>
  <conditionalFormatting sqref="P11:P35">
    <cfRule type="cellIs" dxfId="749" priority="199" operator="equal">
      <formula>"SON"</formula>
    </cfRule>
  </conditionalFormatting>
  <conditionalFormatting sqref="Z11:Z35">
    <cfRule type="cellIs" dxfId="748" priority="198" operator="equal">
      <formula>"SON"</formula>
    </cfRule>
  </conditionalFormatting>
  <conditionalFormatting sqref="G11:G35">
    <cfRule type="cellIs" dxfId="747" priority="196" operator="notEqual">
      <formula>""</formula>
    </cfRule>
  </conditionalFormatting>
  <conditionalFormatting sqref="K11:K35">
    <cfRule type="cellIs" dxfId="746" priority="195" operator="notEqual">
      <formula>""</formula>
    </cfRule>
  </conditionalFormatting>
  <conditionalFormatting sqref="L11:L35">
    <cfRule type="cellIs" dxfId="745" priority="194" operator="notEqual">
      <formula>""</formula>
    </cfRule>
  </conditionalFormatting>
  <conditionalFormatting sqref="Q11:Q35">
    <cfRule type="cellIs" dxfId="744" priority="193" operator="notEqual">
      <formula>""</formula>
    </cfRule>
  </conditionalFormatting>
  <conditionalFormatting sqref="AA11:AA35">
    <cfRule type="cellIs" dxfId="743" priority="192" operator="notEqual">
      <formula>""</formula>
    </cfRule>
  </conditionalFormatting>
  <conditionalFormatting sqref="U11:V35">
    <cfRule type="cellIs" dxfId="742" priority="191" operator="notEqual">
      <formula>""</formula>
    </cfRule>
  </conditionalFormatting>
  <conditionalFormatting sqref="AE11:AF35">
    <cfRule type="cellIs" dxfId="741" priority="190" operator="notEqual">
      <formula>""</formula>
    </cfRule>
  </conditionalFormatting>
  <conditionalFormatting sqref="L40:L45">
    <cfRule type="cellIs" dxfId="740" priority="188" operator="notEqual">
      <formula>""</formula>
    </cfRule>
  </conditionalFormatting>
  <conditionalFormatting sqref="V40:V45">
    <cfRule type="cellIs" dxfId="739" priority="187" operator="notEqual">
      <formula>""</formula>
    </cfRule>
  </conditionalFormatting>
  <conditionalFormatting sqref="AF40:AF45">
    <cfRule type="cellIs" dxfId="738" priority="186" operator="notEqual">
      <formula>""</formula>
    </cfRule>
  </conditionalFormatting>
  <conditionalFormatting sqref="P40:P45">
    <cfRule type="cellIs" dxfId="737" priority="185" operator="notEqual">
      <formula>""</formula>
    </cfRule>
  </conditionalFormatting>
  <conditionalFormatting sqref="Z40:Z45">
    <cfRule type="cellIs" dxfId="736" priority="184" operator="notEqual">
      <formula>""</formula>
    </cfRule>
  </conditionalFormatting>
  <conditionalFormatting sqref="F43:F45">
    <cfRule type="cellIs" dxfId="735" priority="183" operator="notEqual">
      <formula>""</formula>
    </cfRule>
  </conditionalFormatting>
  <conditionalFormatting sqref="J63">
    <cfRule type="cellIs" dxfId="734" priority="182" operator="notEqual">
      <formula>""</formula>
    </cfRule>
  </conditionalFormatting>
  <conditionalFormatting sqref="J64">
    <cfRule type="cellIs" dxfId="733" priority="181" operator="notEqual">
      <formula>""</formula>
    </cfRule>
  </conditionalFormatting>
  <conditionalFormatting sqref="J60:J61">
    <cfRule type="cellIs" dxfId="732" priority="180" operator="notEqual">
      <formula>""</formula>
    </cfRule>
  </conditionalFormatting>
  <conditionalFormatting sqref="J62">
    <cfRule type="cellIs" dxfId="731" priority="179" operator="notEqual">
      <formula>""</formula>
    </cfRule>
  </conditionalFormatting>
  <conditionalFormatting sqref="T61">
    <cfRule type="cellIs" dxfId="730" priority="178" operator="notEqual">
      <formula>""</formula>
    </cfRule>
  </conditionalFormatting>
  <conditionalFormatting sqref="T62">
    <cfRule type="cellIs" dxfId="729" priority="177" operator="notEqual">
      <formula>""</formula>
    </cfRule>
  </conditionalFormatting>
  <conditionalFormatting sqref="AD61">
    <cfRule type="cellIs" dxfId="728" priority="176" operator="notEqual">
      <formula>""</formula>
    </cfRule>
  </conditionalFormatting>
  <conditionalFormatting sqref="AD62">
    <cfRule type="cellIs" dxfId="727" priority="175" operator="notEqual">
      <formula>""</formula>
    </cfRule>
  </conditionalFormatting>
  <conditionalFormatting sqref="T63">
    <cfRule type="cellIs" dxfId="726" priority="174" operator="notEqual">
      <formula>""</formula>
    </cfRule>
  </conditionalFormatting>
  <conditionalFormatting sqref="T64">
    <cfRule type="cellIs" dxfId="725" priority="173" operator="notEqual">
      <formula>""</formula>
    </cfRule>
  </conditionalFormatting>
  <conditionalFormatting sqref="AD63">
    <cfRule type="cellIs" dxfId="724" priority="172" operator="notEqual">
      <formula>""</formula>
    </cfRule>
  </conditionalFormatting>
  <conditionalFormatting sqref="AD64">
    <cfRule type="cellIs" dxfId="723" priority="171" operator="notEqual">
      <formula>""</formula>
    </cfRule>
  </conditionalFormatting>
  <conditionalFormatting sqref="F86">
    <cfRule type="cellIs" priority="167" operator="equal">
      <formula>""</formula>
    </cfRule>
    <cfRule type="cellIs" dxfId="722" priority="168" operator="greaterThan">
      <formula>90%</formula>
    </cfRule>
    <cfRule type="cellIs" dxfId="721" priority="169" operator="lessThan">
      <formula>30%</formula>
    </cfRule>
    <cfRule type="cellIs" dxfId="720" priority="170" operator="between">
      <formula>30%</formula>
      <formula>90%</formula>
    </cfRule>
  </conditionalFormatting>
  <conditionalFormatting sqref="J73">
    <cfRule type="cellIs" dxfId="719" priority="166" operator="notEqual">
      <formula>""</formula>
    </cfRule>
  </conditionalFormatting>
  <conditionalFormatting sqref="T74:T75">
    <cfRule type="cellIs" dxfId="718" priority="165" operator="notEqual">
      <formula>""</formula>
    </cfRule>
  </conditionalFormatting>
  <conditionalFormatting sqref="T73">
    <cfRule type="cellIs" dxfId="717" priority="164" operator="notEqual">
      <formula>""</formula>
    </cfRule>
  </conditionalFormatting>
  <conditionalFormatting sqref="AD74:AD75">
    <cfRule type="cellIs" dxfId="716" priority="163" operator="notEqual">
      <formula>""</formula>
    </cfRule>
  </conditionalFormatting>
  <conditionalFormatting sqref="AD73">
    <cfRule type="cellIs" dxfId="715" priority="162" operator="notEqual">
      <formula>""</formula>
    </cfRule>
  </conditionalFormatting>
  <conditionalFormatting sqref="J108">
    <cfRule type="cellIs" dxfId="714" priority="161" operator="notEqual">
      <formula>""</formula>
    </cfRule>
  </conditionalFormatting>
  <conditionalFormatting sqref="J111">
    <cfRule type="cellIs" dxfId="713" priority="160" operator="notEqual">
      <formula>""</formula>
    </cfRule>
  </conditionalFormatting>
  <conditionalFormatting sqref="J109">
    <cfRule type="cellIs" dxfId="712" priority="159" operator="notEqual">
      <formula>""</formula>
    </cfRule>
  </conditionalFormatting>
  <conditionalFormatting sqref="J110">
    <cfRule type="cellIs" dxfId="711" priority="158" operator="notEqual">
      <formula>""</formula>
    </cfRule>
  </conditionalFormatting>
  <conditionalFormatting sqref="J112">
    <cfRule type="cellIs" dxfId="710" priority="157" operator="notEqual">
      <formula>""</formula>
    </cfRule>
  </conditionalFormatting>
  <conditionalFormatting sqref="J113">
    <cfRule type="cellIs" dxfId="709" priority="156" operator="notEqual">
      <formula>""</formula>
    </cfRule>
  </conditionalFormatting>
  <conditionalFormatting sqref="J114">
    <cfRule type="cellIs" dxfId="708" priority="155" operator="notEqual">
      <formula>""</formula>
    </cfRule>
  </conditionalFormatting>
  <conditionalFormatting sqref="J115">
    <cfRule type="cellIs" dxfId="707" priority="154" operator="notEqual">
      <formula>""</formula>
    </cfRule>
  </conditionalFormatting>
  <conditionalFormatting sqref="P60">
    <cfRule type="cellIs" dxfId="706" priority="150" operator="equal">
      <formula>"ERR1"</formula>
    </cfRule>
    <cfRule type="cellIs" dxfId="705" priority="151" operator="equal">
      <formula>"ERR2"</formula>
    </cfRule>
    <cfRule type="cellIs" dxfId="704" priority="152" operator="equal">
      <formula>"ERR"</formula>
    </cfRule>
    <cfRule type="cellIs" dxfId="703" priority="153" operator="equal">
      <formula>"OK"</formula>
    </cfRule>
  </conditionalFormatting>
  <conditionalFormatting sqref="T60">
    <cfRule type="cellIs" dxfId="702" priority="149" operator="notEqual">
      <formula>""</formula>
    </cfRule>
  </conditionalFormatting>
  <conditionalFormatting sqref="Z60">
    <cfRule type="cellIs" dxfId="701" priority="145" operator="equal">
      <formula>"ERR1"</formula>
    </cfRule>
    <cfRule type="cellIs" dxfId="700" priority="146" operator="equal">
      <formula>"ERR2"</formula>
    </cfRule>
    <cfRule type="cellIs" dxfId="699" priority="147" operator="equal">
      <formula>"ERR"</formula>
    </cfRule>
    <cfRule type="cellIs" dxfId="698" priority="148" operator="equal">
      <formula>"OK"</formula>
    </cfRule>
  </conditionalFormatting>
  <conditionalFormatting sqref="AD60">
    <cfRule type="cellIs" dxfId="697" priority="144" operator="notEqual">
      <formula>""</formula>
    </cfRule>
  </conditionalFormatting>
  <conditionalFormatting sqref="J99:J100">
    <cfRule type="cellIs" dxfId="696" priority="143" operator="notEqual">
      <formula>""</formula>
    </cfRule>
  </conditionalFormatting>
  <conditionalFormatting sqref="J80">
    <cfRule type="cellIs" dxfId="695" priority="142" operator="notEqual">
      <formula>""</formula>
    </cfRule>
  </conditionalFormatting>
  <conditionalFormatting sqref="T80">
    <cfRule type="cellIs" dxfId="694" priority="141" operator="notEqual">
      <formula>""</formula>
    </cfRule>
  </conditionalFormatting>
  <conditionalFormatting sqref="AD80">
    <cfRule type="cellIs" dxfId="693" priority="140" operator="notEqual">
      <formula>""</formula>
    </cfRule>
  </conditionalFormatting>
  <conditionalFormatting sqref="F153 F149 F151">
    <cfRule type="cellIs" dxfId="692" priority="136" operator="equal">
      <formula>"ERR1"</formula>
    </cfRule>
    <cfRule type="cellIs" dxfId="691" priority="137" operator="equal">
      <formula>"ERR2"</formula>
    </cfRule>
    <cfRule type="cellIs" dxfId="690" priority="138" operator="equal">
      <formula>"ERR"</formula>
    </cfRule>
    <cfRule type="cellIs" dxfId="689" priority="139" operator="equal">
      <formula>"OK"</formula>
    </cfRule>
  </conditionalFormatting>
  <conditionalFormatting sqref="N149:N154">
    <cfRule type="cellIs" dxfId="688" priority="122" operator="equal">
      <formula>"PASS"</formula>
    </cfRule>
    <cfRule type="cellIs" dxfId="687" priority="123" operator="equal">
      <formula>"FAIL"</formula>
    </cfRule>
  </conditionalFormatting>
  <conditionalFormatting sqref="O149 O151 O153">
    <cfRule type="cellIs" dxfId="686" priority="120" operator="equal">
      <formula>"PASS"</formula>
    </cfRule>
    <cfRule type="cellIs" dxfId="685" priority="121" operator="equal">
      <formula>"FAIL"</formula>
    </cfRule>
  </conditionalFormatting>
  <conditionalFormatting sqref="Q153 Q149 Q151">
    <cfRule type="cellIs" dxfId="684" priority="118" operator="equal">
      <formula>"PASS"</formula>
    </cfRule>
    <cfRule type="cellIs" dxfId="683" priority="119" operator="equal">
      <formula>"FAIL"</formula>
    </cfRule>
  </conditionalFormatting>
  <conditionalFormatting sqref="L149:L154">
    <cfRule type="cellIs" dxfId="682" priority="113" operator="equal">
      <formula>"NA"</formula>
    </cfRule>
    <cfRule type="cellIs" dxfId="681" priority="114" operator="equal">
      <formula>"NR"</formula>
    </cfRule>
    <cfRule type="cellIs" dxfId="680" priority="115" operator="equal">
      <formula>0</formula>
    </cfRule>
  </conditionalFormatting>
  <conditionalFormatting sqref="K153 K151 K149">
    <cfRule type="cellIs" dxfId="679" priority="108" operator="equal">
      <formula>"NA"</formula>
    </cfRule>
    <cfRule type="cellIs" dxfId="678" priority="109" operator="equal">
      <formula>"NR"</formula>
    </cfRule>
    <cfRule type="cellIs" dxfId="677" priority="110" operator="equal">
      <formula>0</formula>
    </cfRule>
  </conditionalFormatting>
  <conditionalFormatting sqref="F40:F42">
    <cfRule type="cellIs" dxfId="676" priority="1" operator="notEqual">
      <formula>""</formula>
    </cfRule>
  </conditionalFormatting>
  <dataValidations count="18">
    <dataValidation type="list" allowBlank="1" showInputMessage="1" showErrorMessage="1" sqref="T62 J62 AD62" xr:uid="{3362EF84-2BB4-4477-BCDE-3787828925D2}">
      <formula1>DLIST_RECTALIAS</formula1>
    </dataValidation>
    <dataValidation type="list" allowBlank="1" showInputMessage="1" showErrorMessage="1" sqref="T61 AD61 J61" xr:uid="{836FF8A1-43C7-40F4-B5B2-B7591D23BA49}">
      <formula1>DLIST_PSUALIAS</formula1>
    </dataValidation>
    <dataValidation type="list" allowBlank="1" showInputMessage="1" showErrorMessage="1" sqref="J63 T63 AD63" xr:uid="{75F1D8B0-D78A-46CF-A3AB-D9C35BD8DBC4}">
      <formula1>DLIST_CBSIZE</formula1>
    </dataValidation>
    <dataValidation type="list" allowBlank="1" showInputMessage="1" showErrorMessage="1" sqref="T73 J73 AD73 J100" xr:uid="{BC71686C-3EBB-4E05-9BC8-BF69C8F0F269}">
      <formula1>DLIST_BATTALIAS</formula1>
    </dataValidation>
    <dataValidation type="list" allowBlank="1" showInputMessage="1" showErrorMessage="1" sqref="G11:G35 AA11:AD35 Q11:T35" xr:uid="{9419B325-D3C0-4CE4-9E98-21899ED0A16C}">
      <formula1>SELECT_RANEQ</formula1>
    </dataValidation>
    <dataValidation type="list" allowBlank="1" showInputMessage="1" showErrorMessage="1" sqref="K11:K35 AE11:AE35 U11:U35" xr:uid="{A1965015-342D-4C62-8164-EF8E07B236DA}">
      <formula1>DLIST_LOC</formula1>
    </dataValidation>
    <dataValidation type="list" allowBlank="1" showInputMessage="1" showErrorMessage="1" sqref="Z40:Z45 P40:P45 F40:F45" xr:uid="{8EFE857A-AABE-4973-890B-7C1F2CFB56AE}">
      <formula1>SELECT_TXEQ</formula1>
    </dataValidation>
    <dataValidation type="list" allowBlank="1" showInputMessage="1" showErrorMessage="1" sqref="J74 T74 AD74" xr:uid="{647BCB1F-C759-405A-A008-24EAE73259C9}">
      <formula1>DLIST_NUMBER</formula1>
    </dataValidation>
    <dataValidation type="list" allowBlank="1" showInputMessage="1" showErrorMessage="1" sqref="J75 T75 AD75" xr:uid="{2AE2293A-997E-4982-8308-97E7012F06CB}">
      <formula1>DLIST_YN</formula1>
    </dataValidation>
    <dataValidation type="list" allowBlank="1" showInputMessage="1" showErrorMessage="1" sqref="H9:I9 R9:S9 AB9:AC9" xr:uid="{E463B9AF-8888-414F-ABA8-1D778AF64AB3}">
      <formula1>DLIST_OPERATOR</formula1>
    </dataValidation>
    <dataValidation type="list" allowBlank="1" showInputMessage="1" showErrorMessage="1" sqref="W9:X9 AG9:AH9" xr:uid="{A9D034CD-430F-443D-9DD1-CFC52E2A8851}">
      <formula1>DLIST_PSUSTATUS</formula1>
    </dataValidation>
    <dataValidation type="list" allowBlank="1" showInputMessage="1" showErrorMessage="1" sqref="J108" xr:uid="{A3597935-8702-4149-9D35-BD95908E638F}">
      <formula1>DLIST_ENCLOSURE</formula1>
    </dataValidation>
    <dataValidation type="list" allowBlank="1" showInputMessage="1" showErrorMessage="1" sqref="J112:J115" xr:uid="{51D3C6EB-1F96-493B-BD8F-5447A00EFE69}">
      <formula1>DLIST_ACUNITS</formula1>
    </dataValidation>
    <dataValidation type="list" allowBlank="1" showInputMessage="1" showErrorMessage="1" sqref="J111" xr:uid="{C3055A9D-07FD-4888-97ED-C69AD0C81CE4}">
      <formula1>DLIST_SFAN</formula1>
    </dataValidation>
    <dataValidation type="list" allowBlank="1" showInputMessage="1" showErrorMessage="1" sqref="J110" xr:uid="{E3654FE4-4CE6-45A2-BA5C-3540B6CF8153}">
      <formula1>DLIST_CABINETSIZE</formula1>
    </dataValidation>
    <dataValidation type="list" allowBlank="1" showInputMessage="1" showErrorMessage="1" sqref="J109" xr:uid="{5572EE42-7415-4EF6-AEE4-52CD84C3D1D3}">
      <formula1>DLIST_COOLINGOPTIONS</formula1>
    </dataValidation>
    <dataValidation type="list" allowBlank="1" showInputMessage="1" showErrorMessage="1" sqref="J60:L60 T60:V60 AD60:AF60" xr:uid="{03FCCD6A-EB8C-4854-AFC9-F656EED8CEFD}">
      <formula1>DLIST_DEPSTATUS</formula1>
    </dataValidation>
    <dataValidation type="list" allowBlank="1" showInputMessage="1" showErrorMessage="1" sqref="J99:K99" xr:uid="{E196D5C0-1D2B-4D74-97C4-A6C47DDCC713}">
      <formula1>DLIST_CPXALIAS</formula1>
    </dataValidation>
  </dataValidations>
  <hyperlinks>
    <hyperlink ref="B10" location="'DASH'!A1" display="DASHBOARD" xr:uid="{2C523AE1-D881-42AB-A861-6A5B1AA991C5}"/>
    <hyperlink ref="B11" location="'DES-GL'!A1" display="DESIGN GUIDELINES" xr:uid="{08960418-AED2-4B02-8455-FBA7A5256F0B}"/>
    <hyperlink ref="B13" location="'EXT-MAINS-DT'!A1" display="EXISTING POWER DESIGN" xr:uid="{FD51809F-4719-4DB2-8303-DCFF0AD2EB85}"/>
    <hyperlink ref="B14" location="'EXT-CALC'!A1" display="EXISTING DEMAND" xr:uid="{FE75E7E3-7BAB-4DB0-AAD9-41FD4EFDFFFE}"/>
    <hyperlink ref="B16" location="'CALC'!A1" display="POWER CALCULATOR" xr:uid="{BA243E4F-C880-4F29-8DAD-2A5A150DF06D}"/>
    <hyperlink ref="B17" location="'PLBC-CALC'!A1" display="PLBC CALCULATOR" xr:uid="{115044D2-2BEA-4328-A84E-2C9AC4849F3E}"/>
    <hyperlink ref="B18" location="'VDC'!A1" display="VD CALCULATOR" xr:uid="{990BC1E8-5DF0-4D3A-8920-79021C618E67}"/>
    <hyperlink ref="B20" location="'PRP-SOL'!A1" display="PROPOSED POWER DESIGN" xr:uid="{999E4E26-A4CA-4186-9393-77A5209897C1}"/>
    <hyperlink ref="B25" location="'DC'!A1" display="DOCUMENT CONTROL" xr:uid="{8D8BFAF9-8425-48A0-8403-E9CB475ED373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2" r:id="rId4" name="Button 136">
              <controlPr defaultSize="0" print="0" autoFill="0" autoPict="0" macro="[0]!ReturntoTop">
                <anchor moveWithCells="1">
                  <from>
                    <xdr:col>17</xdr:col>
                    <xdr:colOff>342900</xdr:colOff>
                    <xdr:row>180</xdr:row>
                    <xdr:rowOff>38100</xdr:rowOff>
                  </from>
                  <to>
                    <xdr:col>19</xdr:col>
                    <xdr:colOff>342900</xdr:colOff>
                    <xdr:row>181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5" name="Button 203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6</xdr:row>
                    <xdr:rowOff>114300</xdr:rowOff>
                  </from>
                  <to>
                    <xdr:col>4</xdr:col>
                    <xdr:colOff>297180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6" name="Button 204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6</xdr:row>
                    <xdr:rowOff>114300</xdr:rowOff>
                  </from>
                  <to>
                    <xdr:col>4</xdr:col>
                    <xdr:colOff>556260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7" name="Button 205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51</xdr:row>
                    <xdr:rowOff>114300</xdr:rowOff>
                  </from>
                  <to>
                    <xdr:col>4</xdr:col>
                    <xdr:colOff>297180</xdr:colOff>
                    <xdr:row>52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8" name="Button 206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51</xdr:row>
                    <xdr:rowOff>114300</xdr:rowOff>
                  </from>
                  <to>
                    <xdr:col>4</xdr:col>
                    <xdr:colOff>556260</xdr:colOff>
                    <xdr:row>52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9" name="Button 207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76</xdr:row>
                    <xdr:rowOff>114300</xdr:rowOff>
                  </from>
                  <to>
                    <xdr:col>4</xdr:col>
                    <xdr:colOff>297180</xdr:colOff>
                    <xdr:row>77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10" name="Button 208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76</xdr:row>
                    <xdr:rowOff>114300</xdr:rowOff>
                  </from>
                  <to>
                    <xdr:col>4</xdr:col>
                    <xdr:colOff>556260</xdr:colOff>
                    <xdr:row>77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11" name="Button 209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104</xdr:row>
                    <xdr:rowOff>114300</xdr:rowOff>
                  </from>
                  <to>
                    <xdr:col>4</xdr:col>
                    <xdr:colOff>297180</xdr:colOff>
                    <xdr:row>105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12" name="Button 210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104</xdr:row>
                    <xdr:rowOff>114300</xdr:rowOff>
                  </from>
                  <to>
                    <xdr:col>4</xdr:col>
                    <xdr:colOff>556260</xdr:colOff>
                    <xdr:row>105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13" name="Button 211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126</xdr:row>
                    <xdr:rowOff>114300</xdr:rowOff>
                  </from>
                  <to>
                    <xdr:col>4</xdr:col>
                    <xdr:colOff>297180</xdr:colOff>
                    <xdr:row>127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14" name="Button 212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126</xdr:row>
                    <xdr:rowOff>114300</xdr:rowOff>
                  </from>
                  <to>
                    <xdr:col>4</xdr:col>
                    <xdr:colOff>556260</xdr:colOff>
                    <xdr:row>127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15" name="Button 214">
              <controlPr defaultSize="0" print="0" autoFill="0" autoPict="0" macro="[0]!GotoPLBCCalc">
                <anchor moveWithCells="1">
                  <from>
                    <xdr:col>17</xdr:col>
                    <xdr:colOff>60960</xdr:colOff>
                    <xdr:row>146</xdr:row>
                    <xdr:rowOff>22860</xdr:rowOff>
                  </from>
                  <to>
                    <xdr:col>19</xdr:col>
                    <xdr:colOff>190500</xdr:colOff>
                    <xdr:row>148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7D8EEA0A-ABC6-496B-B602-C29CE00F47BC}">
            <xm:f>IF(AND('PRP-SOL'!$R$49="1P 230V",$L149&lt;MAX($T$141:$U$141)),TRUE)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5" id="{1CAD8112-5507-4F57-9403-0E29DE00ADEF}">
            <xm:f>IF(AND('PRP-SOL'!$R$49="1P 230V",$L149&gt;MAX($T$141:$U$141)),TRUE)</xm:f>
            <x14:dxf>
              <fill>
                <patternFill>
                  <bgColor theme="9" tint="0.79998168889431442"/>
                </patternFill>
              </fill>
            </x14:dxf>
          </x14:cfRule>
          <x14:cfRule type="expression" priority="116" id="{00000000-000E-0000-0A00-000009000000}">
            <xm:f>IF(AND('PRP-SOL'!$R$49&lt;&gt;"1P 230V",$L149&gt;MAX($K$141:$Q$141)),TRUE)</xm:f>
            <x14:dxf>
              <fill>
                <patternFill>
                  <bgColor theme="9" tint="0.79998168889431442"/>
                </patternFill>
              </fill>
            </x14:dxf>
          </x14:cfRule>
          <x14:cfRule type="expression" priority="117" id="{00000000-000E-0000-0A00-00000A000000}">
            <xm:f>IF(AND('PRP-SOL'!$R$49&lt;&gt;"1P 230V",$L149&lt;MAX($K$141:$Q$141)),TRUE)</xm:f>
            <x14:dxf>
              <fill>
                <patternFill>
                  <bgColor theme="5" tint="0.79998168889431442"/>
                </patternFill>
              </fill>
            </x14:dxf>
          </x14:cfRule>
          <xm:sqref>L149:L154</xm:sqref>
        </x14:conditionalFormatting>
        <x14:conditionalFormatting xmlns:xm="http://schemas.microsoft.com/office/excel/2006/main">
          <x14:cfRule type="expression" priority="67" id="{A43E764C-AA54-41DA-A58D-81266196B65B}">
            <xm:f>IF(AND('PRP-SOL'!$J$49&lt;&gt;"1P 230V",$K149&lt;MAX($K$141:$Q$141)),TRUE)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68" id="{BC0A2AD7-43FC-484A-925E-B5B9C4443005}">
            <xm:f>IF(AND('PRP-SOL'!$J$49&lt;&gt;"1P 230V",$K149&gt;MAX($K$141:$Q$141)),TRUE)</xm:f>
            <x14:dxf>
              <fill>
                <patternFill>
                  <bgColor theme="9" tint="0.79998168889431442"/>
                </patternFill>
              </fill>
            </x14:dxf>
          </x14:cfRule>
          <x14:cfRule type="expression" priority="69" id="{CAC69E81-5350-4DC0-A2BD-EDAD88002FAC}">
            <xm:f>IF(AND('PRP-SOL'!$J$49="1P 230V",$K149&lt;MAX($T$141:$U$141)),TRUE)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111" id="{5A140380-1159-4369-B049-542556D64563}">
            <xm:f>IF(AND('PRP-SOL'!$J$49="1P 230V",$K149&gt;MAX($T$141:$U$141)),TRUE)</xm:f>
            <x14:dxf>
              <fill>
                <patternFill>
                  <bgColor theme="9" tint="0.79998168889431442"/>
                </patternFill>
              </fill>
            </x14:dxf>
          </x14:cfRule>
          <xm:sqref>K149 K151 K153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A2E8C1-B88F-41A9-8B07-528B7FCE4C4F}">
          <x14:formula1>
            <xm:f>CFGPWR!$L$10:$L$14</xm:f>
          </x14:formula1>
          <xm:sqref>I67:M70 S67:W70 AC67:AG70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B5C96-731E-4EFB-B181-E68396516BD8}">
  <sheetPr codeName="Sheet42">
    <tabColor rgb="FF00A3AD"/>
    <pageSetUpPr fitToPage="1"/>
  </sheetPr>
  <dimension ref="A1:AO281"/>
  <sheetViews>
    <sheetView showGridLines="0" tabSelected="1" topLeftCell="B139" zoomScaleNormal="100" workbookViewId="0">
      <selection activeCell="P222" sqref="P222"/>
    </sheetView>
  </sheetViews>
  <sheetFormatPr defaultRowHeight="14.45"/>
  <cols>
    <col min="1" max="1" width="0" hidden="1" customWidth="1"/>
    <col min="2" max="2" width="9.28515625" style="1"/>
    <col min="3" max="4" width="9.28515625" style="1" customWidth="1"/>
    <col min="6" max="6" width="9.28515625" customWidth="1"/>
    <col min="13" max="13" width="9.28515625" customWidth="1"/>
    <col min="14" max="14" width="4.7109375" customWidth="1"/>
    <col min="15" max="15" width="5" customWidth="1"/>
    <col min="23" max="23" width="4.7109375" customWidth="1"/>
    <col min="24" max="24" width="5" customWidth="1"/>
  </cols>
  <sheetData>
    <row r="1" spans="1:41" ht="16.5" hidden="1" customHeight="1"/>
    <row r="2" spans="1:41" ht="16.5" customHeight="1">
      <c r="F2" s="287" t="s">
        <v>176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6"/>
      <c r="T2" s="286"/>
      <c r="U2" s="286"/>
      <c r="V2" s="286"/>
    </row>
    <row r="3" spans="1:41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6"/>
      <c r="T3" s="286"/>
      <c r="U3" s="286"/>
      <c r="V3" s="286"/>
    </row>
    <row r="4" spans="1:41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6"/>
      <c r="T4" s="286"/>
      <c r="U4" s="286"/>
      <c r="V4" s="286"/>
    </row>
    <row r="5" spans="1:41" ht="16.5" customHeight="1">
      <c r="F5" s="219" t="s">
        <v>492</v>
      </c>
    </row>
    <row r="6" spans="1:41" ht="16.5" customHeight="1"/>
    <row r="7" spans="1:41" ht="16.5" customHeight="1">
      <c r="C7" s="2" t="s">
        <v>152</v>
      </c>
      <c r="D7" s="12">
        <f>DCVer</f>
        <v>12.7</v>
      </c>
      <c r="F7" s="292" t="s">
        <v>268</v>
      </c>
      <c r="G7" s="292"/>
      <c r="H7" s="292"/>
      <c r="I7" s="292"/>
      <c r="J7" s="292"/>
      <c r="K7" s="292"/>
      <c r="L7" s="292"/>
      <c r="AO7">
        <f>R24</f>
        <v>100</v>
      </c>
    </row>
    <row r="8" spans="1:41" ht="16.5" customHeight="1">
      <c r="F8" s="292"/>
      <c r="G8" s="292"/>
      <c r="H8" s="292"/>
      <c r="I8" s="292"/>
      <c r="J8" s="292"/>
      <c r="K8" s="292"/>
      <c r="L8" s="292"/>
      <c r="AO8">
        <f>R53</f>
        <v>50</v>
      </c>
    </row>
    <row r="9" spans="1:41" ht="16.5" customHeight="1">
      <c r="B9" s="285"/>
      <c r="C9" s="285"/>
      <c r="D9" s="285"/>
      <c r="F9" s="32" t="s">
        <v>271</v>
      </c>
      <c r="J9" s="32" t="s">
        <v>493</v>
      </c>
      <c r="Q9" s="137"/>
      <c r="R9" s="32" t="s">
        <v>494</v>
      </c>
      <c r="X9" s="117" t="s">
        <v>495</v>
      </c>
      <c r="AO9">
        <f>R65</f>
        <v>50</v>
      </c>
    </row>
    <row r="10" spans="1:41" ht="16.5" customHeight="1">
      <c r="A10" t="b">
        <v>1</v>
      </c>
      <c r="B10" s="285" t="s">
        <v>151</v>
      </c>
      <c r="C10" s="285"/>
      <c r="D10" s="285"/>
      <c r="F10" s="295" t="s">
        <v>272</v>
      </c>
      <c r="G10" s="295"/>
      <c r="H10" s="295"/>
      <c r="I10" s="295"/>
      <c r="J10" s="404" t="str">
        <f>'EXT-MAINS-DT'!J12</f>
        <v>Tas Networks - 132 004</v>
      </c>
      <c r="K10" s="404"/>
      <c r="L10" s="404"/>
      <c r="M10" s="16"/>
      <c r="R10" s="306" t="s">
        <v>273</v>
      </c>
      <c r="S10" s="306"/>
      <c r="T10" s="306"/>
      <c r="U10" s="16" t="s">
        <v>158</v>
      </c>
      <c r="W10" s="83" t="s">
        <v>191</v>
      </c>
      <c r="X10" s="84" t="s">
        <v>496</v>
      </c>
      <c r="AO10" t="str">
        <f>R108</f>
        <v>MCB</v>
      </c>
    </row>
    <row r="11" spans="1:41" ht="16.5" customHeight="1">
      <c r="A11" t="b">
        <v>1</v>
      </c>
      <c r="B11" s="285" t="s">
        <v>155</v>
      </c>
      <c r="C11" s="285"/>
      <c r="D11" s="285"/>
      <c r="F11" s="295" t="s">
        <v>274</v>
      </c>
      <c r="G11" s="295"/>
      <c r="H11" s="295"/>
      <c r="I11" s="295"/>
      <c r="J11" s="404" t="str">
        <f>'EXT-MAINS-DT'!J13</f>
        <v>3P 415V</v>
      </c>
      <c r="K11" s="404"/>
      <c r="L11" s="404"/>
      <c r="M11" s="16"/>
      <c r="R11" s="306" t="s">
        <v>275</v>
      </c>
      <c r="S11" s="306"/>
      <c r="T11" s="306"/>
      <c r="U11" s="16" t="s">
        <v>158</v>
      </c>
      <c r="W11" s="25"/>
      <c r="X11" s="84" t="s">
        <v>497</v>
      </c>
    </row>
    <row r="12" spans="1:41" ht="16.5" customHeight="1">
      <c r="A12" t="b">
        <v>1</v>
      </c>
      <c r="B12" s="285"/>
      <c r="C12" s="285"/>
      <c r="D12" s="285"/>
      <c r="F12" s="295" t="s">
        <v>276</v>
      </c>
      <c r="G12" s="295"/>
      <c r="H12" s="295"/>
      <c r="I12" s="295"/>
      <c r="J12" s="405" t="str">
        <f>'EXT-MAINS-DT'!J14</f>
        <v xml:space="preserve">PID 100544 </v>
      </c>
      <c r="K12" s="406"/>
      <c r="L12" s="84"/>
      <c r="R12" s="419" t="s">
        <v>277</v>
      </c>
      <c r="S12" s="420"/>
      <c r="T12" s="39"/>
      <c r="X12" s="84" t="s">
        <v>498</v>
      </c>
    </row>
    <row r="13" spans="1:41" ht="16.5" customHeight="1">
      <c r="A13" t="b">
        <v>1</v>
      </c>
      <c r="B13" s="285" t="s">
        <v>159</v>
      </c>
      <c r="C13" s="285"/>
      <c r="D13" s="285"/>
      <c r="F13" s="295" t="s">
        <v>278</v>
      </c>
      <c r="G13" s="295"/>
      <c r="H13" s="295"/>
      <c r="I13" s="295"/>
      <c r="J13" s="405" t="str">
        <f>'EXT-MAINS-DT'!J15</f>
        <v xml:space="preserve">T20 0037 </v>
      </c>
      <c r="K13" s="406"/>
      <c r="L13" s="84"/>
      <c r="R13" s="279" t="s">
        <v>279</v>
      </c>
      <c r="S13" s="280"/>
      <c r="T13" s="39"/>
    </row>
    <row r="14" spans="1:41" ht="16.5" customHeight="1">
      <c r="A14" t="b">
        <v>1</v>
      </c>
      <c r="B14" s="285" t="s">
        <v>162</v>
      </c>
      <c r="C14" s="285"/>
      <c r="D14" s="285"/>
      <c r="F14" s="295" t="s">
        <v>280</v>
      </c>
      <c r="G14" s="295"/>
      <c r="H14" s="295"/>
      <c r="I14" s="295"/>
      <c r="J14" s="405" t="str">
        <f>'EXT-MAINS-DT'!J16</f>
        <v xml:space="preserve">315kVA  </v>
      </c>
      <c r="K14" s="406"/>
      <c r="L14" s="84"/>
      <c r="R14" s="279" t="s">
        <v>281</v>
      </c>
      <c r="S14" s="280"/>
      <c r="T14" s="39"/>
    </row>
    <row r="15" spans="1:41" ht="16.5" customHeight="1">
      <c r="A15" t="b">
        <v>1</v>
      </c>
      <c r="B15" s="285"/>
      <c r="C15" s="285"/>
      <c r="D15" s="285"/>
    </row>
    <row r="16" spans="1:41" ht="16.5" customHeight="1">
      <c r="A16" t="b">
        <v>1</v>
      </c>
      <c r="B16" s="285" t="s">
        <v>167</v>
      </c>
      <c r="C16" s="285"/>
      <c r="D16" s="285"/>
      <c r="J16" s="39"/>
      <c r="K16" s="39"/>
      <c r="L16" s="39"/>
    </row>
    <row r="17" spans="1:26" ht="16.5" customHeight="1">
      <c r="A17" t="b">
        <v>1</v>
      </c>
      <c r="B17" s="285" t="s">
        <v>170</v>
      </c>
      <c r="C17" s="285"/>
      <c r="D17" s="285"/>
      <c r="F17" s="32" t="s">
        <v>282</v>
      </c>
      <c r="J17" s="32" t="s">
        <v>493</v>
      </c>
      <c r="K17" s="39"/>
      <c r="L17" s="39"/>
      <c r="R17" s="32" t="s">
        <v>494</v>
      </c>
    </row>
    <row r="18" spans="1:26" ht="16.5" customHeight="1">
      <c r="A18" t="b">
        <v>1</v>
      </c>
      <c r="B18" s="285" t="s">
        <v>173</v>
      </c>
      <c r="C18" s="285"/>
      <c r="D18" s="285"/>
      <c r="F18" s="295" t="s">
        <v>283</v>
      </c>
      <c r="G18" s="295"/>
      <c r="H18" s="295"/>
      <c r="I18" s="295"/>
      <c r="J18" s="404" t="str">
        <f>'EXT-MAINS-DT'!J20</f>
        <v xml:space="preserve">4 Core 95mm2 Aluminium  </v>
      </c>
      <c r="K18" s="404"/>
      <c r="L18" s="404"/>
      <c r="N18" s="116"/>
      <c r="R18" s="279" t="s">
        <v>284</v>
      </c>
      <c r="S18" s="281"/>
      <c r="T18" s="280"/>
    </row>
    <row r="19" spans="1:26" ht="16.5" customHeight="1">
      <c r="A19" t="b">
        <v>1</v>
      </c>
      <c r="B19" s="285"/>
      <c r="C19" s="285"/>
      <c r="D19" s="285"/>
      <c r="F19" s="295" t="s">
        <v>285</v>
      </c>
      <c r="G19" s="295"/>
      <c r="H19" s="295"/>
      <c r="I19" s="295"/>
      <c r="J19" s="151">
        <f>'EXT-MAINS-DT'!J21</f>
        <v>15</v>
      </c>
      <c r="K19" s="84"/>
      <c r="L19" s="84"/>
      <c r="N19" s="116"/>
      <c r="R19" s="199">
        <v>15</v>
      </c>
      <c r="S19" s="39"/>
      <c r="T19" s="39"/>
    </row>
    <row r="20" spans="1:26" ht="16.5" customHeight="1">
      <c r="A20" t="b">
        <v>1</v>
      </c>
      <c r="B20" s="290" t="s">
        <v>176</v>
      </c>
      <c r="C20" s="285"/>
      <c r="D20" s="285"/>
      <c r="F20" s="295" t="s">
        <v>286</v>
      </c>
      <c r="G20" s="295"/>
      <c r="H20" s="295"/>
      <c r="I20" s="295"/>
      <c r="J20" s="151" t="str">
        <f>'EXT-MAINS-DT'!J22</f>
        <v>148A</v>
      </c>
      <c r="K20" s="84"/>
      <c r="L20" s="84"/>
      <c r="R20" s="199" t="s">
        <v>287</v>
      </c>
      <c r="S20" s="39"/>
      <c r="T20" s="39"/>
    </row>
    <row r="21" spans="1:26" ht="16.5" customHeight="1">
      <c r="A21" t="b">
        <v>1</v>
      </c>
      <c r="B21" s="285"/>
      <c r="C21" s="285"/>
      <c r="D21" s="285"/>
      <c r="J21" s="84"/>
      <c r="K21" s="84"/>
      <c r="L21" s="84"/>
    </row>
    <row r="22" spans="1:26" ht="16.5" customHeight="1">
      <c r="A22" t="b">
        <v>1</v>
      </c>
      <c r="B22" s="285"/>
      <c r="C22" s="285"/>
      <c r="D22" s="285"/>
      <c r="F22" s="32" t="s">
        <v>288</v>
      </c>
      <c r="J22" s="32" t="s">
        <v>493</v>
      </c>
      <c r="K22" s="84"/>
      <c r="L22" s="84"/>
      <c r="R22" s="32" t="s">
        <v>494</v>
      </c>
    </row>
    <row r="23" spans="1:26" ht="16.5" customHeight="1">
      <c r="A23" t="b">
        <v>1</v>
      </c>
      <c r="B23" s="285"/>
      <c r="C23" s="285"/>
      <c r="D23" s="285"/>
      <c r="F23" s="295" t="s">
        <v>289</v>
      </c>
      <c r="G23" s="295"/>
      <c r="H23" s="295"/>
      <c r="I23" s="295"/>
      <c r="J23" s="151" t="str">
        <f>'EXT-MAINS-DT'!J25</f>
        <v>MCCB</v>
      </c>
      <c r="K23" s="16"/>
      <c r="L23" s="84"/>
      <c r="R23" s="199" t="s">
        <v>290</v>
      </c>
      <c r="S23" s="16" t="s">
        <v>158</v>
      </c>
    </row>
    <row r="24" spans="1:26" ht="16.5" customHeight="1">
      <c r="A24" t="b">
        <v>1</v>
      </c>
      <c r="B24" s="285"/>
      <c r="C24" s="285"/>
      <c r="D24" s="285"/>
      <c r="F24" s="295" t="s">
        <v>291</v>
      </c>
      <c r="G24" s="295"/>
      <c r="H24" s="295"/>
      <c r="I24" s="295"/>
      <c r="J24" s="151">
        <f>'EXT-MAINS-DT'!J26</f>
        <v>100</v>
      </c>
      <c r="K24" s="16"/>
      <c r="L24" s="84"/>
      <c r="R24" s="199">
        <v>100</v>
      </c>
      <c r="S24" s="16" t="s">
        <v>158</v>
      </c>
    </row>
    <row r="25" spans="1:26" ht="16.5" customHeight="1">
      <c r="A25" t="b">
        <v>1</v>
      </c>
      <c r="B25" s="285" t="s">
        <v>182</v>
      </c>
      <c r="C25" s="285"/>
      <c r="D25" s="285"/>
      <c r="F25" s="295" t="s">
        <v>292</v>
      </c>
      <c r="G25" s="295"/>
      <c r="H25" s="295"/>
      <c r="I25" s="295"/>
      <c r="J25" s="151" t="str">
        <f>'EXT-MAINS-DT'!J27</f>
        <v>C Curve</v>
      </c>
      <c r="K25" s="16"/>
      <c r="L25" s="84"/>
      <c r="R25" s="199" t="s">
        <v>293</v>
      </c>
      <c r="S25" s="16" t="s">
        <v>158</v>
      </c>
    </row>
    <row r="26" spans="1:26" ht="16.5" customHeight="1">
      <c r="A26" t="b">
        <v>1</v>
      </c>
      <c r="B26" s="285"/>
      <c r="C26" s="285"/>
      <c r="D26" s="285"/>
    </row>
    <row r="27" spans="1:26" ht="16.5" customHeight="1">
      <c r="A27" t="b">
        <v>1</v>
      </c>
      <c r="B27" s="293"/>
      <c r="C27" s="293"/>
      <c r="D27" s="293"/>
      <c r="F27" s="32" t="s">
        <v>294</v>
      </c>
      <c r="R27" s="32" t="s">
        <v>494</v>
      </c>
    </row>
    <row r="28" spans="1:26" ht="16.5" customHeight="1">
      <c r="A28" t="b">
        <v>1</v>
      </c>
      <c r="B28" s="13"/>
      <c r="C28" s="13"/>
      <c r="D28" s="13"/>
      <c r="F28" s="407" t="str">
        <f>'EXT-MAINS-DT'!F30</f>
        <v>Optus submain fed from the multi meter board on Telstra compound to the Optus shelter via UG 
conduit.</v>
      </c>
      <c r="G28" s="408"/>
      <c r="H28" s="408"/>
      <c r="I28" s="408"/>
      <c r="J28" s="408"/>
      <c r="K28" s="408"/>
      <c r="L28" s="408"/>
      <c r="M28" s="408"/>
      <c r="N28" s="409"/>
      <c r="R28" s="296" t="s">
        <v>295</v>
      </c>
      <c r="S28" s="297"/>
      <c r="T28" s="297"/>
      <c r="U28" s="297"/>
      <c r="V28" s="297"/>
      <c r="W28" s="297"/>
      <c r="X28" s="297"/>
      <c r="Y28" s="297"/>
      <c r="Z28" s="298"/>
    </row>
    <row r="29" spans="1:26" ht="16.5" customHeight="1">
      <c r="A29" t="b">
        <v>1</v>
      </c>
      <c r="B29" s="13"/>
      <c r="C29" s="13"/>
      <c r="D29" s="13"/>
      <c r="F29" s="410"/>
      <c r="G29" s="411"/>
      <c r="H29" s="411"/>
      <c r="I29" s="411"/>
      <c r="J29" s="411"/>
      <c r="K29" s="411"/>
      <c r="L29" s="411"/>
      <c r="M29" s="411"/>
      <c r="N29" s="412"/>
      <c r="R29" s="299"/>
      <c r="S29" s="300"/>
      <c r="T29" s="300"/>
      <c r="U29" s="300"/>
      <c r="V29" s="300"/>
      <c r="W29" s="300"/>
      <c r="X29" s="300"/>
      <c r="Y29" s="300"/>
      <c r="Z29" s="301"/>
    </row>
    <row r="30" spans="1:26" ht="16.5" customHeight="1">
      <c r="A30" t="b">
        <v>1</v>
      </c>
      <c r="B30" s="13"/>
      <c r="C30" s="13"/>
      <c r="D30" s="13"/>
      <c r="F30" s="410"/>
      <c r="G30" s="411"/>
      <c r="H30" s="411"/>
      <c r="I30" s="411"/>
      <c r="J30" s="411"/>
      <c r="K30" s="411"/>
      <c r="L30" s="411"/>
      <c r="M30" s="411"/>
      <c r="N30" s="412"/>
      <c r="R30" s="299"/>
      <c r="S30" s="300"/>
      <c r="T30" s="300"/>
      <c r="U30" s="300"/>
      <c r="V30" s="300"/>
      <c r="W30" s="300"/>
      <c r="X30" s="300"/>
      <c r="Y30" s="300"/>
      <c r="Z30" s="301"/>
    </row>
    <row r="31" spans="1:26" ht="16.5" customHeight="1">
      <c r="A31" t="b">
        <v>1</v>
      </c>
      <c r="B31" s="13"/>
      <c r="C31" s="13"/>
      <c r="D31" s="13"/>
      <c r="F31" s="410"/>
      <c r="G31" s="411"/>
      <c r="H31" s="411"/>
      <c r="I31" s="411"/>
      <c r="J31" s="411"/>
      <c r="K31" s="411"/>
      <c r="L31" s="411"/>
      <c r="M31" s="411"/>
      <c r="N31" s="412"/>
      <c r="R31" s="299"/>
      <c r="S31" s="300"/>
      <c r="T31" s="300"/>
      <c r="U31" s="300"/>
      <c r="V31" s="300"/>
      <c r="W31" s="300"/>
      <c r="X31" s="300"/>
      <c r="Y31" s="300"/>
      <c r="Z31" s="301"/>
    </row>
    <row r="32" spans="1:26" ht="16.5" customHeight="1">
      <c r="A32" t="b">
        <v>1</v>
      </c>
      <c r="B32" s="13"/>
      <c r="C32" s="13"/>
      <c r="D32" s="13"/>
      <c r="F32" s="410"/>
      <c r="G32" s="411"/>
      <c r="H32" s="411"/>
      <c r="I32" s="411"/>
      <c r="J32" s="411"/>
      <c r="K32" s="411"/>
      <c r="L32" s="411"/>
      <c r="M32" s="411"/>
      <c r="N32" s="412"/>
      <c r="R32" s="299"/>
      <c r="S32" s="300"/>
      <c r="T32" s="300"/>
      <c r="U32" s="300"/>
      <c r="V32" s="300"/>
      <c r="W32" s="300"/>
      <c r="X32" s="300"/>
      <c r="Y32" s="300"/>
      <c r="Z32" s="301"/>
    </row>
    <row r="33" spans="1:26" ht="16.5" customHeight="1">
      <c r="A33" t="b">
        <v>1</v>
      </c>
      <c r="B33" s="13"/>
      <c r="C33" s="13"/>
      <c r="D33" s="13"/>
      <c r="F33" s="413"/>
      <c r="G33" s="414"/>
      <c r="H33" s="414"/>
      <c r="I33" s="414"/>
      <c r="J33" s="414"/>
      <c r="K33" s="414"/>
      <c r="L33" s="414"/>
      <c r="M33" s="414"/>
      <c r="N33" s="415"/>
      <c r="R33" s="302"/>
      <c r="S33" s="303"/>
      <c r="T33" s="303"/>
      <c r="U33" s="303"/>
      <c r="V33" s="303"/>
      <c r="W33" s="303"/>
      <c r="X33" s="303"/>
      <c r="Y33" s="303"/>
      <c r="Z33" s="304"/>
    </row>
    <row r="34" spans="1:26" ht="16.5" customHeight="1">
      <c r="A34" t="b">
        <v>1</v>
      </c>
      <c r="B34" s="13"/>
      <c r="C34" s="13"/>
      <c r="D34" s="13"/>
    </row>
    <row r="35" spans="1:26" ht="16.5" customHeight="1">
      <c r="A35" t="b">
        <v>1</v>
      </c>
      <c r="B35" s="13"/>
      <c r="C35" s="13"/>
      <c r="D35" s="13"/>
      <c r="F35" s="32" t="s">
        <v>296</v>
      </c>
      <c r="R35" s="32" t="s">
        <v>494</v>
      </c>
    </row>
    <row r="36" spans="1:26" ht="16.5" customHeight="1">
      <c r="A36" t="b">
        <v>1</v>
      </c>
      <c r="B36" s="13"/>
      <c r="C36" s="13"/>
      <c r="D36" s="13"/>
      <c r="F36" s="407" t="str">
        <f>'EXT-MAINS-DT'!F38</f>
        <v>Consumer main fed from POLE PID 100544  to the multi meter board via Turret 904120 &amp; 2 x pit in UG conduit</v>
      </c>
      <c r="G36" s="408"/>
      <c r="H36" s="408"/>
      <c r="I36" s="408"/>
      <c r="J36" s="408"/>
      <c r="K36" s="408"/>
      <c r="L36" s="408"/>
      <c r="M36" s="408"/>
      <c r="N36" s="409"/>
      <c r="R36" s="296" t="s">
        <v>297</v>
      </c>
      <c r="S36" s="297"/>
      <c r="T36" s="297"/>
      <c r="U36" s="297"/>
      <c r="V36" s="297"/>
      <c r="W36" s="297"/>
      <c r="X36" s="297"/>
      <c r="Y36" s="297"/>
      <c r="Z36" s="298"/>
    </row>
    <row r="37" spans="1:26" ht="16.5" customHeight="1">
      <c r="A37" t="b">
        <v>0</v>
      </c>
      <c r="B37" s="13"/>
      <c r="C37" s="13"/>
      <c r="D37" s="13"/>
      <c r="F37" s="410"/>
      <c r="G37" s="411"/>
      <c r="H37" s="411"/>
      <c r="I37" s="411"/>
      <c r="J37" s="411"/>
      <c r="K37" s="411"/>
      <c r="L37" s="411"/>
      <c r="M37" s="411"/>
      <c r="N37" s="412"/>
      <c r="R37" s="299"/>
      <c r="S37" s="300"/>
      <c r="T37" s="300"/>
      <c r="U37" s="300"/>
      <c r="V37" s="300"/>
      <c r="W37" s="300"/>
      <c r="X37" s="300"/>
      <c r="Y37" s="300"/>
      <c r="Z37" s="301"/>
    </row>
    <row r="38" spans="1:26" ht="16.5" customHeight="1">
      <c r="A38" t="b">
        <v>0</v>
      </c>
      <c r="B38" s="13"/>
      <c r="C38" s="13"/>
      <c r="D38" s="13"/>
      <c r="F38" s="410"/>
      <c r="G38" s="411"/>
      <c r="H38" s="411"/>
      <c r="I38" s="411"/>
      <c r="J38" s="411"/>
      <c r="K38" s="411"/>
      <c r="L38" s="411"/>
      <c r="M38" s="411"/>
      <c r="N38" s="412"/>
      <c r="R38" s="299"/>
      <c r="S38" s="300"/>
      <c r="T38" s="300"/>
      <c r="U38" s="300"/>
      <c r="V38" s="300"/>
      <c r="W38" s="300"/>
      <c r="X38" s="300"/>
      <c r="Y38" s="300"/>
      <c r="Z38" s="301"/>
    </row>
    <row r="39" spans="1:26" ht="16.5" customHeight="1">
      <c r="A39" t="b">
        <v>0</v>
      </c>
      <c r="B39" s="13"/>
      <c r="C39" s="13"/>
      <c r="D39" s="13"/>
      <c r="F39" s="410"/>
      <c r="G39" s="411"/>
      <c r="H39" s="411"/>
      <c r="I39" s="411"/>
      <c r="J39" s="411"/>
      <c r="K39" s="411"/>
      <c r="L39" s="411"/>
      <c r="M39" s="411"/>
      <c r="N39" s="412"/>
      <c r="R39" s="299"/>
      <c r="S39" s="300"/>
      <c r="T39" s="300"/>
      <c r="U39" s="300"/>
      <c r="V39" s="300"/>
      <c r="W39" s="300"/>
      <c r="X39" s="300"/>
      <c r="Y39" s="300"/>
      <c r="Z39" s="301"/>
    </row>
    <row r="40" spans="1:26" ht="16.5" customHeight="1">
      <c r="A40" t="b">
        <v>0</v>
      </c>
      <c r="B40" s="13"/>
      <c r="C40" s="13"/>
      <c r="D40" s="13"/>
      <c r="F40" s="410"/>
      <c r="G40" s="411"/>
      <c r="H40" s="411"/>
      <c r="I40" s="411"/>
      <c r="J40" s="411"/>
      <c r="K40" s="411"/>
      <c r="L40" s="411"/>
      <c r="M40" s="411"/>
      <c r="N40" s="412"/>
      <c r="R40" s="299"/>
      <c r="S40" s="300"/>
      <c r="T40" s="300"/>
      <c r="U40" s="300"/>
      <c r="V40" s="300"/>
      <c r="W40" s="300"/>
      <c r="X40" s="300"/>
      <c r="Y40" s="300"/>
      <c r="Z40" s="301"/>
    </row>
    <row r="41" spans="1:26" ht="16.5" customHeight="1">
      <c r="A41" t="b">
        <v>0</v>
      </c>
      <c r="B41" s="13"/>
      <c r="C41" s="13"/>
      <c r="D41" s="13"/>
      <c r="F41" s="413"/>
      <c r="G41" s="414"/>
      <c r="H41" s="414"/>
      <c r="I41" s="414"/>
      <c r="J41" s="414"/>
      <c r="K41" s="414"/>
      <c r="L41" s="414"/>
      <c r="M41" s="414"/>
      <c r="N41" s="415"/>
      <c r="R41" s="302"/>
      <c r="S41" s="303"/>
      <c r="T41" s="303"/>
      <c r="U41" s="303"/>
      <c r="V41" s="303"/>
      <c r="W41" s="303"/>
      <c r="X41" s="303"/>
      <c r="Y41" s="303"/>
      <c r="Z41" s="304"/>
    </row>
    <row r="42" spans="1:26" ht="16.5" customHeight="1">
      <c r="A42" t="b">
        <v>0</v>
      </c>
      <c r="B42" s="13"/>
      <c r="C42" s="13"/>
      <c r="D42" s="13"/>
    </row>
    <row r="43" spans="1:26" ht="16.5" customHeight="1">
      <c r="A43" t="b">
        <v>0</v>
      </c>
      <c r="B43" s="13"/>
      <c r="C43" s="13"/>
      <c r="D43" s="13"/>
    </row>
    <row r="44" spans="1:26" ht="16.5" customHeight="1">
      <c r="A44" t="b">
        <v>0</v>
      </c>
      <c r="B44" s="13"/>
      <c r="C44" s="13"/>
      <c r="D44" s="13"/>
      <c r="F44" s="292" t="s">
        <v>298</v>
      </c>
      <c r="G44" s="292"/>
      <c r="H44" s="292"/>
      <c r="I44" s="292"/>
      <c r="J44" s="292"/>
      <c r="K44" s="292"/>
      <c r="L44" s="292"/>
      <c r="M44" s="292"/>
      <c r="N44" s="292"/>
      <c r="O44" s="292"/>
      <c r="P44" s="25"/>
      <c r="Q44" s="25"/>
    </row>
    <row r="45" spans="1:26" ht="16.5" customHeight="1">
      <c r="A45" t="b">
        <v>0</v>
      </c>
      <c r="B45" s="13"/>
      <c r="C45" s="13"/>
      <c r="D45" s="13"/>
      <c r="F45" s="292"/>
      <c r="G45" s="292"/>
      <c r="H45" s="292"/>
      <c r="I45" s="292"/>
      <c r="J45" s="292"/>
      <c r="K45" s="292"/>
      <c r="L45" s="292"/>
      <c r="M45" s="292"/>
      <c r="N45" s="292"/>
      <c r="O45" s="292"/>
      <c r="P45" s="25"/>
      <c r="Q45" s="25"/>
    </row>
    <row r="46" spans="1:26" ht="16.5" customHeight="1">
      <c r="A46" t="b">
        <v>0</v>
      </c>
      <c r="B46" s="13"/>
      <c r="C46" s="13"/>
      <c r="D46" s="13"/>
      <c r="F46" s="32" t="s">
        <v>299</v>
      </c>
      <c r="J46" s="32" t="s">
        <v>493</v>
      </c>
      <c r="R46" s="32" t="s">
        <v>494</v>
      </c>
    </row>
    <row r="47" spans="1:26" ht="16.5" customHeight="1">
      <c r="A47" t="b">
        <v>1</v>
      </c>
      <c r="B47" s="13"/>
      <c r="C47" s="13"/>
      <c r="D47" s="13"/>
      <c r="F47" s="295" t="s">
        <v>300</v>
      </c>
      <c r="G47" s="295"/>
      <c r="H47" s="295"/>
      <c r="I47" s="295"/>
      <c r="J47" s="404" t="str">
        <f>'EXT-MAINS-DT'!J49</f>
        <v>Free Standing (Leasor Compound)</v>
      </c>
      <c r="K47" s="404"/>
      <c r="L47" s="404"/>
      <c r="M47" s="404"/>
      <c r="R47" s="306" t="s">
        <v>301</v>
      </c>
      <c r="S47" s="306"/>
      <c r="T47" s="306"/>
      <c r="U47" s="306"/>
      <c r="V47" s="16" t="s">
        <v>158</v>
      </c>
    </row>
    <row r="48" spans="1:26" ht="16.5" customHeight="1">
      <c r="A48" t="b">
        <v>1</v>
      </c>
      <c r="B48" s="13"/>
      <c r="C48" s="13"/>
      <c r="D48" s="13"/>
      <c r="F48" s="295" t="s">
        <v>302</v>
      </c>
      <c r="G48" s="295"/>
      <c r="H48" s="295"/>
      <c r="I48" s="295"/>
      <c r="J48" s="417" t="str">
        <f>'EXT-MAINS-DT'!J50</f>
        <v>Free Standing GMP</v>
      </c>
      <c r="K48" s="417"/>
      <c r="L48" s="417"/>
      <c r="R48" s="419" t="s">
        <v>303</v>
      </c>
      <c r="S48" s="421"/>
      <c r="T48" s="420"/>
      <c r="U48" s="16" t="s">
        <v>158</v>
      </c>
    </row>
    <row r="49" spans="1:22" ht="16.5" customHeight="1">
      <c r="A49" t="b">
        <v>1</v>
      </c>
      <c r="B49" s="13"/>
      <c r="C49" s="13"/>
      <c r="D49" s="13"/>
      <c r="F49" s="295" t="s">
        <v>274</v>
      </c>
      <c r="G49" s="295"/>
      <c r="H49" s="295"/>
      <c r="I49" s="295"/>
      <c r="J49" s="404" t="str">
        <f>'EXT-MAINS-DT'!J51</f>
        <v>3P 415V</v>
      </c>
      <c r="K49" s="404"/>
      <c r="L49" s="404"/>
      <c r="M49" s="16"/>
      <c r="R49" s="279" t="s">
        <v>275</v>
      </c>
      <c r="S49" s="281"/>
      <c r="T49" s="280"/>
      <c r="U49" s="16" t="s">
        <v>158</v>
      </c>
    </row>
    <row r="50" spans="1:22" ht="16.5" customHeight="1">
      <c r="A50" t="b">
        <v>1</v>
      </c>
      <c r="B50" s="13"/>
      <c r="C50" s="13"/>
      <c r="D50" s="13"/>
      <c r="J50" s="84"/>
      <c r="K50" s="84"/>
      <c r="L50" s="84"/>
    </row>
    <row r="51" spans="1:22" ht="16.5" customHeight="1">
      <c r="A51" t="b">
        <v>1</v>
      </c>
      <c r="B51" s="13"/>
      <c r="C51" s="13"/>
      <c r="D51" s="13"/>
      <c r="F51" s="32" t="s">
        <v>304</v>
      </c>
      <c r="J51" s="32" t="s">
        <v>493</v>
      </c>
      <c r="K51" s="84"/>
      <c r="L51" s="84"/>
      <c r="R51" s="32" t="s">
        <v>494</v>
      </c>
    </row>
    <row r="52" spans="1:22" ht="16.5" customHeight="1">
      <c r="A52" t="b">
        <v>1</v>
      </c>
      <c r="B52" s="13"/>
      <c r="C52" s="13"/>
      <c r="D52" s="13"/>
      <c r="F52" s="295" t="s">
        <v>305</v>
      </c>
      <c r="G52" s="295"/>
      <c r="H52" s="295"/>
      <c r="I52" s="295"/>
      <c r="J52" s="151" t="str">
        <f>'EXT-MAINS-DT'!J54</f>
        <v>MCB</v>
      </c>
      <c r="K52" s="16"/>
      <c r="L52" s="84"/>
      <c r="R52" s="199" t="s">
        <v>306</v>
      </c>
      <c r="S52" s="16" t="s">
        <v>158</v>
      </c>
    </row>
    <row r="53" spans="1:22" ht="16.5" customHeight="1">
      <c r="A53" t="b">
        <v>1</v>
      </c>
      <c r="B53" s="13"/>
      <c r="C53" s="13"/>
      <c r="D53" s="13"/>
      <c r="F53" s="295" t="s">
        <v>291</v>
      </c>
      <c r="G53" s="295"/>
      <c r="H53" s="295"/>
      <c r="I53" s="295"/>
      <c r="J53" s="151">
        <f>'EXT-MAINS-DT'!J55</f>
        <v>50</v>
      </c>
      <c r="K53" s="16"/>
      <c r="L53" s="84"/>
      <c r="R53" s="199">
        <v>50</v>
      </c>
      <c r="S53" s="16" t="s">
        <v>158</v>
      </c>
    </row>
    <row r="54" spans="1:22" ht="16.5" customHeight="1">
      <c r="A54" t="b">
        <v>1</v>
      </c>
      <c r="B54" s="13"/>
      <c r="C54" s="13"/>
      <c r="D54" s="13"/>
      <c r="F54" s="295" t="s">
        <v>292</v>
      </c>
      <c r="G54" s="295"/>
      <c r="H54" s="295"/>
      <c r="I54" s="295"/>
      <c r="J54" s="151" t="str">
        <f>'EXT-MAINS-DT'!J56</f>
        <v>C Curve</v>
      </c>
      <c r="K54" s="16"/>
      <c r="L54" s="84"/>
      <c r="R54" s="199" t="s">
        <v>293</v>
      </c>
      <c r="S54" s="16" t="s">
        <v>158</v>
      </c>
    </row>
    <row r="55" spans="1:22" ht="16.5" customHeight="1">
      <c r="A55" t="b">
        <v>0</v>
      </c>
      <c r="J55" s="84"/>
      <c r="K55" s="84"/>
      <c r="L55" s="84"/>
    </row>
    <row r="56" spans="1:22" ht="16.5" customHeight="1">
      <c r="A56" t="b">
        <v>0</v>
      </c>
    </row>
    <row r="57" spans="1:22" ht="16.5" customHeight="1">
      <c r="A57" t="b">
        <v>0</v>
      </c>
      <c r="F57" s="292" t="s">
        <v>307</v>
      </c>
      <c r="G57" s="292"/>
      <c r="H57" s="292"/>
      <c r="I57" s="292"/>
      <c r="J57" s="292"/>
      <c r="K57" s="292"/>
      <c r="L57" s="292"/>
    </row>
    <row r="58" spans="1:22" ht="16.5" customHeight="1">
      <c r="A58" t="b">
        <v>0</v>
      </c>
      <c r="F58" s="292"/>
      <c r="G58" s="292"/>
      <c r="H58" s="292"/>
      <c r="I58" s="292"/>
      <c r="J58" s="292"/>
      <c r="K58" s="292"/>
      <c r="L58" s="292"/>
    </row>
    <row r="59" spans="1:22" ht="16.5" customHeight="1">
      <c r="A59" t="b">
        <v>0</v>
      </c>
      <c r="F59" s="25"/>
      <c r="G59" s="149" t="s">
        <v>308</v>
      </c>
      <c r="H59" s="25"/>
      <c r="I59" s="25"/>
      <c r="J59" s="25"/>
      <c r="K59" s="25"/>
      <c r="L59" s="25"/>
    </row>
    <row r="60" spans="1:22" ht="16.5" customHeight="1">
      <c r="A60" t="b">
        <v>0</v>
      </c>
      <c r="F60" s="25"/>
      <c r="G60" s="32" t="s">
        <v>309</v>
      </c>
      <c r="K60" s="32" t="s">
        <v>493</v>
      </c>
      <c r="L60" s="25"/>
      <c r="R60" s="32" t="s">
        <v>494</v>
      </c>
    </row>
    <row r="61" spans="1:22" ht="16.5" customHeight="1">
      <c r="A61" t="b">
        <v>1</v>
      </c>
      <c r="G61" s="295" t="s">
        <v>310</v>
      </c>
      <c r="H61" s="295"/>
      <c r="I61" s="295"/>
      <c r="J61" s="295"/>
      <c r="K61" s="404" t="str">
        <f>'EXT-MAINS-DT'!K63</f>
        <v>Optus Enclosure Wall</v>
      </c>
      <c r="L61" s="404"/>
      <c r="M61" s="404"/>
      <c r="N61" s="404"/>
      <c r="R61" s="306" t="s">
        <v>311</v>
      </c>
      <c r="S61" s="306"/>
      <c r="T61" s="306"/>
      <c r="U61" s="306"/>
      <c r="V61" s="16" t="s">
        <v>158</v>
      </c>
    </row>
    <row r="62" spans="1:22" ht="16.5" customHeight="1">
      <c r="A62" t="b">
        <v>1</v>
      </c>
      <c r="K62" s="84"/>
      <c r="L62" s="84"/>
      <c r="M62" s="84"/>
      <c r="N62" s="85"/>
    </row>
    <row r="63" spans="1:22" ht="16.5" customHeight="1">
      <c r="A63" t="b">
        <v>1</v>
      </c>
      <c r="G63" s="32" t="s">
        <v>312</v>
      </c>
      <c r="K63" s="32" t="s">
        <v>493</v>
      </c>
      <c r="L63" s="84"/>
      <c r="M63" s="84"/>
      <c r="N63" s="85"/>
      <c r="R63" s="32" t="s">
        <v>494</v>
      </c>
    </row>
    <row r="64" spans="1:22" ht="16.5" customHeight="1">
      <c r="A64" t="b">
        <v>1</v>
      </c>
      <c r="G64" s="295" t="s">
        <v>305</v>
      </c>
      <c r="H64" s="295"/>
      <c r="I64" s="295"/>
      <c r="J64" s="295"/>
      <c r="K64" s="151" t="str">
        <f>'EXT-MAINS-DT'!K66</f>
        <v>MCB</v>
      </c>
      <c r="L64" s="16"/>
      <c r="M64" s="84"/>
      <c r="N64" s="85"/>
      <c r="R64" s="199" t="s">
        <v>306</v>
      </c>
      <c r="S64" s="16" t="s">
        <v>158</v>
      </c>
      <c r="T64" s="114"/>
      <c r="U64" s="114"/>
    </row>
    <row r="65" spans="1:23" ht="16.5" customHeight="1">
      <c r="A65" t="b">
        <v>1</v>
      </c>
      <c r="G65" s="295" t="s">
        <v>291</v>
      </c>
      <c r="H65" s="295"/>
      <c r="I65" s="295"/>
      <c r="J65" s="295"/>
      <c r="K65" s="151">
        <f>'EXT-MAINS-DT'!K67</f>
        <v>50</v>
      </c>
      <c r="L65" s="16"/>
      <c r="M65" s="84"/>
      <c r="N65" s="85"/>
      <c r="O65" s="114"/>
      <c r="P65" s="114"/>
      <c r="Q65" s="114"/>
      <c r="R65" s="199">
        <v>50</v>
      </c>
      <c r="S65" s="16" t="s">
        <v>158</v>
      </c>
      <c r="V65" s="114"/>
      <c r="W65" s="114"/>
    </row>
    <row r="66" spans="1:23" ht="16.5" customHeight="1">
      <c r="A66" t="b">
        <v>1</v>
      </c>
      <c r="G66" s="295" t="s">
        <v>292</v>
      </c>
      <c r="H66" s="295"/>
      <c r="I66" s="295"/>
      <c r="J66" s="295"/>
      <c r="K66" s="151" t="str">
        <f>'EXT-MAINS-DT'!K68</f>
        <v>C Curve</v>
      </c>
      <c r="L66" s="16"/>
      <c r="M66" s="84"/>
      <c r="N66" s="85"/>
      <c r="R66" s="199" t="s">
        <v>293</v>
      </c>
      <c r="S66" s="16" t="s">
        <v>158</v>
      </c>
    </row>
    <row r="67" spans="1:23" ht="16.5" customHeight="1">
      <c r="A67" t="b">
        <v>1</v>
      </c>
      <c r="K67" s="84"/>
      <c r="L67" s="84"/>
      <c r="M67" s="84"/>
      <c r="N67" s="85"/>
    </row>
    <row r="68" spans="1:23" ht="16.5" customHeight="1">
      <c r="A68" t="b">
        <v>1</v>
      </c>
      <c r="G68" s="32" t="s">
        <v>313</v>
      </c>
      <c r="K68" s="32" t="s">
        <v>493</v>
      </c>
      <c r="L68" s="84"/>
      <c r="M68" s="84"/>
      <c r="N68" s="85"/>
      <c r="R68" s="32" t="s">
        <v>494</v>
      </c>
    </row>
    <row r="69" spans="1:23" ht="16.5" customHeight="1">
      <c r="A69" t="b">
        <v>1</v>
      </c>
      <c r="G69" s="295" t="s">
        <v>283</v>
      </c>
      <c r="H69" s="295"/>
      <c r="I69" s="295"/>
      <c r="J69" s="295"/>
      <c r="K69" s="404" t="str">
        <f>'EXT-MAINS-DT'!K71</f>
        <v>16mm XLPE</v>
      </c>
      <c r="L69" s="404"/>
      <c r="M69" s="404"/>
      <c r="N69" s="85"/>
      <c r="O69" s="116"/>
      <c r="P69" s="116"/>
      <c r="Q69" s="116"/>
      <c r="R69" s="279" t="s">
        <v>314</v>
      </c>
      <c r="S69" s="281"/>
      <c r="T69" s="280"/>
    </row>
    <row r="70" spans="1:23" ht="16.5" customHeight="1">
      <c r="A70" t="b">
        <v>1</v>
      </c>
      <c r="G70" s="295" t="s">
        <v>285</v>
      </c>
      <c r="H70" s="295"/>
      <c r="I70" s="295"/>
      <c r="J70" s="295"/>
      <c r="K70" s="151">
        <f>'EXT-MAINS-DT'!K72</f>
        <v>10</v>
      </c>
      <c r="L70" s="84"/>
      <c r="M70" s="84"/>
      <c r="N70" s="85"/>
      <c r="O70" s="116"/>
      <c r="P70" s="116"/>
      <c r="Q70" s="116"/>
      <c r="R70" s="199">
        <v>10</v>
      </c>
      <c r="S70" s="39"/>
      <c r="T70" s="39"/>
    </row>
    <row r="71" spans="1:23" ht="16.5" customHeight="1">
      <c r="A71" t="b">
        <v>1</v>
      </c>
      <c r="G71" s="295" t="s">
        <v>286</v>
      </c>
      <c r="H71" s="295"/>
      <c r="I71" s="295"/>
      <c r="J71" s="295"/>
      <c r="K71" s="151">
        <f>'EXT-MAINS-DT'!K73</f>
        <v>86</v>
      </c>
      <c r="L71" s="84"/>
      <c r="M71" s="84"/>
      <c r="N71" s="85"/>
      <c r="R71" s="199">
        <v>86</v>
      </c>
      <c r="S71" s="39"/>
      <c r="T71" s="39"/>
    </row>
    <row r="72" spans="1:23" ht="16.5" customHeight="1">
      <c r="A72" t="b">
        <v>1</v>
      </c>
      <c r="K72" s="84"/>
      <c r="L72" s="84"/>
      <c r="M72" s="84"/>
      <c r="N72" s="85"/>
    </row>
    <row r="73" spans="1:23" ht="16.5" customHeight="1">
      <c r="A73" t="b">
        <v>1</v>
      </c>
      <c r="G73" s="32" t="s">
        <v>315</v>
      </c>
      <c r="K73" s="32" t="s">
        <v>493</v>
      </c>
      <c r="L73" s="84"/>
      <c r="M73" s="84"/>
      <c r="N73" s="85"/>
      <c r="R73" s="32" t="s">
        <v>494</v>
      </c>
    </row>
    <row r="74" spans="1:23" ht="16.5" customHeight="1">
      <c r="A74" t="b">
        <v>1</v>
      </c>
      <c r="G74" s="295" t="s">
        <v>316</v>
      </c>
      <c r="H74" s="295"/>
      <c r="I74" s="295"/>
      <c r="J74" s="295"/>
      <c r="K74" s="151">
        <f>'EXT-MAINS-DT'!K76</f>
        <v>0</v>
      </c>
      <c r="L74" s="84"/>
      <c r="M74" s="84"/>
      <c r="N74" s="85"/>
      <c r="R74" s="199">
        <v>0</v>
      </c>
      <c r="S74" s="16" t="s">
        <v>158</v>
      </c>
    </row>
    <row r="75" spans="1:23" ht="16.5" customHeight="1">
      <c r="A75" t="b">
        <v>1</v>
      </c>
      <c r="G75" s="295" t="s">
        <v>317</v>
      </c>
      <c r="H75" s="295"/>
      <c r="I75" s="295"/>
      <c r="J75" s="295"/>
      <c r="K75" s="151">
        <f>'EXT-MAINS-DT'!K77</f>
        <v>0</v>
      </c>
      <c r="L75" s="84"/>
      <c r="M75" s="84"/>
      <c r="N75" s="85"/>
      <c r="R75" s="199">
        <v>0</v>
      </c>
      <c r="S75" s="16" t="s">
        <v>158</v>
      </c>
    </row>
    <row r="76" spans="1:23" ht="16.5" customHeight="1">
      <c r="A76" t="b">
        <v>1</v>
      </c>
      <c r="G76" s="295" t="s">
        <v>318</v>
      </c>
      <c r="H76" s="295"/>
      <c r="I76" s="295"/>
      <c r="J76" s="295"/>
      <c r="K76" s="151">
        <f>'EXT-MAINS-DT'!K78</f>
        <v>0</v>
      </c>
      <c r="L76" s="84"/>
      <c r="M76" s="84"/>
      <c r="N76" s="85"/>
      <c r="R76" s="199">
        <v>0</v>
      </c>
      <c r="S76" s="16" t="s">
        <v>158</v>
      </c>
    </row>
    <row r="77" spans="1:23" ht="16.5" customHeight="1">
      <c r="A77" t="b">
        <v>1</v>
      </c>
      <c r="G77" s="295" t="s">
        <v>319</v>
      </c>
      <c r="H77" s="295"/>
      <c r="I77" s="295"/>
      <c r="J77" s="295"/>
      <c r="K77" s="151">
        <f>'EXT-MAINS-DT'!K79</f>
        <v>0</v>
      </c>
      <c r="L77" s="84"/>
      <c r="M77" s="84"/>
      <c r="N77" s="85"/>
      <c r="R77" s="199">
        <v>0</v>
      </c>
      <c r="S77" s="16" t="s">
        <v>158</v>
      </c>
    </row>
    <row r="78" spans="1:23" ht="16.5" customHeight="1">
      <c r="A78" t="b">
        <v>1</v>
      </c>
      <c r="G78" s="295" t="s">
        <v>320</v>
      </c>
      <c r="H78" s="295"/>
      <c r="I78" s="295"/>
      <c r="J78" s="295"/>
      <c r="K78" s="151">
        <f>'EXT-MAINS-DT'!K80</f>
        <v>0</v>
      </c>
      <c r="L78" s="84"/>
      <c r="M78" s="84"/>
      <c r="N78" s="85"/>
      <c r="R78" s="199">
        <v>0</v>
      </c>
      <c r="S78" s="16" t="s">
        <v>158</v>
      </c>
    </row>
    <row r="79" spans="1:23" ht="16.5" customHeight="1">
      <c r="A79" t="b">
        <v>1</v>
      </c>
      <c r="G79" s="295" t="s">
        <v>321</v>
      </c>
      <c r="H79" s="295"/>
      <c r="I79" s="295"/>
      <c r="J79" s="295"/>
      <c r="K79" s="151">
        <f>'EXT-MAINS-DT'!K81</f>
        <v>0</v>
      </c>
      <c r="L79" s="84"/>
      <c r="M79" s="84"/>
      <c r="N79" s="85"/>
      <c r="R79" s="199">
        <v>0</v>
      </c>
      <c r="S79" s="16" t="s">
        <v>158</v>
      </c>
    </row>
    <row r="80" spans="1:23" ht="16.5" customHeight="1">
      <c r="A80" t="b">
        <v>1</v>
      </c>
      <c r="K80" s="84"/>
      <c r="L80" s="84"/>
      <c r="M80" s="84"/>
      <c r="N80" s="85"/>
    </row>
    <row r="81" spans="1:21" ht="16.5" customHeight="1">
      <c r="A81" t="b">
        <v>1</v>
      </c>
      <c r="G81" s="32" t="s">
        <v>322</v>
      </c>
      <c r="K81" s="32" t="s">
        <v>493</v>
      </c>
      <c r="L81" s="84"/>
      <c r="M81" s="84"/>
      <c r="N81" s="85"/>
      <c r="R81" s="32" t="s">
        <v>494</v>
      </c>
    </row>
    <row r="82" spans="1:21" ht="16.5" customHeight="1">
      <c r="A82" t="b">
        <v>1</v>
      </c>
      <c r="G82" s="295" t="s">
        <v>323</v>
      </c>
      <c r="H82" s="295"/>
      <c r="I82" s="295"/>
      <c r="J82" s="295"/>
      <c r="K82" s="151">
        <f>'EXT-MAINS-DT'!K84</f>
        <v>50</v>
      </c>
      <c r="L82" s="84"/>
      <c r="M82" s="84"/>
      <c r="N82" s="85"/>
      <c r="R82" s="199">
        <v>50</v>
      </c>
      <c r="S82" s="16" t="s">
        <v>158</v>
      </c>
      <c r="T82" s="39"/>
    </row>
    <row r="83" spans="1:21" ht="16.5" customHeight="1">
      <c r="A83" t="b">
        <v>1</v>
      </c>
      <c r="G83" s="295" t="s">
        <v>274</v>
      </c>
      <c r="H83" s="295"/>
      <c r="I83" s="295"/>
      <c r="J83" s="295"/>
      <c r="K83" s="151" t="str">
        <f>'EXT-MAINS-DT'!K85</f>
        <v>3P 415V</v>
      </c>
      <c r="L83" s="16"/>
      <c r="M83" s="84"/>
      <c r="N83" s="16"/>
      <c r="R83" s="199" t="s">
        <v>275</v>
      </c>
      <c r="S83" s="16" t="s">
        <v>158</v>
      </c>
      <c r="T83" s="39"/>
      <c r="U83" s="16"/>
    </row>
    <row r="84" spans="1:21" ht="16.5" customHeight="1">
      <c r="A84" t="b">
        <v>1</v>
      </c>
      <c r="G84" s="295" t="s">
        <v>324</v>
      </c>
      <c r="H84" s="295"/>
      <c r="I84" s="295"/>
      <c r="J84" s="295"/>
      <c r="K84" s="405" t="str">
        <f>'EXT-MAINS-DT'!K86</f>
        <v>Clipsal or Compatible</v>
      </c>
      <c r="L84" s="418"/>
      <c r="M84" s="406"/>
      <c r="N84" s="16"/>
      <c r="R84" s="279" t="s">
        <v>325</v>
      </c>
      <c r="S84" s="281"/>
      <c r="T84" s="280"/>
      <c r="U84" s="16" t="s">
        <v>158</v>
      </c>
    </row>
    <row r="85" spans="1:21" ht="16.5" customHeight="1">
      <c r="A85" t="b">
        <v>1</v>
      </c>
      <c r="G85" s="295" t="s">
        <v>326</v>
      </c>
      <c r="H85" s="295"/>
      <c r="I85" s="295"/>
      <c r="J85" s="295"/>
      <c r="K85" s="404" t="str">
        <f>'EXT-MAINS-DT'!K87</f>
        <v>On enclosure wall</v>
      </c>
      <c r="L85" s="404"/>
      <c r="M85" s="404"/>
      <c r="N85" s="85"/>
      <c r="R85" s="306" t="s">
        <v>327</v>
      </c>
      <c r="S85" s="306"/>
      <c r="T85" s="306"/>
      <c r="U85" s="16" t="s">
        <v>158</v>
      </c>
    </row>
    <row r="86" spans="1:21" ht="16.5" customHeight="1">
      <c r="A86" t="b">
        <v>1</v>
      </c>
      <c r="G86" s="295" t="s">
        <v>328</v>
      </c>
      <c r="H86" s="295"/>
      <c r="I86" s="295"/>
      <c r="J86" s="282"/>
      <c r="K86" s="416" t="str">
        <f>'EXT-MAINS-DT'!K88</f>
        <v>NA</v>
      </c>
      <c r="L86" s="416"/>
      <c r="M86" s="416"/>
      <c r="N86" s="416"/>
      <c r="R86" s="307" t="s">
        <v>329</v>
      </c>
      <c r="S86" s="308"/>
      <c r="T86" s="308"/>
      <c r="U86" s="309"/>
    </row>
    <row r="87" spans="1:21" ht="16.5" customHeight="1">
      <c r="A87" t="b">
        <v>1</v>
      </c>
      <c r="K87" s="416"/>
      <c r="L87" s="416"/>
      <c r="M87" s="416"/>
      <c r="N87" s="416"/>
      <c r="R87" s="310"/>
      <c r="S87" s="311"/>
      <c r="T87" s="311"/>
      <c r="U87" s="312"/>
    </row>
    <row r="88" spans="1:21" ht="16.5" customHeight="1">
      <c r="A88" t="b">
        <v>1</v>
      </c>
      <c r="K88" s="416"/>
      <c r="L88" s="416"/>
      <c r="M88" s="416"/>
      <c r="N88" s="416"/>
      <c r="R88" s="310"/>
      <c r="S88" s="311"/>
      <c r="T88" s="311"/>
      <c r="U88" s="312"/>
    </row>
    <row r="89" spans="1:21" ht="16.5" customHeight="1">
      <c r="A89" t="b">
        <v>1</v>
      </c>
      <c r="K89" s="416"/>
      <c r="L89" s="416"/>
      <c r="M89" s="416"/>
      <c r="N89" s="416"/>
      <c r="R89" s="313"/>
      <c r="S89" s="314"/>
      <c r="T89" s="314"/>
      <c r="U89" s="315"/>
    </row>
    <row r="90" spans="1:21" ht="16.5" customHeight="1">
      <c r="A90" t="b">
        <v>1</v>
      </c>
      <c r="K90" s="85"/>
      <c r="L90" s="84"/>
      <c r="M90" s="84"/>
      <c r="N90" s="85"/>
      <c r="S90" s="39"/>
      <c r="T90" s="39"/>
    </row>
    <row r="91" spans="1:21" ht="16.5" customHeight="1">
      <c r="A91" t="b">
        <v>1</v>
      </c>
      <c r="G91" s="295" t="s">
        <v>330</v>
      </c>
      <c r="H91" s="295"/>
      <c r="I91" s="295"/>
      <c r="J91" s="295"/>
      <c r="K91" s="405" t="str">
        <f>'EXT-MAINS-DT'!K93</f>
        <v>Near inlet in compound</v>
      </c>
      <c r="L91" s="418"/>
      <c r="M91" s="406"/>
      <c r="R91" s="279" t="s">
        <v>331</v>
      </c>
      <c r="S91" s="281"/>
      <c r="T91" s="280"/>
      <c r="U91" s="193" t="s">
        <v>158</v>
      </c>
    </row>
    <row r="92" spans="1:21" ht="16.5" customHeight="1">
      <c r="A92" t="b">
        <v>1</v>
      </c>
      <c r="K92" s="416" t="str">
        <f>'EXT-MAINS-DT'!K94</f>
        <v>NA</v>
      </c>
      <c r="L92" s="416"/>
      <c r="M92" s="416"/>
      <c r="N92" s="416"/>
      <c r="R92" s="294" t="s">
        <v>329</v>
      </c>
      <c r="S92" s="294"/>
      <c r="T92" s="294"/>
      <c r="U92" s="294"/>
    </row>
    <row r="93" spans="1:21" ht="16.5" customHeight="1">
      <c r="A93" t="b">
        <v>1</v>
      </c>
      <c r="K93" s="416"/>
      <c r="L93" s="416"/>
      <c r="M93" s="416"/>
      <c r="N93" s="416"/>
      <c r="R93" s="294"/>
      <c r="S93" s="294"/>
      <c r="T93" s="294"/>
      <c r="U93" s="294"/>
    </row>
    <row r="94" spans="1:21" ht="16.5" customHeight="1">
      <c r="A94" t="b">
        <v>1</v>
      </c>
      <c r="K94" s="416"/>
      <c r="L94" s="416"/>
      <c r="M94" s="416"/>
      <c r="N94" s="416"/>
      <c r="R94" s="294"/>
      <c r="S94" s="294"/>
      <c r="T94" s="294"/>
      <c r="U94" s="294"/>
    </row>
    <row r="95" spans="1:21" ht="16.5" customHeight="1">
      <c r="A95" t="b">
        <v>1</v>
      </c>
      <c r="M95" s="39"/>
      <c r="T95" s="39"/>
    </row>
    <row r="96" spans="1:21" ht="16.5" customHeight="1">
      <c r="A96" t="b">
        <v>1</v>
      </c>
      <c r="G96" s="295" t="s">
        <v>332</v>
      </c>
      <c r="H96" s="295"/>
      <c r="I96" s="295"/>
      <c r="J96" s="295"/>
      <c r="K96" s="151">
        <f>'EXT-MAINS-DT'!K98</f>
        <v>5</v>
      </c>
      <c r="L96" s="84"/>
      <c r="M96" s="84"/>
      <c r="N96" s="85"/>
      <c r="R96" s="199">
        <v>5</v>
      </c>
      <c r="S96" s="39"/>
      <c r="T96" s="39"/>
    </row>
    <row r="97" spans="1:21" ht="16.5" customHeight="1">
      <c r="A97" t="b">
        <v>1</v>
      </c>
      <c r="K97" s="85"/>
      <c r="L97" s="84"/>
      <c r="M97" s="84"/>
      <c r="N97" s="85"/>
      <c r="S97" s="39"/>
      <c r="T97" s="39"/>
    </row>
    <row r="98" spans="1:21" ht="16.5" customHeight="1">
      <c r="A98" t="b">
        <v>1</v>
      </c>
      <c r="G98" s="295" t="s">
        <v>333</v>
      </c>
      <c r="H98" s="295"/>
      <c r="I98" s="295"/>
      <c r="J98" s="282"/>
      <c r="K98" s="416" t="str">
        <f>'EXT-MAINS-DT'!K100</f>
        <v>NR</v>
      </c>
      <c r="L98" s="416"/>
      <c r="M98" s="416"/>
      <c r="N98" s="416"/>
      <c r="R98" s="294" t="s">
        <v>334</v>
      </c>
      <c r="S98" s="294"/>
      <c r="T98" s="294"/>
      <c r="U98" s="294"/>
    </row>
    <row r="99" spans="1:21" ht="16.5" customHeight="1">
      <c r="A99" t="b">
        <v>0</v>
      </c>
      <c r="K99" s="416"/>
      <c r="L99" s="416"/>
      <c r="M99" s="416"/>
      <c r="N99" s="416"/>
      <c r="R99" s="294"/>
      <c r="S99" s="294"/>
      <c r="T99" s="294"/>
      <c r="U99" s="294"/>
    </row>
    <row r="100" spans="1:21" ht="16.5" customHeight="1">
      <c r="A100" t="b">
        <v>0</v>
      </c>
      <c r="K100" s="416"/>
      <c r="L100" s="416"/>
      <c r="M100" s="416"/>
      <c r="N100" s="416"/>
      <c r="R100" s="294"/>
      <c r="S100" s="294"/>
      <c r="T100" s="294"/>
      <c r="U100" s="294"/>
    </row>
    <row r="101" spans="1:21" ht="16.5" customHeight="1">
      <c r="A101" t="b">
        <v>0</v>
      </c>
      <c r="K101" s="416"/>
      <c r="L101" s="416"/>
      <c r="M101" s="416"/>
      <c r="N101" s="416"/>
      <c r="R101" s="294"/>
      <c r="S101" s="294"/>
      <c r="T101" s="294"/>
      <c r="U101" s="294"/>
    </row>
    <row r="102" spans="1:21" ht="16.5" customHeight="1">
      <c r="A102" t="b">
        <v>0</v>
      </c>
      <c r="K102" s="152"/>
      <c r="L102" s="84"/>
      <c r="M102" s="84"/>
      <c r="N102" s="85"/>
    </row>
    <row r="103" spans="1:21" ht="16.5" customHeight="1">
      <c r="A103" t="b">
        <v>0</v>
      </c>
      <c r="K103" s="85"/>
      <c r="L103" s="85"/>
      <c r="M103" s="85"/>
      <c r="N103" s="85"/>
    </row>
    <row r="104" spans="1:21" ht="16.5" customHeight="1">
      <c r="A104" t="b">
        <v>0</v>
      </c>
      <c r="G104" s="336" t="s">
        <v>335</v>
      </c>
      <c r="H104" s="336"/>
      <c r="I104" s="336"/>
      <c r="J104" s="336"/>
      <c r="K104" s="336"/>
      <c r="L104" s="85"/>
      <c r="M104" s="85"/>
      <c r="N104" s="85"/>
    </row>
    <row r="105" spans="1:21" ht="16.5" customHeight="1">
      <c r="A105" t="b">
        <v>0</v>
      </c>
      <c r="G105" s="336"/>
      <c r="H105" s="336"/>
      <c r="I105" s="336"/>
      <c r="J105" s="336"/>
      <c r="K105" s="336"/>
      <c r="L105" s="85"/>
      <c r="M105" s="85"/>
      <c r="N105" s="85"/>
    </row>
    <row r="106" spans="1:21" ht="16.5" customHeight="1">
      <c r="A106" t="b">
        <v>0</v>
      </c>
      <c r="G106" s="32" t="s">
        <v>499</v>
      </c>
      <c r="K106" s="32" t="s">
        <v>493</v>
      </c>
      <c r="L106" s="85"/>
      <c r="M106" s="85"/>
      <c r="N106" s="85"/>
      <c r="R106" s="32" t="s">
        <v>494</v>
      </c>
    </row>
    <row r="107" spans="1:21" ht="16.5" customHeight="1">
      <c r="A107" t="b">
        <v>1</v>
      </c>
      <c r="G107" s="295" t="s">
        <v>305</v>
      </c>
      <c r="H107" s="295"/>
      <c r="I107" s="295"/>
      <c r="J107" s="295"/>
      <c r="K107" s="151" t="str">
        <f>'EXT-MAINS-DT'!K108</f>
        <v>MCB</v>
      </c>
      <c r="L107" s="16"/>
      <c r="M107" s="85"/>
      <c r="N107" s="85"/>
      <c r="R107" s="199" t="s">
        <v>306</v>
      </c>
      <c r="S107" s="16" t="s">
        <v>158</v>
      </c>
    </row>
    <row r="108" spans="1:21" ht="16.5" customHeight="1">
      <c r="A108" t="b">
        <v>1</v>
      </c>
      <c r="F108" s="32"/>
      <c r="G108" s="295" t="s">
        <v>500</v>
      </c>
      <c r="H108" s="295"/>
      <c r="I108" s="295"/>
      <c r="J108" s="295"/>
      <c r="K108" s="151" t="str">
        <f>'EXT-MAINS-DT'!K108</f>
        <v>MCB</v>
      </c>
      <c r="L108" s="16"/>
      <c r="M108" s="85"/>
      <c r="N108" s="85"/>
      <c r="R108" s="199" t="s">
        <v>306</v>
      </c>
      <c r="S108" s="16" t="s">
        <v>158</v>
      </c>
    </row>
    <row r="109" spans="1:21" ht="16.5" customHeight="1">
      <c r="A109" t="b">
        <v>1</v>
      </c>
      <c r="G109" s="295" t="s">
        <v>501</v>
      </c>
      <c r="H109" s="295"/>
      <c r="I109" s="295"/>
      <c r="J109" s="295"/>
      <c r="K109" s="151" t="str">
        <f>'EXT-MAINS-DT'!K110</f>
        <v>C Curve</v>
      </c>
      <c r="L109" s="16"/>
      <c r="M109" s="85"/>
      <c r="N109" s="85"/>
      <c r="R109" s="199" t="s">
        <v>293</v>
      </c>
      <c r="S109" s="16" t="s">
        <v>158</v>
      </c>
    </row>
    <row r="110" spans="1:21" ht="16.5" customHeight="1">
      <c r="A110" t="b">
        <v>1</v>
      </c>
      <c r="K110" s="84"/>
      <c r="L110" s="85"/>
      <c r="M110" s="85"/>
      <c r="N110" s="85"/>
      <c r="R110" s="39"/>
    </row>
    <row r="111" spans="1:21" ht="16.5" customHeight="1">
      <c r="A111" t="b">
        <v>1</v>
      </c>
      <c r="G111" s="32" t="s">
        <v>502</v>
      </c>
      <c r="K111" s="32" t="s">
        <v>493</v>
      </c>
      <c r="L111" s="85"/>
      <c r="M111" s="85"/>
      <c r="N111" s="85"/>
      <c r="R111" s="32" t="s">
        <v>494</v>
      </c>
    </row>
    <row r="112" spans="1:21" ht="16.5" customHeight="1">
      <c r="A112" t="b">
        <v>1</v>
      </c>
      <c r="G112" s="295" t="s">
        <v>316</v>
      </c>
      <c r="H112" s="295"/>
      <c r="I112" s="295"/>
      <c r="J112" s="295"/>
      <c r="K112" s="151">
        <f>'EXT-MAINS-DT'!K113</f>
        <v>0</v>
      </c>
      <c r="L112" s="85"/>
      <c r="M112" s="85"/>
      <c r="N112" s="85"/>
      <c r="R112" s="199">
        <v>0</v>
      </c>
      <c r="S112" s="16" t="s">
        <v>158</v>
      </c>
    </row>
    <row r="113" spans="1:20" ht="16.5" customHeight="1">
      <c r="A113" t="b">
        <v>1</v>
      </c>
      <c r="G113" s="295" t="s">
        <v>317</v>
      </c>
      <c r="H113" s="295"/>
      <c r="I113" s="295"/>
      <c r="J113" s="295"/>
      <c r="K113" s="151">
        <f>'EXT-MAINS-DT'!K114</f>
        <v>0</v>
      </c>
      <c r="L113" s="85"/>
      <c r="M113" s="85"/>
      <c r="N113" s="85"/>
      <c r="R113" s="199">
        <v>0</v>
      </c>
      <c r="S113" s="16" t="s">
        <v>158</v>
      </c>
    </row>
    <row r="114" spans="1:20" ht="16.5" customHeight="1">
      <c r="A114" t="b">
        <v>1</v>
      </c>
      <c r="G114" s="295" t="s">
        <v>318</v>
      </c>
      <c r="H114" s="295"/>
      <c r="I114" s="295"/>
      <c r="J114" s="295"/>
      <c r="K114" s="151">
        <f>'EXT-MAINS-DT'!K115</f>
        <v>0</v>
      </c>
      <c r="L114" s="85"/>
      <c r="M114" s="85"/>
      <c r="N114" s="85"/>
      <c r="R114" s="199">
        <v>0</v>
      </c>
      <c r="S114" s="16" t="s">
        <v>158</v>
      </c>
    </row>
    <row r="115" spans="1:20" ht="16.5" customHeight="1">
      <c r="A115" t="b">
        <v>0</v>
      </c>
      <c r="G115" s="295" t="s">
        <v>319</v>
      </c>
      <c r="H115" s="295"/>
      <c r="I115" s="295"/>
      <c r="J115" s="295"/>
      <c r="K115" s="151">
        <f>'EXT-MAINS-DT'!K116</f>
        <v>32</v>
      </c>
      <c r="L115" s="85"/>
      <c r="M115" s="85"/>
      <c r="N115" s="85"/>
      <c r="R115" s="199">
        <v>40</v>
      </c>
      <c r="S115" s="16" t="s">
        <v>158</v>
      </c>
    </row>
    <row r="116" spans="1:20" ht="16.5" customHeight="1">
      <c r="A116" t="b">
        <v>0</v>
      </c>
      <c r="G116" s="295" t="s">
        <v>320</v>
      </c>
      <c r="H116" s="295"/>
      <c r="I116" s="295"/>
      <c r="J116" s="295"/>
      <c r="K116" s="151">
        <f>'EXT-MAINS-DT'!K117</f>
        <v>32</v>
      </c>
      <c r="L116" s="85"/>
      <c r="M116" s="85"/>
      <c r="N116" s="85"/>
      <c r="R116" s="199">
        <v>40</v>
      </c>
      <c r="S116" s="16" t="s">
        <v>158</v>
      </c>
    </row>
    <row r="117" spans="1:20" ht="16.5" customHeight="1">
      <c r="A117" t="b">
        <v>1</v>
      </c>
      <c r="G117" s="295" t="s">
        <v>321</v>
      </c>
      <c r="H117" s="295"/>
      <c r="I117" s="295"/>
      <c r="J117" s="295"/>
      <c r="K117" s="151">
        <f>'EXT-MAINS-DT'!K118</f>
        <v>0</v>
      </c>
      <c r="L117" s="85"/>
      <c r="M117" s="85"/>
      <c r="N117" s="85"/>
      <c r="R117" s="199">
        <v>0</v>
      </c>
      <c r="S117" s="16" t="s">
        <v>158</v>
      </c>
    </row>
    <row r="118" spans="1:20" ht="16.5" customHeight="1">
      <c r="A118" t="b">
        <v>1</v>
      </c>
      <c r="K118" s="84"/>
      <c r="L118" s="85"/>
      <c r="M118" s="85"/>
      <c r="N118" s="85"/>
      <c r="R118" s="39"/>
    </row>
    <row r="119" spans="1:20" ht="16.5" customHeight="1">
      <c r="A119" t="b">
        <v>1</v>
      </c>
      <c r="G119" s="295" t="s">
        <v>323</v>
      </c>
      <c r="H119" s="295"/>
      <c r="I119" s="295"/>
      <c r="J119" s="295"/>
      <c r="K119" s="151">
        <f>'EXT-MAINS-DT'!K120</f>
        <v>50</v>
      </c>
      <c r="L119" s="85"/>
      <c r="M119" s="85"/>
      <c r="N119" s="85"/>
      <c r="R119" s="199">
        <v>50</v>
      </c>
      <c r="S119" s="16" t="s">
        <v>158</v>
      </c>
    </row>
    <row r="120" spans="1:20" ht="16.5" customHeight="1">
      <c r="A120" t="b">
        <v>0</v>
      </c>
    </row>
    <row r="121" spans="1:20" ht="16.5" customHeight="1">
      <c r="A121" t="b">
        <v>0</v>
      </c>
    </row>
    <row r="122" spans="1:20" ht="16.5" customHeight="1">
      <c r="A122" t="b">
        <v>0</v>
      </c>
      <c r="F122" s="292" t="s">
        <v>338</v>
      </c>
      <c r="G122" s="292"/>
      <c r="H122" s="292"/>
      <c r="I122" s="292"/>
      <c r="J122" s="292"/>
      <c r="K122" s="292"/>
      <c r="L122" s="292"/>
    </row>
    <row r="123" spans="1:20" ht="16.5" customHeight="1">
      <c r="A123" t="b">
        <v>0</v>
      </c>
      <c r="F123" s="292"/>
      <c r="G123" s="292"/>
      <c r="H123" s="292"/>
      <c r="I123" s="292"/>
      <c r="J123" s="292"/>
      <c r="K123" s="292"/>
      <c r="L123" s="292"/>
    </row>
    <row r="124" spans="1:20" ht="16.5" customHeight="1">
      <c r="A124" t="b">
        <v>0</v>
      </c>
      <c r="F124" s="32" t="s">
        <v>339</v>
      </c>
      <c r="J124" s="32" t="s">
        <v>493</v>
      </c>
      <c r="R124" s="32" t="s">
        <v>494</v>
      </c>
    </row>
    <row r="125" spans="1:20" ht="16.5" customHeight="1">
      <c r="A125" t="b">
        <v>1</v>
      </c>
      <c r="F125" s="295" t="s">
        <v>340</v>
      </c>
      <c r="G125" s="295"/>
      <c r="H125" s="295"/>
      <c r="I125" s="295"/>
      <c r="J125" s="405">
        <f>'EXT-MAINS-DT'!J126</f>
        <v>0</v>
      </c>
      <c r="K125" s="406"/>
      <c r="L125" s="16"/>
      <c r="M125" s="85"/>
      <c r="R125" s="279">
        <v>0</v>
      </c>
      <c r="S125" s="280"/>
      <c r="T125" s="16" t="s">
        <v>158</v>
      </c>
    </row>
    <row r="126" spans="1:20" ht="16.5" customHeight="1">
      <c r="A126" t="b">
        <v>1</v>
      </c>
      <c r="F126" s="295" t="s">
        <v>341</v>
      </c>
      <c r="G126" s="295"/>
      <c r="H126" s="295"/>
      <c r="I126" s="295"/>
      <c r="J126" s="405">
        <f>'EXT-MAINS-DT'!J127</f>
        <v>0</v>
      </c>
      <c r="K126" s="406"/>
      <c r="L126" s="85"/>
      <c r="M126" s="85"/>
      <c r="R126" s="279">
        <v>0</v>
      </c>
      <c r="S126" s="280"/>
    </row>
    <row r="127" spans="1:20" ht="16.5" customHeight="1">
      <c r="A127" t="b">
        <v>1</v>
      </c>
      <c r="F127" s="295" t="s">
        <v>342</v>
      </c>
      <c r="G127" s="295"/>
      <c r="H127" s="295"/>
      <c r="I127" s="295"/>
      <c r="J127" s="405">
        <f>'EXT-MAINS-DT'!J128</f>
        <v>0</v>
      </c>
      <c r="K127" s="406"/>
      <c r="L127" s="85"/>
      <c r="M127" s="85"/>
      <c r="R127" s="279">
        <v>0</v>
      </c>
      <c r="S127" s="280"/>
    </row>
    <row r="128" spans="1:20" ht="16.5" customHeight="1">
      <c r="A128" t="b">
        <v>1</v>
      </c>
      <c r="F128" s="295" t="s">
        <v>343</v>
      </c>
      <c r="G128" s="295"/>
      <c r="H128" s="295"/>
      <c r="I128" s="295"/>
      <c r="J128" s="151">
        <f>'EXT-MAINS-DT'!J129</f>
        <v>0</v>
      </c>
      <c r="K128" s="16"/>
      <c r="L128" s="85"/>
      <c r="M128" s="85"/>
      <c r="R128" s="199">
        <v>0</v>
      </c>
      <c r="S128" s="16" t="s">
        <v>158</v>
      </c>
    </row>
    <row r="129" spans="1:31" ht="16.5" customHeight="1">
      <c r="A129" t="b">
        <v>1</v>
      </c>
      <c r="F129" s="295" t="s">
        <v>344</v>
      </c>
      <c r="G129" s="295"/>
      <c r="H129" s="295"/>
      <c r="I129" s="295"/>
      <c r="J129" s="151">
        <f>'EXT-MAINS-DT'!J130</f>
        <v>0</v>
      </c>
      <c r="K129" s="84"/>
      <c r="L129" s="85"/>
      <c r="M129" s="85"/>
      <c r="R129" s="199">
        <v>0</v>
      </c>
      <c r="S129" s="39"/>
    </row>
    <row r="130" spans="1:31" ht="16.5" customHeight="1">
      <c r="A130" t="b">
        <v>1</v>
      </c>
      <c r="F130" s="295" t="s">
        <v>345</v>
      </c>
      <c r="G130" s="295"/>
      <c r="H130" s="295"/>
      <c r="I130" s="295"/>
      <c r="J130" s="151">
        <f>'EXT-MAINS-DT'!J131</f>
        <v>0</v>
      </c>
      <c r="K130" s="84"/>
      <c r="L130" s="85"/>
      <c r="M130" s="85"/>
      <c r="R130" s="199">
        <v>0</v>
      </c>
      <c r="S130" s="39"/>
    </row>
    <row r="131" spans="1:31" ht="16.5" customHeight="1">
      <c r="A131" t="b">
        <v>1</v>
      </c>
      <c r="F131" s="295" t="s">
        <v>346</v>
      </c>
      <c r="G131" s="295"/>
      <c r="H131" s="295"/>
      <c r="I131" s="295"/>
      <c r="J131" s="416">
        <f>'EXT-MAINS-DT'!J132</f>
        <v>0</v>
      </c>
      <c r="K131" s="416"/>
      <c r="L131" s="416"/>
      <c r="M131" s="416"/>
      <c r="R131" s="307">
        <v>0</v>
      </c>
      <c r="S131" s="308"/>
      <c r="T131" s="308"/>
      <c r="U131" s="309"/>
    </row>
    <row r="132" spans="1:31" ht="16.5" customHeight="1">
      <c r="A132" t="b">
        <v>0</v>
      </c>
      <c r="J132" s="416"/>
      <c r="K132" s="416"/>
      <c r="L132" s="416"/>
      <c r="M132" s="416"/>
      <c r="R132" s="310"/>
      <c r="S132" s="311"/>
      <c r="T132" s="311"/>
      <c r="U132" s="312"/>
    </row>
    <row r="133" spans="1:31" ht="16.5" customHeight="1">
      <c r="A133" t="b">
        <v>0</v>
      </c>
      <c r="J133" s="416"/>
      <c r="K133" s="416"/>
      <c r="L133" s="416"/>
      <c r="M133" s="416"/>
      <c r="R133" s="310"/>
      <c r="S133" s="311"/>
      <c r="T133" s="311"/>
      <c r="U133" s="312"/>
    </row>
    <row r="134" spans="1:31" ht="16.5" customHeight="1">
      <c r="A134" t="b">
        <v>0</v>
      </c>
      <c r="J134" s="416"/>
      <c r="K134" s="416"/>
      <c r="L134" s="416"/>
      <c r="M134" s="416"/>
      <c r="R134" s="313"/>
      <c r="S134" s="314"/>
      <c r="T134" s="314"/>
      <c r="U134" s="315"/>
    </row>
    <row r="135" spans="1:31" ht="16.5" customHeight="1">
      <c r="A135" t="b">
        <v>0</v>
      </c>
    </row>
    <row r="136" spans="1:31" ht="16.5" customHeight="1">
      <c r="A136" t="b">
        <v>0</v>
      </c>
    </row>
    <row r="137" spans="1:31" ht="16.5" customHeight="1">
      <c r="F137" s="316" t="s">
        <v>348</v>
      </c>
      <c r="G137" s="316"/>
      <c r="H137" s="316"/>
      <c r="I137" s="316"/>
      <c r="J137" s="316"/>
      <c r="K137" s="316"/>
      <c r="L137" s="316"/>
      <c r="M137" s="316"/>
      <c r="N137" s="316"/>
      <c r="O137" s="316"/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  <c r="AA137" s="316"/>
      <c r="AB137" s="316"/>
      <c r="AC137" s="316"/>
      <c r="AD137" s="316"/>
      <c r="AE137" s="316"/>
    </row>
    <row r="138" spans="1:31" ht="16.5" customHeight="1"/>
    <row r="139" spans="1:31" ht="16.5" customHeight="1">
      <c r="F139" s="292" t="s">
        <v>503</v>
      </c>
      <c r="G139" s="292"/>
      <c r="H139" s="292"/>
      <c r="I139" s="292"/>
      <c r="J139" s="292"/>
      <c r="K139" s="292"/>
      <c r="L139" s="292"/>
    </row>
    <row r="140" spans="1:31" ht="16.5" customHeight="1">
      <c r="F140" s="292"/>
      <c r="G140" s="292"/>
      <c r="H140" s="292"/>
      <c r="I140" s="292"/>
      <c r="J140" s="292"/>
      <c r="K140" s="292"/>
      <c r="L140" s="292"/>
    </row>
    <row r="141" spans="1:31" ht="16.5" customHeight="1">
      <c r="F141" s="32" t="s">
        <v>391</v>
      </c>
      <c r="O141" s="32" t="s">
        <v>391</v>
      </c>
    </row>
    <row r="142" spans="1:31" ht="16.5" customHeight="1">
      <c r="F142" s="51"/>
      <c r="G142" s="295" t="s">
        <v>392</v>
      </c>
      <c r="H142" s="295"/>
      <c r="I142" s="295"/>
      <c r="J142" s="351" t="s">
        <v>393</v>
      </c>
      <c r="K142" s="352"/>
      <c r="L142" s="353"/>
      <c r="O142" s="51"/>
      <c r="P142" s="295" t="s">
        <v>392</v>
      </c>
      <c r="Q142" s="295"/>
      <c r="R142" s="295"/>
      <c r="S142" s="351" t="s">
        <v>393</v>
      </c>
      <c r="T142" s="352"/>
      <c r="U142" s="353"/>
    </row>
    <row r="143" spans="1:31" ht="16.5" customHeight="1">
      <c r="F143" s="51"/>
      <c r="G143" s="295" t="s">
        <v>394</v>
      </c>
      <c r="H143" s="295"/>
      <c r="I143" s="295"/>
      <c r="J143" s="351" t="s">
        <v>386</v>
      </c>
      <c r="K143" s="352"/>
      <c r="L143" s="353"/>
      <c r="O143" s="51"/>
      <c r="P143" s="295" t="s">
        <v>394</v>
      </c>
      <c r="Q143" s="295"/>
      <c r="R143" s="295"/>
      <c r="S143" s="351" t="s">
        <v>386</v>
      </c>
      <c r="T143" s="352"/>
      <c r="U143" s="353"/>
    </row>
    <row r="144" spans="1:31" ht="16.5" customHeight="1">
      <c r="F144" s="51" t="s">
        <v>504</v>
      </c>
      <c r="G144" s="295" t="s">
        <v>395</v>
      </c>
      <c r="H144" s="295"/>
      <c r="I144" s="295"/>
      <c r="J144" s="351" t="s">
        <v>396</v>
      </c>
      <c r="K144" s="352"/>
      <c r="L144" s="353"/>
      <c r="O144" s="51" t="s">
        <v>504</v>
      </c>
      <c r="P144" s="295" t="s">
        <v>395</v>
      </c>
      <c r="Q144" s="295"/>
      <c r="R144" s="295"/>
      <c r="S144" s="351" t="s">
        <v>396</v>
      </c>
      <c r="T144" s="352"/>
      <c r="U144" s="353"/>
    </row>
    <row r="145" spans="6:22" ht="16.5" customHeight="1">
      <c r="F145" s="51" t="s">
        <v>504</v>
      </c>
      <c r="G145" s="295" t="s">
        <v>397</v>
      </c>
      <c r="H145" s="295"/>
      <c r="I145" s="295"/>
      <c r="J145" s="203">
        <v>40</v>
      </c>
      <c r="L145" s="115"/>
      <c r="M145" s="6"/>
      <c r="O145" s="51" t="s">
        <v>504</v>
      </c>
      <c r="P145" s="295" t="s">
        <v>397</v>
      </c>
      <c r="Q145" s="295"/>
      <c r="R145" s="295"/>
      <c r="S145" s="203">
        <v>40</v>
      </c>
      <c r="U145" s="115"/>
      <c r="V145" s="6"/>
    </row>
    <row r="146" spans="6:22" ht="16.5" customHeight="1">
      <c r="F146" s="51" t="s">
        <v>504</v>
      </c>
      <c r="G146" s="295" t="s">
        <v>398</v>
      </c>
      <c r="H146" s="295"/>
      <c r="I146" s="295"/>
      <c r="J146" s="203">
        <v>10</v>
      </c>
      <c r="K146" s="123" t="s">
        <v>158</v>
      </c>
      <c r="L146" s="124"/>
      <c r="M146" s="6"/>
      <c r="O146" s="51" t="s">
        <v>504</v>
      </c>
      <c r="P146" s="295" t="s">
        <v>398</v>
      </c>
      <c r="Q146" s="295"/>
      <c r="R146" s="295"/>
      <c r="S146" s="203">
        <v>10</v>
      </c>
      <c r="T146" s="123" t="s">
        <v>158</v>
      </c>
      <c r="U146" s="124"/>
      <c r="V146" s="6"/>
    </row>
    <row r="147" spans="6:22" ht="16.5" customHeight="1">
      <c r="F147" s="6"/>
      <c r="G147" s="6"/>
      <c r="H147" s="6"/>
      <c r="I147" s="6"/>
      <c r="J147" s="6"/>
      <c r="K147" s="6"/>
      <c r="L147" s="6"/>
      <c r="M147" s="6"/>
    </row>
    <row r="148" spans="6:22" ht="16.5" customHeight="1">
      <c r="F148" s="32" t="s">
        <v>399</v>
      </c>
      <c r="G148" s="6"/>
      <c r="H148" s="6"/>
      <c r="I148" s="6"/>
      <c r="J148" s="6"/>
      <c r="K148" s="6"/>
      <c r="L148" s="6"/>
      <c r="M148" s="6"/>
      <c r="O148" s="32" t="s">
        <v>399</v>
      </c>
      <c r="P148" s="6"/>
      <c r="Q148" s="6"/>
      <c r="R148" s="6"/>
      <c r="S148" s="6"/>
      <c r="T148" s="6"/>
      <c r="U148" s="6"/>
      <c r="V148" s="6"/>
    </row>
    <row r="149" spans="6:22" ht="16.5" customHeight="1">
      <c r="F149" s="340" t="s">
        <v>505</v>
      </c>
      <c r="G149" s="341"/>
      <c r="H149" s="344">
        <v>6</v>
      </c>
      <c r="I149" s="30" t="s">
        <v>387</v>
      </c>
      <c r="J149" s="30" t="s">
        <v>400</v>
      </c>
      <c r="K149" s="30" t="s">
        <v>400</v>
      </c>
      <c r="L149" s="30" t="s">
        <v>400</v>
      </c>
      <c r="M149" s="30" t="s">
        <v>400</v>
      </c>
      <c r="O149" s="340" t="s">
        <v>505</v>
      </c>
      <c r="P149" s="341"/>
      <c r="Q149" s="344">
        <v>6</v>
      </c>
      <c r="R149" s="30" t="s">
        <v>387</v>
      </c>
      <c r="S149" s="30" t="s">
        <v>400</v>
      </c>
      <c r="T149" s="30" t="s">
        <v>400</v>
      </c>
      <c r="U149" s="30" t="s">
        <v>400</v>
      </c>
      <c r="V149" s="30" t="s">
        <v>400</v>
      </c>
    </row>
    <row r="150" spans="6:22" ht="16.5" customHeight="1">
      <c r="F150" s="342"/>
      <c r="G150" s="343"/>
      <c r="H150" s="344"/>
      <c r="I150" s="30" t="s">
        <v>400</v>
      </c>
      <c r="J150" s="30" t="s">
        <v>400</v>
      </c>
      <c r="K150" s="30" t="s">
        <v>401</v>
      </c>
      <c r="L150" s="30" t="s">
        <v>401</v>
      </c>
      <c r="M150" s="30" t="s">
        <v>401</v>
      </c>
      <c r="O150" s="342"/>
      <c r="P150" s="343"/>
      <c r="Q150" s="344"/>
      <c r="R150" s="30" t="s">
        <v>400</v>
      </c>
      <c r="S150" s="30" t="s">
        <v>400</v>
      </c>
      <c r="T150" s="30" t="s">
        <v>401</v>
      </c>
      <c r="U150" s="30" t="s">
        <v>401</v>
      </c>
      <c r="V150" s="30" t="s">
        <v>401</v>
      </c>
    </row>
    <row r="151" spans="6:22" ht="16.5" customHeight="1">
      <c r="F151" s="345" t="s">
        <v>506</v>
      </c>
      <c r="G151" s="346"/>
      <c r="H151" s="347"/>
      <c r="I151" s="30" t="s">
        <v>329</v>
      </c>
      <c r="J151" s="30" t="s">
        <v>329</v>
      </c>
      <c r="K151" s="30" t="s">
        <v>329</v>
      </c>
      <c r="L151" s="30" t="s">
        <v>329</v>
      </c>
      <c r="M151" s="30" t="s">
        <v>329</v>
      </c>
      <c r="O151" s="345" t="s">
        <v>506</v>
      </c>
      <c r="P151" s="346"/>
      <c r="Q151" s="347"/>
      <c r="R151" s="30" t="s">
        <v>329</v>
      </c>
      <c r="S151" s="30" t="s">
        <v>329</v>
      </c>
      <c r="T151" s="30" t="s">
        <v>329</v>
      </c>
      <c r="U151" s="30" t="s">
        <v>329</v>
      </c>
      <c r="V151" s="30" t="s">
        <v>329</v>
      </c>
    </row>
    <row r="152" spans="6:22" ht="16.5" customHeight="1">
      <c r="F152" s="348"/>
      <c r="G152" s="349"/>
      <c r="H152" s="350"/>
      <c r="I152" s="30" t="s">
        <v>329</v>
      </c>
      <c r="J152" s="30" t="s">
        <v>329</v>
      </c>
      <c r="K152" s="30" t="s">
        <v>329</v>
      </c>
      <c r="L152" s="30" t="s">
        <v>329</v>
      </c>
      <c r="M152" s="30" t="s">
        <v>329</v>
      </c>
      <c r="O152" s="348"/>
      <c r="P152" s="349"/>
      <c r="Q152" s="350"/>
      <c r="R152" s="30" t="s">
        <v>329</v>
      </c>
      <c r="S152" s="30" t="s">
        <v>329</v>
      </c>
      <c r="T152" s="30" t="s">
        <v>329</v>
      </c>
      <c r="U152" s="30" t="s">
        <v>329</v>
      </c>
      <c r="V152" s="30" t="s">
        <v>329</v>
      </c>
    </row>
    <row r="153" spans="6:22" ht="16.5" customHeight="1">
      <c r="F153" s="34"/>
      <c r="G153" s="377"/>
      <c r="H153" s="377"/>
      <c r="I153" s="377"/>
      <c r="J153" s="377"/>
      <c r="K153" s="377"/>
      <c r="L153" s="377"/>
      <c r="M153" s="377"/>
    </row>
    <row r="154" spans="6:22" ht="16.5" customHeight="1">
      <c r="F154" s="32" t="s">
        <v>402</v>
      </c>
      <c r="G154" s="6"/>
      <c r="H154" s="6"/>
      <c r="I154" s="6"/>
      <c r="J154" s="6"/>
      <c r="O154" s="32" t="s">
        <v>402</v>
      </c>
      <c r="P154" s="6"/>
      <c r="Q154" s="6"/>
      <c r="R154" s="6"/>
      <c r="S154" s="6"/>
    </row>
    <row r="155" spans="6:22" ht="16.5" customHeight="1">
      <c r="F155" s="51"/>
      <c r="G155" s="295" t="s">
        <v>403</v>
      </c>
      <c r="H155" s="295"/>
      <c r="I155" s="295"/>
      <c r="J155" s="330" t="s">
        <v>404</v>
      </c>
      <c r="K155" s="331"/>
      <c r="M155" s="6"/>
      <c r="O155" s="51"/>
      <c r="P155" s="295" t="s">
        <v>403</v>
      </c>
      <c r="Q155" s="295"/>
      <c r="R155" s="295"/>
      <c r="S155" s="330" t="s">
        <v>404</v>
      </c>
      <c r="T155" s="331"/>
      <c r="V155" s="6"/>
    </row>
    <row r="156" spans="6:22" ht="16.5" customHeight="1">
      <c r="F156" s="51"/>
      <c r="G156" s="295" t="s">
        <v>406</v>
      </c>
      <c r="H156" s="295"/>
      <c r="I156" s="295"/>
      <c r="J156" s="204">
        <v>5</v>
      </c>
      <c r="O156" s="51"/>
      <c r="P156" s="295" t="s">
        <v>406</v>
      </c>
      <c r="Q156" s="295"/>
      <c r="R156" s="295"/>
      <c r="S156" s="204">
        <v>5</v>
      </c>
    </row>
    <row r="157" spans="6:22" ht="16.5" customHeight="1">
      <c r="F157" s="51"/>
      <c r="G157" s="295" t="s">
        <v>407</v>
      </c>
      <c r="H157" s="295"/>
      <c r="I157" s="295"/>
      <c r="J157" s="204" t="s">
        <v>172</v>
      </c>
      <c r="O157" s="51"/>
      <c r="P157" s="295" t="s">
        <v>407</v>
      </c>
      <c r="Q157" s="295"/>
      <c r="R157" s="295"/>
      <c r="S157" s="204" t="s">
        <v>172</v>
      </c>
    </row>
    <row r="158" spans="6:22" ht="16.5" customHeight="1"/>
    <row r="159" spans="6:22" ht="16.5" customHeight="1">
      <c r="F159" s="32" t="s">
        <v>409</v>
      </c>
      <c r="H159" s="6"/>
      <c r="I159" s="6"/>
      <c r="J159" s="6"/>
      <c r="K159" s="6"/>
      <c r="L159" s="6"/>
      <c r="O159" s="32" t="s">
        <v>409</v>
      </c>
      <c r="Q159" s="6"/>
      <c r="R159" s="6"/>
      <c r="S159" s="6"/>
      <c r="T159" s="6"/>
      <c r="U159" s="6"/>
    </row>
    <row r="160" spans="6:22" ht="16.5" customHeight="1">
      <c r="F160" s="51"/>
      <c r="G160" s="295" t="s">
        <v>410</v>
      </c>
      <c r="H160" s="295"/>
      <c r="I160" s="295"/>
      <c r="J160" s="279" t="s">
        <v>411</v>
      </c>
      <c r="K160" s="280"/>
      <c r="L160" s="6"/>
      <c r="O160" s="51"/>
      <c r="P160" s="295" t="s">
        <v>410</v>
      </c>
      <c r="Q160" s="295"/>
      <c r="R160" s="295"/>
      <c r="S160" s="279" t="s">
        <v>412</v>
      </c>
      <c r="T160" s="280"/>
      <c r="U160" s="6"/>
    </row>
    <row r="161" spans="6:21" ht="16.5" customHeight="1"/>
    <row r="162" spans="6:21" ht="16.5" customHeight="1">
      <c r="F162" s="51"/>
      <c r="G162" s="295" t="s">
        <v>413</v>
      </c>
      <c r="H162" s="295"/>
      <c r="I162" s="295"/>
      <c r="J162" s="325">
        <v>17280</v>
      </c>
      <c r="K162" s="325"/>
      <c r="L162" s="33" t="s">
        <v>414</v>
      </c>
      <c r="M162" s="185"/>
      <c r="O162" s="51"/>
      <c r="P162" s="295" t="s">
        <v>413</v>
      </c>
      <c r="Q162" s="295"/>
      <c r="R162" s="295"/>
      <c r="S162" s="325">
        <v>17280</v>
      </c>
      <c r="T162" s="325"/>
      <c r="U162" s="33" t="s">
        <v>414</v>
      </c>
    </row>
    <row r="163" spans="6:21" ht="16.5" customHeight="1">
      <c r="F163" s="51"/>
      <c r="G163" s="295" t="s">
        <v>415</v>
      </c>
      <c r="H163" s="295"/>
      <c r="I163" s="295"/>
      <c r="J163" s="325" t="s">
        <v>507</v>
      </c>
      <c r="K163" s="325"/>
      <c r="L163" s="65" t="s">
        <v>416</v>
      </c>
      <c r="O163" s="51"/>
      <c r="P163" s="295" t="s">
        <v>415</v>
      </c>
      <c r="Q163" s="295"/>
      <c r="R163" s="295"/>
      <c r="S163" s="325" t="s">
        <v>507</v>
      </c>
      <c r="T163" s="325"/>
      <c r="U163" s="65" t="s">
        <v>416</v>
      </c>
    </row>
    <row r="164" spans="6:21" ht="16.5" customHeight="1">
      <c r="F164" s="51"/>
      <c r="G164" s="295" t="s">
        <v>417</v>
      </c>
      <c r="H164" s="295"/>
      <c r="I164" s="295"/>
      <c r="J164" s="326">
        <v>2675</v>
      </c>
      <c r="K164" s="326"/>
      <c r="L164" s="65" t="s">
        <v>414</v>
      </c>
      <c r="O164" s="51"/>
      <c r="P164" s="295" t="s">
        <v>417</v>
      </c>
      <c r="Q164" s="295"/>
      <c r="R164" s="295"/>
      <c r="S164" s="326">
        <v>2675</v>
      </c>
      <c r="T164" s="326"/>
      <c r="U164" s="65" t="s">
        <v>414</v>
      </c>
    </row>
    <row r="165" spans="6:21" ht="16.5" customHeight="1">
      <c r="F165" s="51" t="s">
        <v>504</v>
      </c>
      <c r="G165" s="295" t="s">
        <v>418</v>
      </c>
      <c r="H165" s="295"/>
      <c r="I165" s="295"/>
      <c r="J165" s="326">
        <v>11038.6</v>
      </c>
      <c r="K165" s="326"/>
      <c r="L165" s="65" t="s">
        <v>414</v>
      </c>
      <c r="O165" s="51" t="s">
        <v>504</v>
      </c>
      <c r="P165" s="295" t="s">
        <v>418</v>
      </c>
      <c r="Q165" s="295"/>
      <c r="R165" s="295"/>
      <c r="S165" s="326">
        <v>8674.6</v>
      </c>
      <c r="T165" s="326"/>
      <c r="U165" s="65" t="s">
        <v>414</v>
      </c>
    </row>
    <row r="166" spans="6:21" ht="16.5" customHeight="1">
      <c r="F166" s="80">
        <v>0.3611921296296296</v>
      </c>
      <c r="G166" s="295" t="s">
        <v>419</v>
      </c>
      <c r="H166" s="295"/>
      <c r="I166" s="295"/>
      <c r="J166" s="326">
        <v>6241.4</v>
      </c>
      <c r="K166" s="326"/>
      <c r="L166" s="65" t="s">
        <v>414</v>
      </c>
      <c r="O166" s="80">
        <v>0.49799768518518517</v>
      </c>
      <c r="P166" s="295" t="s">
        <v>419</v>
      </c>
      <c r="Q166" s="295"/>
      <c r="R166" s="295"/>
      <c r="S166" s="326">
        <v>8605.4</v>
      </c>
      <c r="T166" s="326"/>
      <c r="U166" s="65" t="s">
        <v>414</v>
      </c>
    </row>
    <row r="167" spans="6:21" ht="16.5" customHeight="1">
      <c r="F167" s="80">
        <v>0.64275173611111114</v>
      </c>
      <c r="G167" s="295" t="s">
        <v>420</v>
      </c>
      <c r="H167" s="295"/>
      <c r="I167" s="295"/>
      <c r="J167" s="326">
        <v>11106.75</v>
      </c>
      <c r="K167" s="326"/>
      <c r="L167" s="65" t="s">
        <v>414</v>
      </c>
      <c r="O167" s="80">
        <v>0.59893518518518518</v>
      </c>
      <c r="P167" s="295" t="s">
        <v>420</v>
      </c>
      <c r="Q167" s="295"/>
      <c r="R167" s="295"/>
      <c r="S167" s="326">
        <v>10349.6</v>
      </c>
      <c r="T167" s="326"/>
      <c r="U167" s="65" t="s">
        <v>414</v>
      </c>
    </row>
    <row r="168" spans="6:21" ht="16.5" customHeight="1">
      <c r="G168" s="66"/>
      <c r="H168" s="66"/>
      <c r="I168" s="66"/>
      <c r="J168" s="121"/>
      <c r="K168" s="121"/>
      <c r="L168" s="67"/>
      <c r="P168" s="66"/>
      <c r="Q168" s="66"/>
      <c r="R168" s="66"/>
      <c r="S168" s="121"/>
      <c r="T168" s="121"/>
      <c r="U168" s="67"/>
    </row>
    <row r="169" spans="6:21" ht="16.5" customHeight="1">
      <c r="F169" s="32" t="s">
        <v>421</v>
      </c>
      <c r="H169" s="6"/>
      <c r="I169" s="6"/>
      <c r="J169" s="81"/>
      <c r="K169" s="81"/>
      <c r="L169" s="6"/>
      <c r="O169" s="32" t="s">
        <v>421</v>
      </c>
      <c r="Q169" s="6"/>
      <c r="R169" s="6"/>
      <c r="S169" s="81"/>
      <c r="T169" s="81"/>
      <c r="U169" s="6"/>
    </row>
    <row r="170" spans="6:21" ht="16.5" customHeight="1">
      <c r="F170" s="26"/>
      <c r="G170" s="295" t="s">
        <v>422</v>
      </c>
      <c r="H170" s="295"/>
      <c r="I170" s="295"/>
      <c r="J170" s="327">
        <v>3.4703752363251836</v>
      </c>
      <c r="K170" s="325"/>
      <c r="L170" s="33" t="s">
        <v>423</v>
      </c>
      <c r="O170" s="26"/>
      <c r="P170" s="295" t="s">
        <v>422</v>
      </c>
      <c r="Q170" s="295"/>
      <c r="R170" s="295"/>
      <c r="S170" s="327">
        <v>2.5170241941106748</v>
      </c>
      <c r="T170" s="325"/>
      <c r="U170" s="33" t="s">
        <v>423</v>
      </c>
    </row>
    <row r="171" spans="6:21" ht="16.5" customHeight="1">
      <c r="F171" s="26"/>
      <c r="G171" s="295" t="s">
        <v>424</v>
      </c>
      <c r="H171" s="295"/>
      <c r="I171" s="295"/>
      <c r="J171" s="327">
        <v>5.8974987990486127</v>
      </c>
      <c r="K171" s="325"/>
      <c r="L171" s="33" t="s">
        <v>423</v>
      </c>
      <c r="O171" s="26"/>
      <c r="P171" s="295" t="s">
        <v>424</v>
      </c>
      <c r="Q171" s="295"/>
      <c r="R171" s="295"/>
      <c r="S171" s="327">
        <v>7.4843807905610698</v>
      </c>
      <c r="T171" s="325"/>
      <c r="U171" s="33" t="s">
        <v>423</v>
      </c>
    </row>
    <row r="172" spans="6:21" ht="16.5" customHeight="1"/>
    <row r="173" spans="6:21" ht="16.5" customHeight="1"/>
    <row r="174" spans="6:21" ht="16.5" customHeight="1">
      <c r="F174" s="292" t="s">
        <v>508</v>
      </c>
      <c r="G174" s="292"/>
      <c r="H174" s="292"/>
      <c r="I174" s="292"/>
      <c r="J174" s="292"/>
      <c r="K174" s="292"/>
      <c r="L174" s="292"/>
    </row>
    <row r="175" spans="6:21" ht="16.5" customHeight="1">
      <c r="F175" s="292"/>
      <c r="G175" s="292"/>
      <c r="H175" s="292"/>
      <c r="I175" s="292"/>
      <c r="J175" s="292"/>
      <c r="K175" s="292"/>
      <c r="L175" s="292"/>
    </row>
    <row r="176" spans="6:21" ht="16.5" customHeight="1">
      <c r="F176" s="32" t="s">
        <v>509</v>
      </c>
      <c r="G176" s="6"/>
      <c r="H176" s="6"/>
      <c r="I176" s="6"/>
      <c r="J176" s="6"/>
      <c r="K176" s="25"/>
      <c r="L176" s="25"/>
    </row>
    <row r="177" spans="6:31" ht="16.5" customHeight="1">
      <c r="F177" s="71" t="str">
        <f>IF(J177="Yes","E","D")</f>
        <v>D</v>
      </c>
      <c r="G177" s="397" t="s">
        <v>510</v>
      </c>
      <c r="H177" s="397"/>
      <c r="I177" s="397"/>
      <c r="J177" s="144" t="str">
        <f>'PLBC-CALC'!J10</f>
        <v>No</v>
      </c>
      <c r="K177" s="25"/>
      <c r="L177" s="25"/>
    </row>
    <row r="178" spans="6:31" ht="16.5" customHeight="1">
      <c r="F178" s="107"/>
      <c r="K178" s="25"/>
      <c r="L178" s="25"/>
    </row>
    <row r="179" spans="6:31" ht="16.5" customHeight="1">
      <c r="F179" s="32" t="s">
        <v>511</v>
      </c>
    </row>
    <row r="180" spans="6:31" ht="16.5" customHeight="1">
      <c r="F180" s="26"/>
      <c r="G180" s="401" t="s">
        <v>352</v>
      </c>
      <c r="H180" s="402"/>
      <c r="I180" s="403"/>
      <c r="J180" s="153" t="s">
        <v>512</v>
      </c>
    </row>
    <row r="181" spans="6:31" ht="16.5" customHeight="1">
      <c r="F181" s="26"/>
      <c r="G181" s="397" t="s">
        <v>513</v>
      </c>
      <c r="H181" s="397"/>
      <c r="I181" s="397"/>
      <c r="J181" s="189" t="str">
        <f>IF(J177="Yes",'PLBC-CALC'!J96,"NR")</f>
        <v>NR</v>
      </c>
      <c r="S181" t="str">
        <f>IF(J177="Yes",'PLBC-CALC'!P89,"NR")</f>
        <v>NR</v>
      </c>
    </row>
    <row r="182" spans="6:31" ht="16.5" customHeight="1">
      <c r="F182" s="26"/>
      <c r="G182" s="397" t="s">
        <v>514</v>
      </c>
      <c r="H182" s="397"/>
      <c r="I182" s="397"/>
      <c r="J182" s="147" t="str">
        <f>IF(J177="Yes",'PLBC-CALC'!J97,"NR")</f>
        <v>NR</v>
      </c>
      <c r="S182" t="str">
        <f>IF(J177="Yes",'PLBC-CALC'!P90,"NR")</f>
        <v>NR</v>
      </c>
    </row>
    <row r="183" spans="6:31" ht="16.5" customHeight="1">
      <c r="F183" s="26"/>
      <c r="G183" s="397" t="s">
        <v>515</v>
      </c>
      <c r="H183" s="397"/>
      <c r="I183" s="397"/>
      <c r="J183" s="147" t="str">
        <f>IF(J177="Yes",'PLBC-CALC'!J98,"NR")</f>
        <v>NR</v>
      </c>
      <c r="O183" s="242"/>
      <c r="P183" s="242"/>
      <c r="Q183" s="242"/>
      <c r="R183" s="242"/>
      <c r="S183" s="242" t="str">
        <f>IF(J177="Yes",'PLBC-CALC'!P91,"NR")</f>
        <v>NR</v>
      </c>
    </row>
    <row r="184" spans="6:31" ht="16.5" customHeight="1">
      <c r="J184" s="154"/>
    </row>
    <row r="185" spans="6:31" ht="16.5" customHeight="1"/>
    <row r="186" spans="6:31" ht="16.5" customHeight="1">
      <c r="F186" s="316" t="s">
        <v>348</v>
      </c>
      <c r="G186" s="316"/>
      <c r="H186" s="316"/>
      <c r="I186" s="316"/>
      <c r="J186" s="316"/>
      <c r="K186" s="316"/>
      <c r="L186" s="316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316"/>
      <c r="AC186" s="316"/>
      <c r="AD186" s="316"/>
      <c r="AE186" s="316"/>
    </row>
    <row r="187" spans="6:31" ht="16.5" customHeight="1"/>
    <row r="188" spans="6:31" ht="16.5" customHeight="1">
      <c r="F188" s="292" t="s">
        <v>516</v>
      </c>
      <c r="G188" s="292"/>
      <c r="H188" s="292"/>
      <c r="I188" s="292"/>
      <c r="J188" s="292"/>
      <c r="K188" s="292"/>
      <c r="L188" s="292"/>
      <c r="M188" s="292"/>
    </row>
    <row r="189" spans="6:31" ht="16.5" customHeight="1">
      <c r="F189" s="292"/>
      <c r="G189" s="292"/>
      <c r="H189" s="292"/>
      <c r="I189" s="292"/>
      <c r="J189" s="292"/>
      <c r="K189" s="292"/>
      <c r="L189" s="292"/>
      <c r="M189" s="292"/>
    </row>
    <row r="190" spans="6:31" ht="16.5" customHeight="1">
      <c r="F190" s="32" t="s">
        <v>426</v>
      </c>
      <c r="L190" s="6"/>
    </row>
    <row r="191" spans="6:31" ht="16.5" customHeight="1">
      <c r="F191" s="51"/>
      <c r="G191" s="295" t="s">
        <v>427</v>
      </c>
      <c r="H191" s="295"/>
      <c r="I191" s="295"/>
      <c r="J191" s="398" t="str">
        <f>CALC!J99</f>
        <v>NA</v>
      </c>
      <c r="K191" s="400"/>
      <c r="L191" s="16"/>
    </row>
    <row r="192" spans="6:31" ht="16.5" customHeight="1">
      <c r="F192" s="51"/>
      <c r="G192" s="295" t="s">
        <v>403</v>
      </c>
      <c r="H192" s="295"/>
      <c r="I192" s="295"/>
      <c r="J192" s="398" t="str">
        <f>CALC!J100</f>
        <v>NR</v>
      </c>
      <c r="K192" s="400"/>
    </row>
    <row r="193" spans="6:31" ht="16.5" customHeight="1"/>
    <row r="194" spans="6:31" ht="16.5" customHeight="1"/>
    <row r="195" spans="6:31" ht="16.5" customHeight="1">
      <c r="F195" s="316" t="s">
        <v>348</v>
      </c>
      <c r="G195" s="316"/>
      <c r="H195" s="316"/>
      <c r="I195" s="316"/>
      <c r="J195" s="316"/>
      <c r="K195" s="316"/>
      <c r="L195" s="316"/>
      <c r="M195" s="316"/>
      <c r="N195" s="316"/>
      <c r="O195" s="316"/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  <c r="AA195" s="316"/>
      <c r="AB195" s="316"/>
      <c r="AC195" s="316"/>
      <c r="AD195" s="316"/>
      <c r="AE195" s="316"/>
    </row>
    <row r="196" spans="6:31" ht="16.5" customHeight="1"/>
    <row r="197" spans="6:31" ht="16.5" customHeight="1">
      <c r="F197" s="292" t="s">
        <v>517</v>
      </c>
      <c r="G197" s="292"/>
      <c r="H197" s="292"/>
      <c r="I197" s="292"/>
      <c r="J197" s="292"/>
      <c r="K197" s="292"/>
      <c r="L197" s="292"/>
      <c r="M197" s="292"/>
    </row>
    <row r="198" spans="6:31" ht="16.5" customHeight="1">
      <c r="F198" s="292"/>
      <c r="G198" s="292"/>
      <c r="H198" s="292"/>
      <c r="I198" s="292"/>
      <c r="J198" s="292"/>
      <c r="K198" s="292"/>
      <c r="L198" s="292"/>
      <c r="M198" s="292"/>
    </row>
    <row r="199" spans="6:31" ht="16.5" customHeight="1">
      <c r="F199" s="32" t="s">
        <v>429</v>
      </c>
      <c r="G199" s="25"/>
      <c r="H199" s="25"/>
      <c r="I199" s="25"/>
      <c r="J199" s="25"/>
      <c r="K199" s="25"/>
      <c r="L199" s="25"/>
    </row>
    <row r="200" spans="6:31" ht="16.5" customHeight="1">
      <c r="F200" s="51"/>
      <c r="G200" s="295" t="s">
        <v>431</v>
      </c>
      <c r="H200" s="295"/>
      <c r="I200" s="295"/>
      <c r="J200" s="398" t="str">
        <f>CALC!J108</f>
        <v>ICS ODC</v>
      </c>
      <c r="K200" s="400"/>
      <c r="L200" s="221"/>
    </row>
    <row r="201" spans="6:31" ht="16.5" customHeight="1">
      <c r="F201" s="51"/>
      <c r="G201" s="295" t="s">
        <v>434</v>
      </c>
      <c r="H201" s="295"/>
      <c r="I201" s="295"/>
      <c r="J201" s="398" t="str">
        <f>CALC!J109</f>
        <v>Free Air</v>
      </c>
      <c r="K201" s="400"/>
      <c r="L201" s="221"/>
    </row>
    <row r="202" spans="6:31" ht="16.5" customHeight="1">
      <c r="F202" s="51"/>
      <c r="G202" s="295" t="s">
        <v>436</v>
      </c>
      <c r="H202" s="295"/>
      <c r="I202" s="295"/>
      <c r="J202" s="398">
        <f>CALC!J110</f>
        <v>6</v>
      </c>
      <c r="K202" s="400"/>
      <c r="L202" s="221"/>
    </row>
    <row r="203" spans="6:31" ht="16.5" customHeight="1">
      <c r="F203" s="51" t="str">
        <f>CALC!F111</f>
        <v/>
      </c>
      <c r="G203" s="295" t="s">
        <v>441</v>
      </c>
      <c r="H203" s="295"/>
      <c r="I203" s="295"/>
      <c r="J203" s="398">
        <f>CALC!J111</f>
        <v>0</v>
      </c>
      <c r="K203" s="399"/>
      <c r="L203" s="400"/>
    </row>
    <row r="204" spans="6:31" ht="16.5" customHeight="1">
      <c r="F204" s="51" t="str">
        <f>CALC!F112</f>
        <v/>
      </c>
      <c r="G204" s="295" t="s">
        <v>442</v>
      </c>
      <c r="H204" s="295"/>
      <c r="I204" s="295"/>
      <c r="J204" s="398">
        <f>CALC!J112</f>
        <v>0</v>
      </c>
      <c r="K204" s="399"/>
      <c r="L204" s="400"/>
    </row>
    <row r="205" spans="6:31">
      <c r="F205" s="51" t="str">
        <f>CALC!F113</f>
        <v/>
      </c>
      <c r="G205" s="295" t="s">
        <v>443</v>
      </c>
      <c r="H205" s="295"/>
      <c r="I205" s="295"/>
      <c r="J205" s="398">
        <f>CALC!J113</f>
        <v>0</v>
      </c>
      <c r="K205" s="399"/>
      <c r="L205" s="400"/>
    </row>
    <row r="206" spans="6:31">
      <c r="F206" s="51" t="str">
        <f>CALC!F114</f>
        <v/>
      </c>
      <c r="G206" s="295" t="s">
        <v>444</v>
      </c>
      <c r="H206" s="295"/>
      <c r="I206" s="295"/>
      <c r="J206" s="398">
        <f>CALC!J114</f>
        <v>0</v>
      </c>
      <c r="K206" s="399"/>
      <c r="L206" s="400"/>
    </row>
    <row r="207" spans="6:31">
      <c r="F207" s="51" t="str">
        <f>CALC!F115</f>
        <v/>
      </c>
      <c r="G207" s="295" t="s">
        <v>445</v>
      </c>
      <c r="H207" s="295"/>
      <c r="I207" s="295"/>
      <c r="J207" s="398">
        <f>CALC!J115</f>
        <v>0</v>
      </c>
      <c r="K207" s="399"/>
      <c r="L207" s="400"/>
    </row>
    <row r="209" spans="6:31">
      <c r="F209" s="51">
        <f>CALC!F119</f>
        <v>0</v>
      </c>
      <c r="G209" s="295" t="s">
        <v>447</v>
      </c>
      <c r="H209" s="295"/>
      <c r="I209" s="295"/>
      <c r="J209" s="326">
        <f>CALC!J119</f>
        <v>1412.7680000000005</v>
      </c>
      <c r="K209" s="325"/>
      <c r="L209" s="82" t="s">
        <v>414</v>
      </c>
    </row>
    <row r="210" spans="6:31">
      <c r="F210" s="51" t="str">
        <f>CALC!F120</f>
        <v/>
      </c>
      <c r="G210" s="295" t="s">
        <v>449</v>
      </c>
      <c r="H210" s="295"/>
      <c r="I210" s="295"/>
      <c r="J210" s="326">
        <f>CALC!J120</f>
        <v>0</v>
      </c>
      <c r="K210" s="326"/>
      <c r="L210" s="82" t="s">
        <v>414</v>
      </c>
    </row>
    <row r="211" spans="6:31">
      <c r="F211" s="51" t="str">
        <f>CALC!F121</f>
        <v>OK</v>
      </c>
      <c r="G211" s="295" t="s">
        <v>451</v>
      </c>
      <c r="H211" s="295"/>
      <c r="I211" s="295"/>
      <c r="J211" s="326">
        <f>CALC!J121</f>
        <v>9048</v>
      </c>
      <c r="K211" s="326"/>
      <c r="L211" s="82" t="s">
        <v>414</v>
      </c>
    </row>
    <row r="212" spans="6:31">
      <c r="F212" s="51">
        <f>CALC!F122</f>
        <v>0</v>
      </c>
      <c r="G212" s="295" t="s">
        <v>453</v>
      </c>
      <c r="H212" s="295"/>
      <c r="I212" s="295"/>
      <c r="J212" s="326">
        <f>CALC!J122</f>
        <v>777.59999999999991</v>
      </c>
      <c r="K212" s="326"/>
      <c r="L212" s="82" t="s">
        <v>414</v>
      </c>
    </row>
    <row r="215" spans="6:31">
      <c r="F215" s="316" t="s">
        <v>348</v>
      </c>
      <c r="G215" s="316"/>
      <c r="H215" s="316"/>
      <c r="I215" s="316"/>
      <c r="J215" s="316"/>
      <c r="K215" s="316"/>
      <c r="L215" s="316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  <c r="AA215" s="316"/>
      <c r="AB215" s="316"/>
      <c r="AC215" s="316"/>
      <c r="AD215" s="316"/>
      <c r="AE215" s="316"/>
    </row>
    <row r="217" spans="6:31">
      <c r="F217" s="292" t="s">
        <v>518</v>
      </c>
      <c r="G217" s="292"/>
      <c r="H217" s="292"/>
      <c r="I217" s="292"/>
      <c r="J217" s="292"/>
      <c r="K217" s="292"/>
      <c r="L217" s="292"/>
      <c r="M217" s="292"/>
    </row>
    <row r="218" spans="6:31">
      <c r="F218" s="292"/>
      <c r="G218" s="292"/>
      <c r="H218" s="292"/>
      <c r="I218" s="292"/>
      <c r="J218" s="292"/>
      <c r="K218" s="292"/>
      <c r="L218" s="292"/>
      <c r="M218" s="292"/>
    </row>
    <row r="219" spans="6:31">
      <c r="F219" s="32" t="s">
        <v>519</v>
      </c>
      <c r="S219" s="117" t="s">
        <v>495</v>
      </c>
    </row>
    <row r="220" spans="6:31" ht="15" customHeight="1">
      <c r="F220" s="296"/>
      <c r="G220" s="297"/>
      <c r="H220" s="297"/>
      <c r="I220" s="297"/>
      <c r="J220" s="297"/>
      <c r="K220" s="297"/>
      <c r="L220" s="297"/>
      <c r="M220" s="297"/>
      <c r="N220" s="298"/>
      <c r="R220" s="83" t="s">
        <v>191</v>
      </c>
      <c r="S220" s="84" t="s">
        <v>520</v>
      </c>
    </row>
    <row r="221" spans="6:31" ht="17.45">
      <c r="F221" s="299"/>
      <c r="G221" s="300"/>
      <c r="H221" s="300"/>
      <c r="I221" s="300"/>
      <c r="J221" s="300"/>
      <c r="K221" s="300"/>
      <c r="L221" s="300"/>
      <c r="M221" s="300"/>
      <c r="N221" s="301"/>
      <c r="R221" s="25"/>
      <c r="S221" s="84"/>
    </row>
    <row r="222" spans="6:31">
      <c r="F222" s="299"/>
      <c r="G222" s="300"/>
      <c r="H222" s="300"/>
      <c r="I222" s="300"/>
      <c r="J222" s="300"/>
      <c r="K222" s="300"/>
      <c r="L222" s="300"/>
      <c r="M222" s="300"/>
      <c r="N222" s="301"/>
      <c r="S222" s="84"/>
    </row>
    <row r="223" spans="6:31">
      <c r="F223" s="299"/>
      <c r="G223" s="300"/>
      <c r="H223" s="300"/>
      <c r="I223" s="300"/>
      <c r="J223" s="300"/>
      <c r="K223" s="300"/>
      <c r="L223" s="300"/>
      <c r="M223" s="300"/>
      <c r="N223" s="301"/>
    </row>
    <row r="224" spans="6:31">
      <c r="F224" s="299"/>
      <c r="G224" s="300"/>
      <c r="H224" s="300"/>
      <c r="I224" s="300"/>
      <c r="J224" s="300"/>
      <c r="K224" s="300"/>
      <c r="L224" s="300"/>
      <c r="M224" s="300"/>
      <c r="N224" s="301"/>
    </row>
    <row r="225" spans="6:31">
      <c r="F225" s="302"/>
      <c r="G225" s="303"/>
      <c r="H225" s="303"/>
      <c r="I225" s="303"/>
      <c r="J225" s="303"/>
      <c r="K225" s="303"/>
      <c r="L225" s="303"/>
      <c r="M225" s="303"/>
      <c r="N225" s="304"/>
    </row>
    <row r="227" spans="6:31">
      <c r="F227" s="32" t="s">
        <v>521</v>
      </c>
      <c r="R227" s="83" t="s">
        <v>191</v>
      </c>
      <c r="S227" s="84" t="s">
        <v>522</v>
      </c>
    </row>
    <row r="228" spans="6:31" ht="18.75" customHeight="1">
      <c r="F228" s="296"/>
      <c r="G228" s="297"/>
      <c r="H228" s="297"/>
      <c r="I228" s="297"/>
      <c r="J228" s="297"/>
      <c r="K228" s="297"/>
      <c r="L228" s="297"/>
      <c r="M228" s="297"/>
      <c r="N228" s="298"/>
      <c r="R228" s="25"/>
      <c r="S228" s="84"/>
    </row>
    <row r="229" spans="6:31">
      <c r="F229" s="299"/>
      <c r="G229" s="300"/>
      <c r="H229" s="300"/>
      <c r="I229" s="300"/>
      <c r="J229" s="300"/>
      <c r="K229" s="300"/>
      <c r="L229" s="300"/>
      <c r="M229" s="300"/>
      <c r="N229" s="301"/>
      <c r="S229" s="84"/>
    </row>
    <row r="230" spans="6:31">
      <c r="F230" s="299"/>
      <c r="G230" s="300"/>
      <c r="H230" s="300"/>
      <c r="I230" s="300"/>
      <c r="J230" s="300"/>
      <c r="K230" s="300"/>
      <c r="L230" s="300"/>
      <c r="M230" s="300"/>
      <c r="N230" s="301"/>
    </row>
    <row r="231" spans="6:31">
      <c r="F231" s="299"/>
      <c r="G231" s="300"/>
      <c r="H231" s="300"/>
      <c r="I231" s="300"/>
      <c r="J231" s="300"/>
      <c r="K231" s="300"/>
      <c r="L231" s="300"/>
      <c r="M231" s="300"/>
      <c r="N231" s="301"/>
    </row>
    <row r="232" spans="6:31">
      <c r="F232" s="299"/>
      <c r="G232" s="300"/>
      <c r="H232" s="300"/>
      <c r="I232" s="300"/>
      <c r="J232" s="300"/>
      <c r="K232" s="300"/>
      <c r="L232" s="300"/>
      <c r="M232" s="300"/>
      <c r="N232" s="301"/>
    </row>
    <row r="233" spans="6:31">
      <c r="F233" s="302"/>
      <c r="G233" s="303"/>
      <c r="H233" s="303"/>
      <c r="I233" s="303"/>
      <c r="J233" s="303"/>
      <c r="K233" s="303"/>
      <c r="L233" s="303"/>
      <c r="M233" s="303"/>
      <c r="N233" s="304"/>
    </row>
    <row r="235" spans="6:31">
      <c r="F235" s="397" t="s">
        <v>523</v>
      </c>
      <c r="G235" s="397"/>
      <c r="H235" s="397"/>
      <c r="I235" s="200"/>
      <c r="J235" s="16" t="s">
        <v>158</v>
      </c>
    </row>
    <row r="236" spans="6:31">
      <c r="F236" s="397" t="s">
        <v>524</v>
      </c>
      <c r="G236" s="397"/>
      <c r="H236" s="397"/>
      <c r="I236" s="200"/>
      <c r="J236" s="16" t="s">
        <v>158</v>
      </c>
    </row>
    <row r="239" spans="6:31">
      <c r="F239" s="316" t="s">
        <v>348</v>
      </c>
      <c r="G239" s="316"/>
      <c r="H239" s="316"/>
      <c r="I239" s="316"/>
      <c r="J239" s="316"/>
      <c r="K239" s="316"/>
      <c r="L239" s="316"/>
      <c r="M239" s="316"/>
      <c r="N239" s="316"/>
      <c r="O239" s="316"/>
      <c r="P239" s="316"/>
      <c r="Q239" s="316"/>
      <c r="R239" s="316"/>
      <c r="S239" s="316"/>
      <c r="T239" s="316"/>
      <c r="U239" s="316"/>
      <c r="V239" s="316"/>
      <c r="W239" s="316"/>
      <c r="X239" s="316"/>
      <c r="Y239" s="316"/>
      <c r="Z239" s="316"/>
      <c r="AA239" s="316"/>
      <c r="AB239" s="316"/>
      <c r="AC239" s="316"/>
      <c r="AD239" s="316"/>
      <c r="AE239" s="316"/>
    </row>
    <row r="241" spans="6:13">
      <c r="F241" s="292" t="s">
        <v>525</v>
      </c>
      <c r="G241" s="292"/>
      <c r="H241" s="292"/>
      <c r="I241" s="292"/>
      <c r="J241" s="292"/>
      <c r="K241" s="292"/>
      <c r="L241" s="292"/>
      <c r="M241" s="292"/>
    </row>
    <row r="242" spans="6:13">
      <c r="F242" s="292"/>
      <c r="G242" s="292"/>
      <c r="H242" s="292"/>
      <c r="I242" s="292"/>
      <c r="J242" s="292"/>
      <c r="K242" s="292"/>
      <c r="L242" s="292"/>
      <c r="M242" s="292"/>
    </row>
    <row r="244" spans="6:13">
      <c r="F244" t="s">
        <v>526</v>
      </c>
    </row>
    <row r="245" spans="6:13">
      <c r="F245" t="s">
        <v>527</v>
      </c>
    </row>
    <row r="247" spans="6:13">
      <c r="F247" s="295" t="s">
        <v>528</v>
      </c>
      <c r="G247" s="295"/>
      <c r="H247" s="295"/>
      <c r="I247" s="422" t="s">
        <v>529</v>
      </c>
      <c r="J247" s="422"/>
      <c r="K247" s="422"/>
    </row>
    <row r="248" spans="6:13">
      <c r="F248" s="295" t="s">
        <v>530</v>
      </c>
      <c r="G248" s="295"/>
      <c r="H248" s="295"/>
      <c r="I248" s="422" t="s">
        <v>531</v>
      </c>
      <c r="J248" s="422"/>
      <c r="K248" s="422"/>
    </row>
    <row r="253" spans="6:13" ht="15">
      <c r="F253" s="149" t="s">
        <v>532</v>
      </c>
    </row>
    <row r="254" spans="6:13">
      <c r="F254" t="s">
        <v>533</v>
      </c>
    </row>
    <row r="255" spans="6:13">
      <c r="F255" t="s">
        <v>534</v>
      </c>
    </row>
    <row r="256" spans="6:13">
      <c r="F256" s="192"/>
    </row>
    <row r="257" spans="6:6">
      <c r="F257" t="s">
        <v>535</v>
      </c>
    </row>
    <row r="258" spans="6:6">
      <c r="F258" t="s">
        <v>536</v>
      </c>
    </row>
    <row r="259" spans="6:6">
      <c r="F259" t="s">
        <v>537</v>
      </c>
    </row>
    <row r="261" spans="6:6">
      <c r="F261" t="s">
        <v>538</v>
      </c>
    </row>
    <row r="280" spans="6:31">
      <c r="Q280" t="s">
        <v>347</v>
      </c>
    </row>
    <row r="281" spans="6:31">
      <c r="F281" s="316"/>
      <c r="G281" s="316"/>
      <c r="H281" s="316"/>
      <c r="I281" s="316"/>
      <c r="J281" s="316"/>
      <c r="K281" s="316"/>
      <c r="L281" s="316"/>
      <c r="M281" s="316"/>
      <c r="N281" s="316"/>
      <c r="O281" s="316"/>
      <c r="P281" s="316"/>
      <c r="Q281" s="316"/>
      <c r="R281" s="316"/>
      <c r="S281" s="316"/>
      <c r="T281" s="316"/>
      <c r="U281" s="316"/>
      <c r="V281" s="316"/>
      <c r="W281" s="316"/>
      <c r="X281" s="316"/>
      <c r="Y281" s="316"/>
      <c r="Z281" s="316"/>
      <c r="AA281" s="316"/>
      <c r="AB281" s="316"/>
      <c r="AC281" s="316"/>
      <c r="AD281" s="316"/>
      <c r="AE281" s="316"/>
    </row>
  </sheetData>
  <mergeCells count="247">
    <mergeCell ref="P170:R170"/>
    <mergeCell ref="S170:T170"/>
    <mergeCell ref="P171:R171"/>
    <mergeCell ref="S171:T171"/>
    <mergeCell ref="P163:R163"/>
    <mergeCell ref="S163:T163"/>
    <mergeCell ref="P164:R164"/>
    <mergeCell ref="S164:T164"/>
    <mergeCell ref="P165:R165"/>
    <mergeCell ref="S165:T165"/>
    <mergeCell ref="P166:R166"/>
    <mergeCell ref="S166:T166"/>
    <mergeCell ref="P167:R167"/>
    <mergeCell ref="S167:T167"/>
    <mergeCell ref="O151:Q152"/>
    <mergeCell ref="P155:R155"/>
    <mergeCell ref="S155:T155"/>
    <mergeCell ref="P156:R156"/>
    <mergeCell ref="P157:R157"/>
    <mergeCell ref="P160:R160"/>
    <mergeCell ref="S160:T160"/>
    <mergeCell ref="P162:R162"/>
    <mergeCell ref="S162:T162"/>
    <mergeCell ref="P142:R142"/>
    <mergeCell ref="S142:U142"/>
    <mergeCell ref="P143:R143"/>
    <mergeCell ref="S143:U143"/>
    <mergeCell ref="P144:R144"/>
    <mergeCell ref="S144:U144"/>
    <mergeCell ref="P145:R145"/>
    <mergeCell ref="P146:R146"/>
    <mergeCell ref="O149:P150"/>
    <mergeCell ref="Q149:Q150"/>
    <mergeCell ref="R85:T85"/>
    <mergeCell ref="K92:N94"/>
    <mergeCell ref="K91:M91"/>
    <mergeCell ref="R92:U94"/>
    <mergeCell ref="R91:T91"/>
    <mergeCell ref="F215:AE215"/>
    <mergeCell ref="F281:AE281"/>
    <mergeCell ref="F239:AE239"/>
    <mergeCell ref="F241:M242"/>
    <mergeCell ref="G104:K105"/>
    <mergeCell ref="F247:H247"/>
    <mergeCell ref="F248:H248"/>
    <mergeCell ref="I247:K247"/>
    <mergeCell ref="I248:K248"/>
    <mergeCell ref="F137:AE137"/>
    <mergeCell ref="J126:K126"/>
    <mergeCell ref="F127:I127"/>
    <mergeCell ref="J127:K127"/>
    <mergeCell ref="F128:I128"/>
    <mergeCell ref="G143:I143"/>
    <mergeCell ref="J143:L143"/>
    <mergeCell ref="G144:I144"/>
    <mergeCell ref="J171:K171"/>
    <mergeCell ref="G146:I146"/>
    <mergeCell ref="G162:I162"/>
    <mergeCell ref="J162:K162"/>
    <mergeCell ref="G163:I163"/>
    <mergeCell ref="J163:K163"/>
    <mergeCell ref="R48:T48"/>
    <mergeCell ref="R18:T18"/>
    <mergeCell ref="R28:Z33"/>
    <mergeCell ref="R36:Z41"/>
    <mergeCell ref="R49:T49"/>
    <mergeCell ref="R47:U47"/>
    <mergeCell ref="R61:U61"/>
    <mergeCell ref="R69:T69"/>
    <mergeCell ref="R84:T84"/>
    <mergeCell ref="R86:U89"/>
    <mergeCell ref="G85:J85"/>
    <mergeCell ref="G86:J86"/>
    <mergeCell ref="K86:N89"/>
    <mergeCell ref="G91:J91"/>
    <mergeCell ref="K85:M85"/>
    <mergeCell ref="G79:J79"/>
    <mergeCell ref="G145:I145"/>
    <mergeCell ref="G83:J83"/>
    <mergeCell ref="G107:J107"/>
    <mergeCell ref="G77:J77"/>
    <mergeCell ref="F236:H236"/>
    <mergeCell ref="F217:M218"/>
    <mergeCell ref="F220:N225"/>
    <mergeCell ref="F228:N233"/>
    <mergeCell ref="F235:H235"/>
    <mergeCell ref="R98:U101"/>
    <mergeCell ref="R125:S125"/>
    <mergeCell ref="R126:S126"/>
    <mergeCell ref="R127:S127"/>
    <mergeCell ref="R131:U134"/>
    <mergeCell ref="F126:I126"/>
    <mergeCell ref="G142:I142"/>
    <mergeCell ref="J142:L142"/>
    <mergeCell ref="G155:I155"/>
    <mergeCell ref="J155:K155"/>
    <mergeCell ref="G156:I156"/>
    <mergeCell ref="G108:J108"/>
    <mergeCell ref="F139:L140"/>
    <mergeCell ref="F149:G150"/>
    <mergeCell ref="H149:H150"/>
    <mergeCell ref="F151:H152"/>
    <mergeCell ref="G153:M153"/>
    <mergeCell ref="J144:L144"/>
    <mergeCell ref="G171:I171"/>
    <mergeCell ref="R10:T10"/>
    <mergeCell ref="R11:T11"/>
    <mergeCell ref="R12:S12"/>
    <mergeCell ref="R13:S13"/>
    <mergeCell ref="R14:S14"/>
    <mergeCell ref="F129:I129"/>
    <mergeCell ref="F130:I130"/>
    <mergeCell ref="F131:I131"/>
    <mergeCell ref="J131:M134"/>
    <mergeCell ref="G116:J116"/>
    <mergeCell ref="G117:J117"/>
    <mergeCell ref="G119:J119"/>
    <mergeCell ref="F122:L123"/>
    <mergeCell ref="F125:I125"/>
    <mergeCell ref="J125:K125"/>
    <mergeCell ref="G109:J109"/>
    <mergeCell ref="G112:J112"/>
    <mergeCell ref="G113:J113"/>
    <mergeCell ref="G114:J114"/>
    <mergeCell ref="G115:J115"/>
    <mergeCell ref="G96:J96"/>
    <mergeCell ref="G98:J98"/>
    <mergeCell ref="F52:I52"/>
    <mergeCell ref="F53:I53"/>
    <mergeCell ref="F47:I47"/>
    <mergeCell ref="F48:I48"/>
    <mergeCell ref="J48:L48"/>
    <mergeCell ref="F49:I49"/>
    <mergeCell ref="J49:L49"/>
    <mergeCell ref="J47:M47"/>
    <mergeCell ref="G84:J84"/>
    <mergeCell ref="K84:M84"/>
    <mergeCell ref="G78:J78"/>
    <mergeCell ref="G66:J66"/>
    <mergeCell ref="G69:J69"/>
    <mergeCell ref="K69:M69"/>
    <mergeCell ref="G70:J70"/>
    <mergeCell ref="G71:J71"/>
    <mergeCell ref="F57:L58"/>
    <mergeCell ref="G61:J61"/>
    <mergeCell ref="G64:J64"/>
    <mergeCell ref="G65:J65"/>
    <mergeCell ref="K61:N61"/>
    <mergeCell ref="G74:J74"/>
    <mergeCell ref="G75:J75"/>
    <mergeCell ref="G82:J82"/>
    <mergeCell ref="G183:I183"/>
    <mergeCell ref="G76:J76"/>
    <mergeCell ref="S2:V4"/>
    <mergeCell ref="F2:R4"/>
    <mergeCell ref="B27:D27"/>
    <mergeCell ref="B22:D22"/>
    <mergeCell ref="B23:D23"/>
    <mergeCell ref="B24:D24"/>
    <mergeCell ref="B25:D25"/>
    <mergeCell ref="B17:D17"/>
    <mergeCell ref="B18:D18"/>
    <mergeCell ref="B19:D19"/>
    <mergeCell ref="B14:D14"/>
    <mergeCell ref="B26:D26"/>
    <mergeCell ref="B15:D15"/>
    <mergeCell ref="B16:D16"/>
    <mergeCell ref="B20:D20"/>
    <mergeCell ref="F7:L8"/>
    <mergeCell ref="F13:I13"/>
    <mergeCell ref="J13:K13"/>
    <mergeCell ref="F14:I14"/>
    <mergeCell ref="J14:K14"/>
    <mergeCell ref="F10:I10"/>
    <mergeCell ref="K98:N101"/>
    <mergeCell ref="G205:I205"/>
    <mergeCell ref="J10:L10"/>
    <mergeCell ref="G201:I201"/>
    <mergeCell ref="J201:K201"/>
    <mergeCell ref="B21:D21"/>
    <mergeCell ref="B9:D9"/>
    <mergeCell ref="B10:D10"/>
    <mergeCell ref="B12:D12"/>
    <mergeCell ref="B13:D13"/>
    <mergeCell ref="B11:D11"/>
    <mergeCell ref="F11:I11"/>
    <mergeCell ref="J11:L11"/>
    <mergeCell ref="F12:I12"/>
    <mergeCell ref="J12:K12"/>
    <mergeCell ref="F24:I24"/>
    <mergeCell ref="F25:I25"/>
    <mergeCell ref="F28:N33"/>
    <mergeCell ref="F36:N41"/>
    <mergeCell ref="F44:O45"/>
    <mergeCell ref="F18:I18"/>
    <mergeCell ref="J18:L18"/>
    <mergeCell ref="F19:I19"/>
    <mergeCell ref="F20:I20"/>
    <mergeCell ref="F23:I23"/>
    <mergeCell ref="F174:L175"/>
    <mergeCell ref="F54:I54"/>
    <mergeCell ref="G180:I180"/>
    <mergeCell ref="G212:I212"/>
    <mergeCell ref="J212:K212"/>
    <mergeCell ref="G211:I211"/>
    <mergeCell ref="J211:K211"/>
    <mergeCell ref="F195:AE195"/>
    <mergeCell ref="F197:M198"/>
    <mergeCell ref="G200:I200"/>
    <mergeCell ref="J200:K200"/>
    <mergeCell ref="G202:I202"/>
    <mergeCell ref="J202:K202"/>
    <mergeCell ref="G203:I203"/>
    <mergeCell ref="J203:L203"/>
    <mergeCell ref="G204:I204"/>
    <mergeCell ref="J204:L204"/>
    <mergeCell ref="G206:I206"/>
    <mergeCell ref="J206:L206"/>
    <mergeCell ref="G207:I207"/>
    <mergeCell ref="J207:L207"/>
    <mergeCell ref="G209:I209"/>
    <mergeCell ref="J209:K209"/>
    <mergeCell ref="G210:I210"/>
    <mergeCell ref="G177:I177"/>
    <mergeCell ref="J210:K210"/>
    <mergeCell ref="J205:L205"/>
    <mergeCell ref="F188:M189"/>
    <mergeCell ref="G191:I191"/>
    <mergeCell ref="J191:K191"/>
    <mergeCell ref="G192:I192"/>
    <mergeCell ref="J192:K192"/>
    <mergeCell ref="G157:I157"/>
    <mergeCell ref="G181:I181"/>
    <mergeCell ref="G182:I182"/>
    <mergeCell ref="F186:AE186"/>
    <mergeCell ref="G164:I164"/>
    <mergeCell ref="J164:K164"/>
    <mergeCell ref="G160:I160"/>
    <mergeCell ref="J160:K160"/>
    <mergeCell ref="G165:I165"/>
    <mergeCell ref="J165:K165"/>
    <mergeCell ref="G166:I166"/>
    <mergeCell ref="J166:K166"/>
    <mergeCell ref="G167:I167"/>
    <mergeCell ref="J167:K167"/>
    <mergeCell ref="G170:I170"/>
    <mergeCell ref="J170:K170"/>
  </mergeCells>
  <phoneticPr fontId="10" type="noConversion"/>
  <conditionalFormatting sqref="F28">
    <cfRule type="cellIs" dxfId="667" priority="56108" operator="notEqual">
      <formula>""</formula>
    </cfRule>
  </conditionalFormatting>
  <conditionalFormatting sqref="F36">
    <cfRule type="cellIs" dxfId="666" priority="56107" operator="notEqual">
      <formula>""</formula>
    </cfRule>
  </conditionalFormatting>
  <conditionalFormatting sqref="J10:J14">
    <cfRule type="cellIs" dxfId="665" priority="56106" operator="notEqual">
      <formula>""</formula>
    </cfRule>
  </conditionalFormatting>
  <conditionalFormatting sqref="J18">
    <cfRule type="cellIs" dxfId="664" priority="56105" operator="notEqual">
      <formula>""</formula>
    </cfRule>
  </conditionalFormatting>
  <conditionalFormatting sqref="J23:J25">
    <cfRule type="cellIs" dxfId="663" priority="56104" operator="notEqual">
      <formula>""</formula>
    </cfRule>
  </conditionalFormatting>
  <conditionalFormatting sqref="J52:J54">
    <cfRule type="cellIs" dxfId="662" priority="56102" operator="notEqual">
      <formula>""</formula>
    </cfRule>
  </conditionalFormatting>
  <conditionalFormatting sqref="K64:K66">
    <cfRule type="cellIs" dxfId="661" priority="56101" operator="notEqual">
      <formula>""</formula>
    </cfRule>
  </conditionalFormatting>
  <conditionalFormatting sqref="K107:K109">
    <cfRule type="cellIs" dxfId="660" priority="56100" operator="notEqual">
      <formula>""</formula>
    </cfRule>
  </conditionalFormatting>
  <conditionalFormatting sqref="J19">
    <cfRule type="cellIs" dxfId="659" priority="56099" operator="notEqual">
      <formula>""</formula>
    </cfRule>
  </conditionalFormatting>
  <conditionalFormatting sqref="J20">
    <cfRule type="cellIs" dxfId="658" priority="56098" operator="notEqual">
      <formula>""</formula>
    </cfRule>
  </conditionalFormatting>
  <conditionalFormatting sqref="J47">
    <cfRule type="cellIs" dxfId="657" priority="56096" operator="notEqual">
      <formula>""</formula>
    </cfRule>
  </conditionalFormatting>
  <conditionalFormatting sqref="J48:J49">
    <cfRule type="cellIs" dxfId="656" priority="56095" operator="notEqual">
      <formula>""</formula>
    </cfRule>
  </conditionalFormatting>
  <conditionalFormatting sqref="K61">
    <cfRule type="cellIs" dxfId="655" priority="56094" operator="notEqual">
      <formula>""</formula>
    </cfRule>
  </conditionalFormatting>
  <conditionalFormatting sqref="K69">
    <cfRule type="cellIs" dxfId="654" priority="56093" operator="notEqual">
      <formula>""</formula>
    </cfRule>
  </conditionalFormatting>
  <conditionalFormatting sqref="K70">
    <cfRule type="cellIs" dxfId="653" priority="56092" operator="notEqual">
      <formula>""</formula>
    </cfRule>
  </conditionalFormatting>
  <conditionalFormatting sqref="K71">
    <cfRule type="cellIs" dxfId="652" priority="56091" operator="notEqual">
      <formula>""</formula>
    </cfRule>
  </conditionalFormatting>
  <conditionalFormatting sqref="K74:K79">
    <cfRule type="cellIs" dxfId="651" priority="56090" operator="notEqual">
      <formula>""</formula>
    </cfRule>
  </conditionalFormatting>
  <conditionalFormatting sqref="K83:K84">
    <cfRule type="cellIs" dxfId="650" priority="56089" operator="notEqual">
      <formula>""</formula>
    </cfRule>
  </conditionalFormatting>
  <conditionalFormatting sqref="K82">
    <cfRule type="cellIs" dxfId="649" priority="56088" operator="notEqual">
      <formula>""</formula>
    </cfRule>
  </conditionalFormatting>
  <conditionalFormatting sqref="K112:K117">
    <cfRule type="cellIs" dxfId="648" priority="56087" operator="notEqual">
      <formula>""</formula>
    </cfRule>
  </conditionalFormatting>
  <conditionalFormatting sqref="K119">
    <cfRule type="cellIs" dxfId="647" priority="56086" operator="notEqual">
      <formula>""</formula>
    </cfRule>
  </conditionalFormatting>
  <conditionalFormatting sqref="J125">
    <cfRule type="cellIs" dxfId="646" priority="56085" operator="notEqual">
      <formula>""</formula>
    </cfRule>
  </conditionalFormatting>
  <conditionalFormatting sqref="J126">
    <cfRule type="cellIs" dxfId="645" priority="56084" operator="notEqual">
      <formula>""</formula>
    </cfRule>
  </conditionalFormatting>
  <conditionalFormatting sqref="J127">
    <cfRule type="cellIs" dxfId="644" priority="56083" operator="notEqual">
      <formula>""</formula>
    </cfRule>
  </conditionalFormatting>
  <conditionalFormatting sqref="J130">
    <cfRule type="cellIs" dxfId="643" priority="56082" operator="notEqual">
      <formula>""</formula>
    </cfRule>
  </conditionalFormatting>
  <conditionalFormatting sqref="J129">
    <cfRule type="cellIs" dxfId="642" priority="56081" operator="notEqual">
      <formula>""</formula>
    </cfRule>
  </conditionalFormatting>
  <conditionalFormatting sqref="J128">
    <cfRule type="cellIs" dxfId="641" priority="56080" operator="notEqual">
      <formula>""</formula>
    </cfRule>
  </conditionalFormatting>
  <conditionalFormatting sqref="K85">
    <cfRule type="cellIs" dxfId="640" priority="56079" operator="notEqual">
      <formula>""</formula>
    </cfRule>
  </conditionalFormatting>
  <conditionalFormatting sqref="K86">
    <cfRule type="cellIs" dxfId="639" priority="56078" operator="notEqual">
      <formula>""</formula>
    </cfRule>
  </conditionalFormatting>
  <conditionalFormatting sqref="K91:K92">
    <cfRule type="cellIs" dxfId="638" priority="56077" operator="notEqual">
      <formula>""</formula>
    </cfRule>
  </conditionalFormatting>
  <conditionalFormatting sqref="K98">
    <cfRule type="cellIs" dxfId="637" priority="56076" operator="notEqual">
      <formula>""</formula>
    </cfRule>
  </conditionalFormatting>
  <conditionalFormatting sqref="J131">
    <cfRule type="cellIs" dxfId="636" priority="56075" operator="notEqual">
      <formula>""</formula>
    </cfRule>
  </conditionalFormatting>
  <conditionalFormatting sqref="K96">
    <cfRule type="cellIs" dxfId="635" priority="56074" operator="notEqual">
      <formula>""</formula>
    </cfRule>
  </conditionalFormatting>
  <conditionalFormatting sqref="R19:R20">
    <cfRule type="expression" dxfId="634" priority="56034">
      <formula>AND(A19=FALSE,R19&lt;&gt;"")</formula>
    </cfRule>
    <cfRule type="cellIs" dxfId="633" priority="56069" operator="notEqual">
      <formula>""</formula>
    </cfRule>
  </conditionalFormatting>
  <conditionalFormatting sqref="R18">
    <cfRule type="expression" dxfId="632" priority="56032">
      <formula>AND(A18=FALSE,$R18&lt;&gt;"")</formula>
    </cfRule>
    <cfRule type="cellIs" dxfId="631" priority="56033" operator="notEqual">
      <formula>""</formula>
    </cfRule>
  </conditionalFormatting>
  <conditionalFormatting sqref="R10:R14">
    <cfRule type="expression" dxfId="630" priority="56030">
      <formula>AND(A10=FALSE,R10&lt;&gt;"")</formula>
    </cfRule>
    <cfRule type="cellIs" dxfId="629" priority="56031" operator="notEqual">
      <formula>""</formula>
    </cfRule>
  </conditionalFormatting>
  <conditionalFormatting sqref="R28">
    <cfRule type="expression" dxfId="628" priority="56026">
      <formula>AND(A28=FALSE,R28&lt;&gt;"")</formula>
    </cfRule>
    <cfRule type="cellIs" dxfId="627" priority="56027" operator="notEqual">
      <formula>""</formula>
    </cfRule>
  </conditionalFormatting>
  <conditionalFormatting sqref="J191:J192">
    <cfRule type="cellIs" dxfId="626" priority="55761" operator="notEqual">
      <formula>""</formula>
    </cfRule>
  </conditionalFormatting>
  <conditionalFormatting sqref="F204:F207">
    <cfRule type="cellIs" dxfId="625" priority="55757" operator="equal">
      <formula>"ERR1"</formula>
    </cfRule>
    <cfRule type="cellIs" dxfId="624" priority="55758" operator="equal">
      <formula>"ERR2"</formula>
    </cfRule>
    <cfRule type="cellIs" dxfId="623" priority="55759" operator="equal">
      <formula>"ERR"</formula>
    </cfRule>
    <cfRule type="cellIs" dxfId="622" priority="55760" operator="equal">
      <formula>"OK"</formula>
    </cfRule>
  </conditionalFormatting>
  <conditionalFormatting sqref="F200:F203">
    <cfRule type="cellIs" dxfId="621" priority="55753" operator="equal">
      <formula>"ERR1"</formula>
    </cfRule>
    <cfRule type="cellIs" dxfId="620" priority="55754" operator="equal">
      <formula>"ERR2"</formula>
    </cfRule>
    <cfRule type="cellIs" dxfId="619" priority="55755" operator="equal">
      <formula>"ERR"</formula>
    </cfRule>
    <cfRule type="cellIs" dxfId="618" priority="55756" operator="equal">
      <formula>"OK"</formula>
    </cfRule>
  </conditionalFormatting>
  <conditionalFormatting sqref="J200">
    <cfRule type="cellIs" dxfId="617" priority="55752" operator="notEqual">
      <formula>""</formula>
    </cfRule>
  </conditionalFormatting>
  <conditionalFormatting sqref="J203">
    <cfRule type="cellIs" dxfId="616" priority="55751" operator="notEqual">
      <formula>""</formula>
    </cfRule>
  </conditionalFormatting>
  <conditionalFormatting sqref="J201">
    <cfRule type="cellIs" dxfId="615" priority="55750" operator="notEqual">
      <formula>""</formula>
    </cfRule>
  </conditionalFormatting>
  <conditionalFormatting sqref="J202">
    <cfRule type="cellIs" dxfId="614" priority="55749" operator="notEqual">
      <formula>""</formula>
    </cfRule>
  </conditionalFormatting>
  <conditionalFormatting sqref="J204">
    <cfRule type="cellIs" dxfId="613" priority="55748" operator="notEqual">
      <formula>""</formula>
    </cfRule>
  </conditionalFormatting>
  <conditionalFormatting sqref="J205">
    <cfRule type="cellIs" dxfId="612" priority="55747" operator="notEqual">
      <formula>""</formula>
    </cfRule>
  </conditionalFormatting>
  <conditionalFormatting sqref="J206">
    <cfRule type="cellIs" dxfId="611" priority="55746" operator="notEqual">
      <formula>""</formula>
    </cfRule>
  </conditionalFormatting>
  <conditionalFormatting sqref="J207">
    <cfRule type="cellIs" dxfId="610" priority="55745" operator="notEqual">
      <formula>""</formula>
    </cfRule>
  </conditionalFormatting>
  <conditionalFormatting sqref="F209:F212">
    <cfRule type="cellIs" dxfId="609" priority="55741" operator="equal">
      <formula>"ERR1"</formula>
    </cfRule>
    <cfRule type="cellIs" dxfId="608" priority="55742" operator="equal">
      <formula>"ERR2"</formula>
    </cfRule>
    <cfRule type="cellIs" dxfId="607" priority="55743" operator="equal">
      <formula>"ERR"</formula>
    </cfRule>
    <cfRule type="cellIs" dxfId="606" priority="55744" operator="equal">
      <formula>"OK"</formula>
    </cfRule>
  </conditionalFormatting>
  <conditionalFormatting sqref="J177">
    <cfRule type="cellIs" dxfId="605" priority="48072" operator="notEqual">
      <formula>""</formula>
    </cfRule>
  </conditionalFormatting>
  <conditionalFormatting sqref="F177:F178">
    <cfRule type="cellIs" dxfId="604" priority="48068" operator="equal">
      <formula>"ERR1"</formula>
    </cfRule>
    <cfRule type="cellIs" dxfId="603" priority="48069" operator="equal">
      <formula>"ERR2"</formula>
    </cfRule>
    <cfRule type="cellIs" dxfId="602" priority="48070" operator="equal">
      <formula>"D"</formula>
    </cfRule>
    <cfRule type="cellIs" dxfId="601" priority="48071" operator="equal">
      <formula>"E"</formula>
    </cfRule>
  </conditionalFormatting>
  <conditionalFormatting sqref="R23:R25">
    <cfRule type="expression" dxfId="600" priority="45247">
      <formula>AND(A23=FALSE,R23&lt;&gt;"")</formula>
    </cfRule>
    <cfRule type="cellIs" dxfId="599" priority="45248" operator="notEqual">
      <formula>""</formula>
    </cfRule>
  </conditionalFormatting>
  <conditionalFormatting sqref="R36">
    <cfRule type="expression" dxfId="598" priority="45241">
      <formula>AND(A36=FALSE,R36&lt;&gt;"")</formula>
    </cfRule>
    <cfRule type="cellIs" dxfId="597" priority="45242" operator="notEqual">
      <formula>""</formula>
    </cfRule>
  </conditionalFormatting>
  <conditionalFormatting sqref="R52:R54">
    <cfRule type="expression" dxfId="596" priority="45239">
      <formula>AND(A52=FALSE,R52&lt;&gt;"")</formula>
    </cfRule>
    <cfRule type="cellIs" dxfId="595" priority="45240" operator="notEqual">
      <formula>""</formula>
    </cfRule>
  </conditionalFormatting>
  <conditionalFormatting sqref="F220">
    <cfRule type="expression" dxfId="594" priority="44216">
      <formula>AND($A213=FALSE,F220&lt;&gt;"")</formula>
    </cfRule>
    <cfRule type="cellIs" dxfId="593" priority="44217" operator="notEqual">
      <formula>""</formula>
    </cfRule>
  </conditionalFormatting>
  <conditionalFormatting sqref="F228">
    <cfRule type="expression" dxfId="592" priority="44214">
      <formula>AND($A221=FALSE,F228&lt;&gt;"")</formula>
    </cfRule>
    <cfRule type="cellIs" dxfId="591" priority="44215" operator="notEqual">
      <formula>""</formula>
    </cfRule>
  </conditionalFormatting>
  <conditionalFormatting sqref="I235:I236">
    <cfRule type="cellIs" dxfId="590" priority="41393" operator="notEqual">
      <formula>""</formula>
    </cfRule>
  </conditionalFormatting>
  <conditionalFormatting sqref="R47:R49">
    <cfRule type="expression" dxfId="589" priority="35401">
      <formula>AND(A47=FALSE,$R47&lt;&gt;"")</formula>
    </cfRule>
    <cfRule type="cellIs" dxfId="588" priority="35402" operator="notEqual">
      <formula>""</formula>
    </cfRule>
  </conditionalFormatting>
  <conditionalFormatting sqref="R61">
    <cfRule type="expression" dxfId="587" priority="35399">
      <formula>AND(A61=FALSE,$R61&lt;&gt;"")</formula>
    </cfRule>
    <cfRule type="cellIs" dxfId="586" priority="35400" operator="notEqual">
      <formula>""</formula>
    </cfRule>
  </conditionalFormatting>
  <conditionalFormatting sqref="R64:R66">
    <cfRule type="expression" dxfId="585" priority="35395">
      <formula>AND(A64=FALSE,R64&lt;&gt;"")</formula>
    </cfRule>
    <cfRule type="cellIs" dxfId="584" priority="35396" operator="notEqual">
      <formula>""</formula>
    </cfRule>
  </conditionalFormatting>
  <conditionalFormatting sqref="R69">
    <cfRule type="expression" dxfId="583" priority="35391">
      <formula>AND(A69=FALSE,$R69&lt;&gt;"")</formula>
    </cfRule>
    <cfRule type="cellIs" dxfId="582" priority="35392" operator="notEqual">
      <formula>""</formula>
    </cfRule>
  </conditionalFormatting>
  <conditionalFormatting sqref="R70:R71">
    <cfRule type="expression" dxfId="581" priority="35389">
      <formula>AND(A70=FALSE,R70&lt;&gt;"")</formula>
    </cfRule>
    <cfRule type="cellIs" dxfId="580" priority="35390" operator="notEqual">
      <formula>""</formula>
    </cfRule>
  </conditionalFormatting>
  <conditionalFormatting sqref="R74:R79">
    <cfRule type="expression" dxfId="579" priority="35387">
      <formula>AND(A74=FALSE,R74&lt;&gt;"")</formula>
    </cfRule>
    <cfRule type="cellIs" dxfId="578" priority="35388" operator="notEqual">
      <formula>""</formula>
    </cfRule>
  </conditionalFormatting>
  <conditionalFormatting sqref="R82:R83">
    <cfRule type="expression" dxfId="577" priority="35385">
      <formula>AND(A82=FALSE,R82&lt;&gt;"")</formula>
    </cfRule>
    <cfRule type="cellIs" dxfId="576" priority="35386" operator="notEqual">
      <formula>""</formula>
    </cfRule>
  </conditionalFormatting>
  <conditionalFormatting sqref="R84">
    <cfRule type="expression" dxfId="575" priority="35383">
      <formula>AND(A84=FALSE,$R84&lt;&gt;"")</formula>
    </cfRule>
    <cfRule type="cellIs" dxfId="574" priority="35384" operator="notEqual">
      <formula>""</formula>
    </cfRule>
  </conditionalFormatting>
  <conditionalFormatting sqref="R85:R86">
    <cfRule type="expression" dxfId="573" priority="35381">
      <formula>AND(A85=FALSE,R85&lt;&gt;"")</formula>
    </cfRule>
    <cfRule type="cellIs" dxfId="572" priority="35382" operator="notEqual">
      <formula>""</formula>
    </cfRule>
  </conditionalFormatting>
  <conditionalFormatting sqref="R96">
    <cfRule type="expression" dxfId="571" priority="35375">
      <formula>AND(A96=FALSE,R96&lt;&gt;"")</formula>
    </cfRule>
    <cfRule type="cellIs" dxfId="570" priority="35376" operator="notEqual">
      <formula>""</formula>
    </cfRule>
  </conditionalFormatting>
  <conditionalFormatting sqref="R107:R109">
    <cfRule type="expression" dxfId="569" priority="35373">
      <formula>AND(A107=FALSE,R107&lt;&gt;"")</formula>
    </cfRule>
    <cfRule type="cellIs" dxfId="568" priority="35374" operator="notEqual">
      <formula>""</formula>
    </cfRule>
  </conditionalFormatting>
  <conditionalFormatting sqref="R112:R117">
    <cfRule type="expression" dxfId="567" priority="35371">
      <formula>AND(A112=FALSE,R112&lt;&gt;"")</formula>
    </cfRule>
    <cfRule type="cellIs" dxfId="566" priority="35372" operator="notEqual">
      <formula>""</formula>
    </cfRule>
  </conditionalFormatting>
  <conditionalFormatting sqref="R119">
    <cfRule type="expression" dxfId="565" priority="35369">
      <formula>AND(A119=FALSE,R119&lt;&gt;"")</formula>
    </cfRule>
    <cfRule type="cellIs" dxfId="564" priority="35370" operator="notEqual">
      <formula>""</formula>
    </cfRule>
  </conditionalFormatting>
  <conditionalFormatting sqref="R128:R130">
    <cfRule type="expression" dxfId="563" priority="35367">
      <formula>AND(A128=FALSE,R128&lt;&gt;"")</formula>
    </cfRule>
    <cfRule type="cellIs" dxfId="562" priority="35368" operator="notEqual">
      <formula>""</formula>
    </cfRule>
  </conditionalFormatting>
  <conditionalFormatting sqref="R131">
    <cfRule type="expression" dxfId="561" priority="35365">
      <formula>AND(A131=FALSE,R131&lt;&gt;"")</formula>
    </cfRule>
    <cfRule type="cellIs" dxfId="560" priority="35366" operator="notEqual">
      <formula>""</formula>
    </cfRule>
  </conditionalFormatting>
  <conditionalFormatting sqref="R125:R127">
    <cfRule type="expression" dxfId="559" priority="35363">
      <formula>AND(A125=FALSE,R125&lt;&gt;"")</formula>
    </cfRule>
    <cfRule type="cellIs" dxfId="558" priority="35364" operator="notEqual">
      <formula>""</formula>
    </cfRule>
  </conditionalFormatting>
  <conditionalFormatting sqref="R91:R92">
    <cfRule type="expression" dxfId="557" priority="26132">
      <formula>AND(A91=FALSE,$R91&lt;&gt;"")</formula>
    </cfRule>
    <cfRule type="cellIs" dxfId="556" priority="26133" operator="notEqual">
      <formula>""</formula>
    </cfRule>
  </conditionalFormatting>
  <conditionalFormatting sqref="R98">
    <cfRule type="expression" dxfId="555" priority="26130">
      <formula>AND(A98=FALSE,$R98&lt;&gt;"")</formula>
    </cfRule>
    <cfRule type="cellIs" dxfId="554" priority="26131" operator="notEqual">
      <formula>""</formula>
    </cfRule>
  </conditionalFormatting>
  <conditionalFormatting sqref="I149:M149">
    <cfRule type="cellIs" dxfId="553" priority="139" operator="equal">
      <formula>"NA"</formula>
    </cfRule>
    <cfRule type="cellIs" dxfId="552" priority="140" operator="equal">
      <formula>"Disabled"</formula>
    </cfRule>
    <cfRule type="cellIs" dxfId="551" priority="141" operator="equal">
      <formula>"Enabled"</formula>
    </cfRule>
  </conditionalFormatting>
  <conditionalFormatting sqref="J156:J157">
    <cfRule type="cellIs" dxfId="550" priority="138" operator="notEqual">
      <formula>""</formula>
    </cfRule>
  </conditionalFormatting>
  <conditionalFormatting sqref="I150">
    <cfRule type="cellIs" dxfId="549" priority="135" operator="equal">
      <formula>"NA"</formula>
    </cfRule>
    <cfRule type="cellIs" dxfId="548" priority="136" operator="equal">
      <formula>"Disabled"</formula>
    </cfRule>
    <cfRule type="cellIs" dxfId="547" priority="137" operator="equal">
      <formula>"Enabled"</formula>
    </cfRule>
  </conditionalFormatting>
  <conditionalFormatting sqref="J150">
    <cfRule type="cellIs" dxfId="546" priority="132" operator="equal">
      <formula>"NA"</formula>
    </cfRule>
    <cfRule type="cellIs" dxfId="545" priority="133" operator="equal">
      <formula>"Disabled"</formula>
    </cfRule>
    <cfRule type="cellIs" dxfId="544" priority="134" operator="equal">
      <formula>"Enabled"</formula>
    </cfRule>
  </conditionalFormatting>
  <conditionalFormatting sqref="K150">
    <cfRule type="cellIs" dxfId="543" priority="129" operator="equal">
      <formula>"NA"</formula>
    </cfRule>
    <cfRule type="cellIs" dxfId="542" priority="130" operator="equal">
      <formula>"Disabled"</formula>
    </cfRule>
    <cfRule type="cellIs" dxfId="541" priority="131" operator="equal">
      <formula>"Enabled"</formula>
    </cfRule>
  </conditionalFormatting>
  <conditionalFormatting sqref="L150">
    <cfRule type="cellIs" dxfId="540" priority="126" operator="equal">
      <formula>"NA"</formula>
    </cfRule>
    <cfRule type="cellIs" dxfId="539" priority="127" operator="equal">
      <formula>"Disabled"</formula>
    </cfRule>
    <cfRule type="cellIs" dxfId="538" priority="128" operator="equal">
      <formula>"Enabled"</formula>
    </cfRule>
  </conditionalFormatting>
  <conditionalFormatting sqref="I151">
    <cfRule type="cellIs" dxfId="537" priority="123" operator="equal">
      <formula>"NA"</formula>
    </cfRule>
    <cfRule type="cellIs" dxfId="536" priority="124" operator="equal">
      <formula>"Disabled"</formula>
    </cfRule>
    <cfRule type="cellIs" dxfId="535" priority="125" operator="equal">
      <formula>"Enabled"</formula>
    </cfRule>
  </conditionalFormatting>
  <conditionalFormatting sqref="I152">
    <cfRule type="cellIs" dxfId="534" priority="120" operator="equal">
      <formula>"NA"</formula>
    </cfRule>
    <cfRule type="cellIs" dxfId="533" priority="121" operator="equal">
      <formula>"Disabled"</formula>
    </cfRule>
    <cfRule type="cellIs" dxfId="532" priority="122" operator="equal">
      <formula>"Enabled"</formula>
    </cfRule>
  </conditionalFormatting>
  <conditionalFormatting sqref="J152">
    <cfRule type="cellIs" dxfId="531" priority="117" operator="equal">
      <formula>"NA"</formula>
    </cfRule>
    <cfRule type="cellIs" dxfId="530" priority="118" operator="equal">
      <formula>"Disabled"</formula>
    </cfRule>
    <cfRule type="cellIs" dxfId="529" priority="119" operator="equal">
      <formula>"Enabled"</formula>
    </cfRule>
  </conditionalFormatting>
  <conditionalFormatting sqref="J151">
    <cfRule type="cellIs" dxfId="528" priority="114" operator="equal">
      <formula>"NA"</formula>
    </cfRule>
    <cfRule type="cellIs" dxfId="527" priority="115" operator="equal">
      <formula>"Disabled"</formula>
    </cfRule>
    <cfRule type="cellIs" dxfId="526" priority="116" operator="equal">
      <formula>"Enabled"</formula>
    </cfRule>
  </conditionalFormatting>
  <conditionalFormatting sqref="K151">
    <cfRule type="cellIs" dxfId="525" priority="111" operator="equal">
      <formula>"NA"</formula>
    </cfRule>
    <cfRule type="cellIs" dxfId="524" priority="112" operator="equal">
      <formula>"Disabled"</formula>
    </cfRule>
    <cfRule type="cellIs" dxfId="523" priority="113" operator="equal">
      <formula>"Enabled"</formula>
    </cfRule>
  </conditionalFormatting>
  <conditionalFormatting sqref="K152">
    <cfRule type="cellIs" dxfId="522" priority="108" operator="equal">
      <formula>"NA"</formula>
    </cfRule>
    <cfRule type="cellIs" dxfId="521" priority="109" operator="equal">
      <formula>"Disabled"</formula>
    </cfRule>
    <cfRule type="cellIs" dxfId="520" priority="110" operator="equal">
      <formula>"Enabled"</formula>
    </cfRule>
  </conditionalFormatting>
  <conditionalFormatting sqref="L152">
    <cfRule type="cellIs" dxfId="519" priority="105" operator="equal">
      <formula>"NA"</formula>
    </cfRule>
    <cfRule type="cellIs" dxfId="518" priority="106" operator="equal">
      <formula>"Disabled"</formula>
    </cfRule>
    <cfRule type="cellIs" dxfId="517" priority="107" operator="equal">
      <formula>"Enabled"</formula>
    </cfRule>
  </conditionalFormatting>
  <conditionalFormatting sqref="L151">
    <cfRule type="cellIs" dxfId="516" priority="102" operator="equal">
      <formula>"NA"</formula>
    </cfRule>
    <cfRule type="cellIs" dxfId="515" priority="103" operator="equal">
      <formula>"Disabled"</formula>
    </cfRule>
    <cfRule type="cellIs" dxfId="514" priority="104" operator="equal">
      <formula>"Enabled"</formula>
    </cfRule>
  </conditionalFormatting>
  <conditionalFormatting sqref="M151">
    <cfRule type="cellIs" dxfId="513" priority="99" operator="equal">
      <formula>"NA"</formula>
    </cfRule>
    <cfRule type="cellIs" dxfId="512" priority="100" operator="equal">
      <formula>"Disabled"</formula>
    </cfRule>
    <cfRule type="cellIs" dxfId="511" priority="101" operator="equal">
      <formula>"Enabled"</formula>
    </cfRule>
  </conditionalFormatting>
  <conditionalFormatting sqref="M152">
    <cfRule type="cellIs" dxfId="510" priority="96" operator="equal">
      <formula>"NA"</formula>
    </cfRule>
    <cfRule type="cellIs" dxfId="509" priority="97" operator="equal">
      <formula>"Disabled"</formula>
    </cfRule>
    <cfRule type="cellIs" dxfId="508" priority="98" operator="equal">
      <formula>"Enabled"</formula>
    </cfRule>
  </conditionalFormatting>
  <conditionalFormatting sqref="M150">
    <cfRule type="cellIs" dxfId="507" priority="93" operator="equal">
      <formula>"NA"</formula>
    </cfRule>
    <cfRule type="cellIs" dxfId="506" priority="94" operator="equal">
      <formula>"Disabled"</formula>
    </cfRule>
    <cfRule type="cellIs" dxfId="505" priority="95" operator="equal">
      <formula>"Enabled"</formula>
    </cfRule>
  </conditionalFormatting>
  <conditionalFormatting sqref="F142:F146">
    <cfRule type="cellIs" dxfId="504" priority="89" operator="equal">
      <formula>"ERR1"</formula>
    </cfRule>
    <cfRule type="cellIs" dxfId="503" priority="90" operator="equal">
      <formula>"ERR2"</formula>
    </cfRule>
    <cfRule type="cellIs" dxfId="502" priority="91" operator="equal">
      <formula>"ERR"</formula>
    </cfRule>
    <cfRule type="cellIs" dxfId="501" priority="92" operator="equal">
      <formula>"OK"</formula>
    </cfRule>
  </conditionalFormatting>
  <conditionalFormatting sqref="J145">
    <cfRule type="cellIs" dxfId="500" priority="88" operator="notEqual">
      <formula>""</formula>
    </cfRule>
  </conditionalFormatting>
  <conditionalFormatting sqref="J146">
    <cfRule type="cellIs" dxfId="499" priority="87" operator="notEqual">
      <formula>""</formula>
    </cfRule>
  </conditionalFormatting>
  <conditionalFormatting sqref="J142:J143">
    <cfRule type="cellIs" dxfId="498" priority="86" operator="notEqual">
      <formula>""</formula>
    </cfRule>
  </conditionalFormatting>
  <conditionalFormatting sqref="J144">
    <cfRule type="cellIs" dxfId="497" priority="85" operator="notEqual">
      <formula>""</formula>
    </cfRule>
  </conditionalFormatting>
  <conditionalFormatting sqref="J155">
    <cfRule type="cellIs" dxfId="496" priority="84" operator="notEqual">
      <formula>""</formula>
    </cfRule>
  </conditionalFormatting>
  <conditionalFormatting sqref="F167">
    <cfRule type="cellIs" dxfId="495" priority="81" operator="greaterThan">
      <formula>90%</formula>
    </cfRule>
    <cfRule type="cellIs" dxfId="494" priority="82" operator="between">
      <formula>1%</formula>
      <formula>30%</formula>
    </cfRule>
    <cfRule type="cellIs" dxfId="493" priority="83" operator="between">
      <formula>30%</formula>
      <formula>90%</formula>
    </cfRule>
  </conditionalFormatting>
  <conditionalFormatting sqref="F165">
    <cfRule type="cellIs" dxfId="492" priority="77" operator="equal">
      <formula>"ERR1"</formula>
    </cfRule>
    <cfRule type="cellIs" dxfId="491" priority="78" operator="equal">
      <formula>"ERR2"</formula>
    </cfRule>
    <cfRule type="cellIs" dxfId="490" priority="79" operator="equal">
      <formula>"ERR"</formula>
    </cfRule>
    <cfRule type="cellIs" dxfId="489" priority="80" operator="equal">
      <formula>"OK"</formula>
    </cfRule>
  </conditionalFormatting>
  <conditionalFormatting sqref="F166">
    <cfRule type="cellIs" priority="73" operator="equal">
      <formula>""</formula>
    </cfRule>
    <cfRule type="cellIs" dxfId="488" priority="74" operator="greaterThan">
      <formula>90%</formula>
    </cfRule>
    <cfRule type="cellIs" dxfId="487" priority="75" operator="lessThan">
      <formula>30%</formula>
    </cfRule>
    <cfRule type="cellIs" dxfId="486" priority="76" operator="between">
      <formula>30%</formula>
      <formula>90%</formula>
    </cfRule>
  </conditionalFormatting>
  <conditionalFormatting sqref="J160">
    <cfRule type="cellIs" dxfId="485" priority="72" operator="notEqual">
      <formula>""</formula>
    </cfRule>
  </conditionalFormatting>
  <conditionalFormatting sqref="R149:V149">
    <cfRule type="cellIs" dxfId="484" priority="69" operator="equal">
      <formula>"NA"</formula>
    </cfRule>
    <cfRule type="cellIs" dxfId="483" priority="70" operator="equal">
      <formula>"Disabled"</formula>
    </cfRule>
    <cfRule type="cellIs" dxfId="482" priority="71" operator="equal">
      <formula>"Enabled"</formula>
    </cfRule>
  </conditionalFormatting>
  <conditionalFormatting sqref="R150">
    <cfRule type="cellIs" dxfId="481" priority="66" operator="equal">
      <formula>"NA"</formula>
    </cfRule>
    <cfRule type="cellIs" dxfId="480" priority="67" operator="equal">
      <formula>"Disabled"</formula>
    </cfRule>
    <cfRule type="cellIs" dxfId="479" priority="68" operator="equal">
      <formula>"Enabled"</formula>
    </cfRule>
  </conditionalFormatting>
  <conditionalFormatting sqref="S150">
    <cfRule type="cellIs" dxfId="478" priority="63" operator="equal">
      <formula>"NA"</formula>
    </cfRule>
    <cfRule type="cellIs" dxfId="477" priority="64" operator="equal">
      <formula>"Disabled"</formula>
    </cfRule>
    <cfRule type="cellIs" dxfId="476" priority="65" operator="equal">
      <formula>"Enabled"</formula>
    </cfRule>
  </conditionalFormatting>
  <conditionalFormatting sqref="T150">
    <cfRule type="cellIs" dxfId="475" priority="60" operator="equal">
      <formula>"NA"</formula>
    </cfRule>
    <cfRule type="cellIs" dxfId="474" priority="61" operator="equal">
      <formula>"Disabled"</formula>
    </cfRule>
    <cfRule type="cellIs" dxfId="473" priority="62" operator="equal">
      <formula>"Enabled"</formula>
    </cfRule>
  </conditionalFormatting>
  <conditionalFormatting sqref="U150">
    <cfRule type="cellIs" dxfId="472" priority="57" operator="equal">
      <formula>"NA"</formula>
    </cfRule>
    <cfRule type="cellIs" dxfId="471" priority="58" operator="equal">
      <formula>"Disabled"</formula>
    </cfRule>
    <cfRule type="cellIs" dxfId="470" priority="59" operator="equal">
      <formula>"Enabled"</formula>
    </cfRule>
  </conditionalFormatting>
  <conditionalFormatting sqref="R151">
    <cfRule type="cellIs" dxfId="469" priority="54" operator="equal">
      <formula>"NA"</formula>
    </cfRule>
    <cfRule type="cellIs" dxfId="468" priority="55" operator="equal">
      <formula>"Disabled"</formula>
    </cfRule>
    <cfRule type="cellIs" dxfId="467" priority="56" operator="equal">
      <formula>"Enabled"</formula>
    </cfRule>
  </conditionalFormatting>
  <conditionalFormatting sqref="R152">
    <cfRule type="cellIs" dxfId="466" priority="51" operator="equal">
      <formula>"NA"</formula>
    </cfRule>
    <cfRule type="cellIs" dxfId="465" priority="52" operator="equal">
      <formula>"Disabled"</formula>
    </cfRule>
    <cfRule type="cellIs" dxfId="464" priority="53" operator="equal">
      <formula>"Enabled"</formula>
    </cfRule>
  </conditionalFormatting>
  <conditionalFormatting sqref="S152">
    <cfRule type="cellIs" dxfId="463" priority="48" operator="equal">
      <formula>"NA"</formula>
    </cfRule>
    <cfRule type="cellIs" dxfId="462" priority="49" operator="equal">
      <formula>"Disabled"</formula>
    </cfRule>
    <cfRule type="cellIs" dxfId="461" priority="50" operator="equal">
      <formula>"Enabled"</formula>
    </cfRule>
  </conditionalFormatting>
  <conditionalFormatting sqref="S151">
    <cfRule type="cellIs" dxfId="460" priority="45" operator="equal">
      <formula>"NA"</formula>
    </cfRule>
    <cfRule type="cellIs" dxfId="459" priority="46" operator="equal">
      <formula>"Disabled"</formula>
    </cfRule>
    <cfRule type="cellIs" dxfId="458" priority="47" operator="equal">
      <formula>"Enabled"</formula>
    </cfRule>
  </conditionalFormatting>
  <conditionalFormatting sqref="T151">
    <cfRule type="cellIs" dxfId="457" priority="42" operator="equal">
      <formula>"NA"</formula>
    </cfRule>
    <cfRule type="cellIs" dxfId="456" priority="43" operator="equal">
      <formula>"Disabled"</formula>
    </cfRule>
    <cfRule type="cellIs" dxfId="455" priority="44" operator="equal">
      <formula>"Enabled"</formula>
    </cfRule>
  </conditionalFormatting>
  <conditionalFormatting sqref="T152">
    <cfRule type="cellIs" dxfId="454" priority="39" operator="equal">
      <formula>"NA"</formula>
    </cfRule>
    <cfRule type="cellIs" dxfId="453" priority="40" operator="equal">
      <formula>"Disabled"</formula>
    </cfRule>
    <cfRule type="cellIs" dxfId="452" priority="41" operator="equal">
      <formula>"Enabled"</formula>
    </cfRule>
  </conditionalFormatting>
  <conditionalFormatting sqref="U152">
    <cfRule type="cellIs" dxfId="451" priority="36" operator="equal">
      <formula>"NA"</formula>
    </cfRule>
    <cfRule type="cellIs" dxfId="450" priority="37" operator="equal">
      <formula>"Disabled"</formula>
    </cfRule>
    <cfRule type="cellIs" dxfId="449" priority="38" operator="equal">
      <formula>"Enabled"</formula>
    </cfRule>
  </conditionalFormatting>
  <conditionalFormatting sqref="U151">
    <cfRule type="cellIs" dxfId="448" priority="33" operator="equal">
      <formula>"NA"</formula>
    </cfRule>
    <cfRule type="cellIs" dxfId="447" priority="34" operator="equal">
      <formula>"Disabled"</formula>
    </cfRule>
    <cfRule type="cellIs" dxfId="446" priority="35" operator="equal">
      <formula>"Enabled"</formula>
    </cfRule>
  </conditionalFormatting>
  <conditionalFormatting sqref="V151">
    <cfRule type="cellIs" dxfId="445" priority="30" operator="equal">
      <formula>"NA"</formula>
    </cfRule>
    <cfRule type="cellIs" dxfId="444" priority="31" operator="equal">
      <formula>"Disabled"</formula>
    </cfRule>
    <cfRule type="cellIs" dxfId="443" priority="32" operator="equal">
      <formula>"Enabled"</formula>
    </cfRule>
  </conditionalFormatting>
  <conditionalFormatting sqref="V152">
    <cfRule type="cellIs" dxfId="442" priority="27" operator="equal">
      <formula>"NA"</formula>
    </cfRule>
    <cfRule type="cellIs" dxfId="441" priority="28" operator="equal">
      <formula>"Disabled"</formula>
    </cfRule>
    <cfRule type="cellIs" dxfId="440" priority="29" operator="equal">
      <formula>"Enabled"</formula>
    </cfRule>
  </conditionalFormatting>
  <conditionalFormatting sqref="V150">
    <cfRule type="cellIs" dxfId="439" priority="24" operator="equal">
      <formula>"NA"</formula>
    </cfRule>
    <cfRule type="cellIs" dxfId="438" priority="25" operator="equal">
      <formula>"Disabled"</formula>
    </cfRule>
    <cfRule type="cellIs" dxfId="437" priority="26" operator="equal">
      <formula>"Enabled"</formula>
    </cfRule>
  </conditionalFormatting>
  <conditionalFormatting sqref="O143:O146">
    <cfRule type="cellIs" dxfId="436" priority="20" operator="equal">
      <formula>"ERR1"</formula>
    </cfRule>
    <cfRule type="cellIs" dxfId="435" priority="21" operator="equal">
      <formula>"ERR2"</formula>
    </cfRule>
    <cfRule type="cellIs" dxfId="434" priority="22" operator="equal">
      <formula>"ERR"</formula>
    </cfRule>
    <cfRule type="cellIs" dxfId="433" priority="23" operator="equal">
      <formula>"OK"</formula>
    </cfRule>
  </conditionalFormatting>
  <conditionalFormatting sqref="S143">
    <cfRule type="cellIs" dxfId="432" priority="19" operator="notEqual">
      <formula>""</formula>
    </cfRule>
  </conditionalFormatting>
  <conditionalFormatting sqref="S144">
    <cfRule type="cellIs" dxfId="431" priority="18" operator="notEqual">
      <formula>""</formula>
    </cfRule>
  </conditionalFormatting>
  <conditionalFormatting sqref="S145">
    <cfRule type="cellIs" dxfId="430" priority="17" operator="notEqual">
      <formula>""</formula>
    </cfRule>
  </conditionalFormatting>
  <conditionalFormatting sqref="S146">
    <cfRule type="cellIs" dxfId="429" priority="16" operator="notEqual">
      <formula>""</formula>
    </cfRule>
  </conditionalFormatting>
  <conditionalFormatting sqref="S156:S157">
    <cfRule type="cellIs" dxfId="428" priority="15" operator="notEqual">
      <formula>""</formula>
    </cfRule>
  </conditionalFormatting>
  <conditionalFormatting sqref="S155">
    <cfRule type="cellIs" dxfId="427" priority="14" operator="notEqual">
      <formula>""</formula>
    </cfRule>
  </conditionalFormatting>
  <conditionalFormatting sqref="O142">
    <cfRule type="cellIs" dxfId="426" priority="10" operator="equal">
      <formula>"ERR1"</formula>
    </cfRule>
    <cfRule type="cellIs" dxfId="425" priority="11" operator="equal">
      <formula>"ERR2"</formula>
    </cfRule>
    <cfRule type="cellIs" dxfId="424" priority="12" operator="equal">
      <formula>"ERR"</formula>
    </cfRule>
    <cfRule type="cellIs" dxfId="423" priority="13" operator="equal">
      <formula>"OK"</formula>
    </cfRule>
  </conditionalFormatting>
  <conditionalFormatting sqref="S142">
    <cfRule type="cellIs" dxfId="422" priority="9" operator="notEqual">
      <formula>""</formula>
    </cfRule>
  </conditionalFormatting>
  <conditionalFormatting sqref="O166:O167">
    <cfRule type="cellIs" dxfId="421" priority="6" operator="greaterThan">
      <formula>90%</formula>
    </cfRule>
    <cfRule type="cellIs" dxfId="420" priority="7" operator="lessThan">
      <formula>30%</formula>
    </cfRule>
    <cfRule type="cellIs" dxfId="419" priority="8" operator="between">
      <formula>30%</formula>
      <formula>90%</formula>
    </cfRule>
  </conditionalFormatting>
  <conditionalFormatting sqref="O165">
    <cfRule type="cellIs" dxfId="418" priority="2" operator="equal">
      <formula>"ERR1"</formula>
    </cfRule>
    <cfRule type="cellIs" dxfId="417" priority="3" operator="equal">
      <formula>"ERR2"</formula>
    </cfRule>
    <cfRule type="cellIs" dxfId="416" priority="4" operator="equal">
      <formula>"ERR"</formula>
    </cfRule>
    <cfRule type="cellIs" dxfId="415" priority="5" operator="equal">
      <formula>"OK"</formula>
    </cfRule>
  </conditionalFormatting>
  <conditionalFormatting sqref="S160">
    <cfRule type="cellIs" dxfId="414" priority="1" operator="notEqual">
      <formula>""</formula>
    </cfRule>
  </conditionalFormatting>
  <dataValidations count="13">
    <dataValidation type="list" allowBlank="1" showInputMessage="1" showErrorMessage="1" sqref="R85" xr:uid="{2D669F4C-D1F8-4B41-ADF0-7ED4408CC545}">
      <formula1>DLIST_INLETLOC</formula1>
    </dataValidation>
    <dataValidation type="list" allowBlank="1" showInputMessage="1" showErrorMessage="1" sqref="R128 R83" xr:uid="{BEA4B74B-4E38-4751-B99E-2C7F0AD6FC6F}">
      <formula1>DLIST_GENSUPTYPE</formula1>
    </dataValidation>
    <dataValidation type="list" allowBlank="1" showInputMessage="1" showErrorMessage="1" sqref="R125" xr:uid="{C7A8349A-FA55-4F18-B3D9-E62FBD71E8C2}">
      <formula1>DLIST_GENOWNER</formula1>
    </dataValidation>
    <dataValidation type="list" allowBlank="1" showInputMessage="1" showErrorMessage="1" sqref="R84" xr:uid="{BA25E0BC-D699-46C6-A73D-6389FF90927E}">
      <formula1>DLIST_GENINLETTYPE</formula1>
    </dataValidation>
    <dataValidation type="list" allowBlank="1" showInputMessage="1" showErrorMessage="1" sqref="R109 R54 R66 R25" xr:uid="{0029D3F0-CD8E-4519-8872-1338CD7B8122}">
      <formula1>DLIST_CURVETYPE</formula1>
    </dataValidation>
    <dataValidation type="list" allowBlank="1" showInputMessage="1" showErrorMessage="1" sqref="R107 R52 R64 R23" xr:uid="{18BEAA4E-896C-4927-8F8F-B6BE6CFD6B82}">
      <formula1>DLIST_SWITCHTYPE</formula1>
    </dataValidation>
    <dataValidation type="list" allowBlank="1" showInputMessage="1" showErrorMessage="1" sqref="R11 R49:T49" xr:uid="{C496682E-35C7-4A8C-98E9-35BD088D759E}">
      <formula1>DLIST_SUPPLYTYPE</formula1>
    </dataValidation>
    <dataValidation type="list" allowBlank="1" showInputMessage="1" showErrorMessage="1" sqref="R10" xr:uid="{5230393E-3E5C-4AB4-863A-2AF54A046BDD}">
      <formula1>DLIST_PAN</formula1>
    </dataValidation>
    <dataValidation type="list" allowBlank="1" showInputMessage="1" showErrorMessage="1" sqref="I235:I236" xr:uid="{5A50B0A0-FC37-4617-849E-1E80D3632EC6}">
      <formula1>DLIST_YN</formula1>
    </dataValidation>
    <dataValidation type="list" allowBlank="1" showInputMessage="1" showErrorMessage="1" sqref="R48:T49" xr:uid="{0EAA790F-A288-4A89-980F-21A98689C9BF}">
      <formula1>DLIST_MSB_TYPE</formula1>
    </dataValidation>
    <dataValidation type="list" allowBlank="1" showInputMessage="1" showErrorMessage="1" sqref="R47 R61" xr:uid="{D2F30D02-8A6A-4859-A883-D50FC7066307}">
      <formula1>DLIST_BOARDLOC</formula1>
    </dataValidation>
    <dataValidation type="list" allowBlank="1" showInputMessage="1" showErrorMessage="1" sqref="R24 R53 R65 R74:R79 R82 R108 R112:R117 R119" xr:uid="{9CF4EC06-7ABF-480F-991A-08FE08CB083A}">
      <formula1>DLIST_CBSIZE</formula1>
    </dataValidation>
    <dataValidation type="list" allowBlank="1" showInputMessage="1" showErrorMessage="1" sqref="R91:T91" xr:uid="{E80F5822-5140-4244-A031-2954A25A1751}">
      <formula1>DLIST_GDZ</formula1>
    </dataValidation>
  </dataValidations>
  <hyperlinks>
    <hyperlink ref="B10" location="'DASH'!A1" display="DASHBOARD" xr:uid="{0D4B2A41-6366-4397-B56D-C80797DEBC25}"/>
    <hyperlink ref="B11" location="'DES-GL'!A1" display="DESIGN GUIDELINES" xr:uid="{F369A275-D9A2-456B-8584-836627A8D57A}"/>
    <hyperlink ref="B13" location="'EXT-MAINS-DT'!A1" display="EXISTING POWER DESIGN" xr:uid="{E4B2EB07-44CE-4145-965F-67157332F5FA}"/>
    <hyperlink ref="B14" location="'EXT-CALC'!A1" display="EXISTING DEMAND" xr:uid="{3612BF92-79CB-4306-9784-188AA197B858}"/>
    <hyperlink ref="B16" location="'CALC'!A1" display="POWER CALCULATOR" xr:uid="{E4138223-EF94-432E-8AB3-ABFBAB9DA1FD}"/>
    <hyperlink ref="B17" location="'PLBC-CALC'!A1" display="PLBC CALCULATOR" xr:uid="{F6AED52D-FBD0-4FF8-B3B1-9E3B4F654ADA}"/>
    <hyperlink ref="B18" location="'VDC'!A1" display="VD CALCULATOR" xr:uid="{361F099A-1179-40FF-9689-B4E287F8B232}"/>
    <hyperlink ref="B20" location="'PRP-SOL'!A1" display="PROPOSED POWER DESIGN" xr:uid="{FDA80507-2F12-455D-AE12-2CFEBEEB58A4}"/>
    <hyperlink ref="B25" location="'DC'!A1" display="DOCUMENT CONTROL" xr:uid="{44D25438-A90A-469C-B925-A610A7A8C219}"/>
  </hyperlinks>
  <pageMargins left="0.70866141732283461" right="0.70866141732283461" top="0.74803149606299213" bottom="0.74803149606299213" header="0.31496062992125984" footer="0.31496062992125984"/>
  <pageSetup paperSize="8" scale="82" fitToHeight="0" orientation="landscape" r:id="rId1"/>
  <headerFooter>
    <oddHeader>&amp;C&amp;"Calibri"&amp;10&amp;K000000 [Confidential]&amp;1#_x000D_</oddHeader>
  </headerFooter>
  <rowBreaks count="5" manualBreakCount="5">
    <brk id="55" max="16383" man="1"/>
    <brk id="102" max="16383" man="1"/>
    <brk id="137" max="16383" man="1"/>
    <brk id="186" max="16383" man="1"/>
    <brk id="23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turntoTop">
                <anchor moveWithCells="1">
                  <from>
                    <xdr:col>15</xdr:col>
                    <xdr:colOff>419100</xdr:colOff>
                    <xdr:row>281</xdr:row>
                    <xdr:rowOff>68580</xdr:rowOff>
                  </from>
                  <to>
                    <xdr:col>17</xdr:col>
                    <xdr:colOff>304800</xdr:colOff>
                    <xdr:row>282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Check Box 5">
              <controlPr defaultSize="0" autoFill="0" autoLine="0" autoPict="0">
                <anchor moveWithCells="1">
                  <from>
                    <xdr:col>16</xdr:col>
                    <xdr:colOff>289560</xdr:colOff>
                    <xdr:row>9</xdr:row>
                    <xdr:rowOff>0</xdr:rowOff>
                  </from>
                  <to>
                    <xdr:col>16</xdr:col>
                    <xdr:colOff>601980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Check Box 7">
              <controlPr defaultSize="0" autoFill="0" autoLine="0" autoPict="0">
                <anchor moveWithCells="1">
                  <from>
                    <xdr:col>16</xdr:col>
                    <xdr:colOff>289560</xdr:colOff>
                    <xdr:row>10</xdr:row>
                    <xdr:rowOff>0</xdr:rowOff>
                  </from>
                  <to>
                    <xdr:col>16</xdr:col>
                    <xdr:colOff>601980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Check Box 8">
              <controlPr defaultSize="0" autoFill="0" autoLine="0" autoPict="0">
                <anchor moveWithCells="1">
                  <from>
                    <xdr:col>16</xdr:col>
                    <xdr:colOff>289560</xdr:colOff>
                    <xdr:row>11</xdr:row>
                    <xdr:rowOff>0</xdr:rowOff>
                  </from>
                  <to>
                    <xdr:col>16</xdr:col>
                    <xdr:colOff>601980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Check Box 9">
              <controlPr defaultSize="0" autoFill="0" autoLine="0" autoPict="0">
                <anchor moveWithCells="1">
                  <from>
                    <xdr:col>16</xdr:col>
                    <xdr:colOff>289560</xdr:colOff>
                    <xdr:row>12</xdr:row>
                    <xdr:rowOff>0</xdr:rowOff>
                  </from>
                  <to>
                    <xdr:col>16</xdr:col>
                    <xdr:colOff>601980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Check Box 10">
              <controlPr defaultSize="0" autoFill="0" autoLine="0" autoPict="0">
                <anchor moveWithCells="1">
                  <from>
                    <xdr:col>16</xdr:col>
                    <xdr:colOff>289560</xdr:colOff>
                    <xdr:row>13</xdr:row>
                    <xdr:rowOff>0</xdr:rowOff>
                  </from>
                  <to>
                    <xdr:col>16</xdr:col>
                    <xdr:colOff>601980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0" name="Check Box 12">
              <controlPr defaultSize="0" autoFill="0" autoLine="0" autoPict="0">
                <anchor moveWithCells="1">
                  <from>
                    <xdr:col>16</xdr:col>
                    <xdr:colOff>289560</xdr:colOff>
                    <xdr:row>17</xdr:row>
                    <xdr:rowOff>0</xdr:rowOff>
                  </from>
                  <to>
                    <xdr:col>16</xdr:col>
                    <xdr:colOff>601980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1" name="Check Box 13">
              <controlPr defaultSize="0" autoFill="0" autoLine="0" autoPict="0">
                <anchor moveWithCells="1">
                  <from>
                    <xdr:col>16</xdr:col>
                    <xdr:colOff>289560</xdr:colOff>
                    <xdr:row>18</xdr:row>
                    <xdr:rowOff>0</xdr:rowOff>
                  </from>
                  <to>
                    <xdr:col>16</xdr:col>
                    <xdr:colOff>601980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2" name="Check Box 14">
              <controlPr defaultSize="0" autoFill="0" autoLine="0" autoPict="0">
                <anchor moveWithCells="1">
                  <from>
                    <xdr:col>16</xdr:col>
                    <xdr:colOff>289560</xdr:colOff>
                    <xdr:row>19</xdr:row>
                    <xdr:rowOff>0</xdr:rowOff>
                  </from>
                  <to>
                    <xdr:col>16</xdr:col>
                    <xdr:colOff>601980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3" name="Check Box 17">
              <controlPr defaultSize="0" autoFill="0" autoLine="0" autoPict="0">
                <anchor moveWithCells="1">
                  <from>
                    <xdr:col>16</xdr:col>
                    <xdr:colOff>289560</xdr:colOff>
                    <xdr:row>22</xdr:row>
                    <xdr:rowOff>0</xdr:rowOff>
                  </from>
                  <to>
                    <xdr:col>16</xdr:col>
                    <xdr:colOff>601980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4" name="Check Box 18">
              <controlPr defaultSize="0" autoFill="0" autoLine="0" autoPict="0">
                <anchor moveWithCells="1">
                  <from>
                    <xdr:col>16</xdr:col>
                    <xdr:colOff>289560</xdr:colOff>
                    <xdr:row>23</xdr:row>
                    <xdr:rowOff>0</xdr:rowOff>
                  </from>
                  <to>
                    <xdr:col>16</xdr:col>
                    <xdr:colOff>601980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5" name="Check Box 19">
              <controlPr defaultSize="0" autoFill="0" autoLine="0" autoPict="0">
                <anchor moveWithCells="1">
                  <from>
                    <xdr:col>16</xdr:col>
                    <xdr:colOff>289560</xdr:colOff>
                    <xdr:row>24</xdr:row>
                    <xdr:rowOff>0</xdr:rowOff>
                  </from>
                  <to>
                    <xdr:col>16</xdr:col>
                    <xdr:colOff>601980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6" name="Check Box 20">
              <controlPr defaultSize="0" autoFill="0" autoLine="0" autoPict="0">
                <anchor moveWithCells="1">
                  <from>
                    <xdr:col>16</xdr:col>
                    <xdr:colOff>289560</xdr:colOff>
                    <xdr:row>26</xdr:row>
                    <xdr:rowOff>175260</xdr:rowOff>
                  </from>
                  <to>
                    <xdr:col>16</xdr:col>
                    <xdr:colOff>601980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 Box 22">
              <controlPr defaultSize="0" autoFill="0" autoLine="0" autoPict="0">
                <anchor moveWithCells="1">
                  <from>
                    <xdr:col>16</xdr:col>
                    <xdr:colOff>289560</xdr:colOff>
                    <xdr:row>34</xdr:row>
                    <xdr:rowOff>190500</xdr:rowOff>
                  </from>
                  <to>
                    <xdr:col>16</xdr:col>
                    <xdr:colOff>601980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8" name="Check Box 24">
              <controlPr defaultSize="0" autoFill="0" autoLine="0" autoPict="0">
                <anchor moveWithCells="1">
                  <from>
                    <xdr:col>16</xdr:col>
                    <xdr:colOff>289560</xdr:colOff>
                    <xdr:row>46</xdr:row>
                    <xdr:rowOff>0</xdr:rowOff>
                  </from>
                  <to>
                    <xdr:col>16</xdr:col>
                    <xdr:colOff>601980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19" name="Check Box 25">
              <controlPr defaultSize="0" autoFill="0" autoLine="0" autoPict="0">
                <anchor moveWithCells="1">
                  <from>
                    <xdr:col>16</xdr:col>
                    <xdr:colOff>289560</xdr:colOff>
                    <xdr:row>47</xdr:row>
                    <xdr:rowOff>0</xdr:rowOff>
                  </from>
                  <to>
                    <xdr:col>16</xdr:col>
                    <xdr:colOff>601980</xdr:colOff>
                    <xdr:row>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0" name="Check Box 31">
              <controlPr defaultSize="0" autoFill="0" autoLine="0" autoPict="0">
                <anchor moveWithCells="1">
                  <from>
                    <xdr:col>16</xdr:col>
                    <xdr:colOff>289560</xdr:colOff>
                    <xdr:row>51</xdr:row>
                    <xdr:rowOff>0</xdr:rowOff>
                  </from>
                  <to>
                    <xdr:col>16</xdr:col>
                    <xdr:colOff>601980</xdr:colOff>
                    <xdr:row>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1" name="Check Box 32">
              <controlPr defaultSize="0" autoFill="0" autoLine="0" autoPict="0">
                <anchor moveWithCells="1">
                  <from>
                    <xdr:col>16</xdr:col>
                    <xdr:colOff>289560</xdr:colOff>
                    <xdr:row>52</xdr:row>
                    <xdr:rowOff>0</xdr:rowOff>
                  </from>
                  <to>
                    <xdr:col>16</xdr:col>
                    <xdr:colOff>601980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2" name="Check Box 33">
              <controlPr defaultSize="0" autoFill="0" autoLine="0" autoPict="0">
                <anchor moveWithCells="1">
                  <from>
                    <xdr:col>16</xdr:col>
                    <xdr:colOff>289560</xdr:colOff>
                    <xdr:row>53</xdr:row>
                    <xdr:rowOff>0</xdr:rowOff>
                  </from>
                  <to>
                    <xdr:col>16</xdr:col>
                    <xdr:colOff>601980</xdr:colOff>
                    <xdr:row>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23" name="Check Box 44">
              <controlPr defaultSize="0" autoFill="0" autoLine="0" autoPict="0">
                <anchor moveWithCells="1">
                  <from>
                    <xdr:col>16</xdr:col>
                    <xdr:colOff>289560</xdr:colOff>
                    <xdr:row>60</xdr:row>
                    <xdr:rowOff>0</xdr:rowOff>
                  </from>
                  <to>
                    <xdr:col>16</xdr:col>
                    <xdr:colOff>601980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24" name="Check Box 46">
              <controlPr defaultSize="0" autoFill="0" autoLine="0" autoPict="0">
                <anchor moveWithCells="1">
                  <from>
                    <xdr:col>16</xdr:col>
                    <xdr:colOff>289560</xdr:colOff>
                    <xdr:row>63</xdr:row>
                    <xdr:rowOff>0</xdr:rowOff>
                  </from>
                  <to>
                    <xdr:col>16</xdr:col>
                    <xdr:colOff>601980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25" name="Check Box 47">
              <controlPr defaultSize="0" autoFill="0" autoLine="0" autoPict="0">
                <anchor moveWithCells="1">
                  <from>
                    <xdr:col>16</xdr:col>
                    <xdr:colOff>289560</xdr:colOff>
                    <xdr:row>64</xdr:row>
                    <xdr:rowOff>0</xdr:rowOff>
                  </from>
                  <to>
                    <xdr:col>16</xdr:col>
                    <xdr:colOff>601980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26" name="Check Box 48">
              <controlPr defaultSize="0" autoFill="0" autoLine="0" autoPict="0">
                <anchor moveWithCells="1">
                  <from>
                    <xdr:col>16</xdr:col>
                    <xdr:colOff>289560</xdr:colOff>
                    <xdr:row>65</xdr:row>
                    <xdr:rowOff>0</xdr:rowOff>
                  </from>
                  <to>
                    <xdr:col>16</xdr:col>
                    <xdr:colOff>601980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27" name="Check Box 50">
              <controlPr defaultSize="0" autoFill="0" autoLine="0" autoPict="0">
                <anchor moveWithCells="1">
                  <from>
                    <xdr:col>16</xdr:col>
                    <xdr:colOff>289560</xdr:colOff>
                    <xdr:row>68</xdr:row>
                    <xdr:rowOff>0</xdr:rowOff>
                  </from>
                  <to>
                    <xdr:col>16</xdr:col>
                    <xdr:colOff>601980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28" name="Check Box 51">
              <controlPr defaultSize="0" autoFill="0" autoLine="0" autoPict="0">
                <anchor moveWithCells="1">
                  <from>
                    <xdr:col>16</xdr:col>
                    <xdr:colOff>289560</xdr:colOff>
                    <xdr:row>69</xdr:row>
                    <xdr:rowOff>0</xdr:rowOff>
                  </from>
                  <to>
                    <xdr:col>16</xdr:col>
                    <xdr:colOff>601980</xdr:colOff>
                    <xdr:row>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29" name="Check Box 52">
              <controlPr defaultSize="0" autoFill="0" autoLine="0" autoPict="0">
                <anchor moveWithCells="1">
                  <from>
                    <xdr:col>16</xdr:col>
                    <xdr:colOff>289560</xdr:colOff>
                    <xdr:row>70</xdr:row>
                    <xdr:rowOff>0</xdr:rowOff>
                  </from>
                  <to>
                    <xdr:col>16</xdr:col>
                    <xdr:colOff>601980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30" name="Check Box 54">
              <controlPr defaultSize="0" autoFill="0" autoLine="0" autoPict="0">
                <anchor moveWithCells="1">
                  <from>
                    <xdr:col>16</xdr:col>
                    <xdr:colOff>289560</xdr:colOff>
                    <xdr:row>73</xdr:row>
                    <xdr:rowOff>0</xdr:rowOff>
                  </from>
                  <to>
                    <xdr:col>16</xdr:col>
                    <xdr:colOff>601980</xdr:colOff>
                    <xdr:row>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31" name="Check Box 55">
              <controlPr defaultSize="0" autoFill="0" autoLine="0" autoPict="0">
                <anchor moveWithCells="1">
                  <from>
                    <xdr:col>16</xdr:col>
                    <xdr:colOff>289560</xdr:colOff>
                    <xdr:row>74</xdr:row>
                    <xdr:rowOff>0</xdr:rowOff>
                  </from>
                  <to>
                    <xdr:col>16</xdr:col>
                    <xdr:colOff>601980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32" name="Check Box 56">
              <controlPr defaultSize="0" autoFill="0" autoLine="0" autoPict="0">
                <anchor moveWithCells="1">
                  <from>
                    <xdr:col>16</xdr:col>
                    <xdr:colOff>289560</xdr:colOff>
                    <xdr:row>75</xdr:row>
                    <xdr:rowOff>0</xdr:rowOff>
                  </from>
                  <to>
                    <xdr:col>16</xdr:col>
                    <xdr:colOff>601980</xdr:colOff>
                    <xdr:row>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33" name="Check Box 57">
              <controlPr defaultSize="0" autoFill="0" autoLine="0" autoPict="0">
                <anchor moveWithCells="1">
                  <from>
                    <xdr:col>16</xdr:col>
                    <xdr:colOff>289560</xdr:colOff>
                    <xdr:row>76</xdr:row>
                    <xdr:rowOff>0</xdr:rowOff>
                  </from>
                  <to>
                    <xdr:col>16</xdr:col>
                    <xdr:colOff>601980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34" name="Check Box 58">
              <controlPr defaultSize="0" autoFill="0" autoLine="0" autoPict="0">
                <anchor moveWithCells="1">
                  <from>
                    <xdr:col>16</xdr:col>
                    <xdr:colOff>289560</xdr:colOff>
                    <xdr:row>77</xdr:row>
                    <xdr:rowOff>0</xdr:rowOff>
                  </from>
                  <to>
                    <xdr:col>16</xdr:col>
                    <xdr:colOff>601980</xdr:colOff>
                    <xdr:row>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35" name="Check Box 59">
              <controlPr defaultSize="0" autoFill="0" autoLine="0" autoPict="0">
                <anchor moveWithCells="1">
                  <from>
                    <xdr:col>16</xdr:col>
                    <xdr:colOff>289560</xdr:colOff>
                    <xdr:row>78</xdr:row>
                    <xdr:rowOff>0</xdr:rowOff>
                  </from>
                  <to>
                    <xdr:col>16</xdr:col>
                    <xdr:colOff>601980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36" name="Check Box 61">
              <controlPr defaultSize="0" autoFill="0" autoLine="0" autoPict="0">
                <anchor moveWithCells="1">
                  <from>
                    <xdr:col>16</xdr:col>
                    <xdr:colOff>289560</xdr:colOff>
                    <xdr:row>81</xdr:row>
                    <xdr:rowOff>0</xdr:rowOff>
                  </from>
                  <to>
                    <xdr:col>16</xdr:col>
                    <xdr:colOff>601980</xdr:colOff>
                    <xdr:row>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37" name="Check Box 62">
              <controlPr defaultSize="0" autoFill="0" autoLine="0" autoPict="0">
                <anchor moveWithCells="1">
                  <from>
                    <xdr:col>16</xdr:col>
                    <xdr:colOff>289560</xdr:colOff>
                    <xdr:row>82</xdr:row>
                    <xdr:rowOff>0</xdr:rowOff>
                  </from>
                  <to>
                    <xdr:col>16</xdr:col>
                    <xdr:colOff>601980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38" name="Check Box 63">
              <controlPr defaultSize="0" autoFill="0" autoLine="0" autoPict="0">
                <anchor moveWithCells="1">
                  <from>
                    <xdr:col>16</xdr:col>
                    <xdr:colOff>289560</xdr:colOff>
                    <xdr:row>83</xdr:row>
                    <xdr:rowOff>0</xdr:rowOff>
                  </from>
                  <to>
                    <xdr:col>16</xdr:col>
                    <xdr:colOff>601980</xdr:colOff>
                    <xdr:row>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39" name="Check Box 64">
              <controlPr defaultSize="0" autoFill="0" autoLine="0" autoPict="0">
                <anchor moveWithCells="1">
                  <from>
                    <xdr:col>16</xdr:col>
                    <xdr:colOff>289560</xdr:colOff>
                    <xdr:row>84</xdr:row>
                    <xdr:rowOff>0</xdr:rowOff>
                  </from>
                  <to>
                    <xdr:col>16</xdr:col>
                    <xdr:colOff>601980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40" name="Check Box 65">
              <controlPr defaultSize="0" autoFill="0" autoLine="0" autoPict="0">
                <anchor moveWithCells="1">
                  <from>
                    <xdr:col>16</xdr:col>
                    <xdr:colOff>289560</xdr:colOff>
                    <xdr:row>85</xdr:row>
                    <xdr:rowOff>0</xdr:rowOff>
                  </from>
                  <to>
                    <xdr:col>16</xdr:col>
                    <xdr:colOff>601980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41" name="Check Box 66">
              <controlPr defaultSize="0" autoFill="0" autoLine="0" autoPict="0">
                <anchor moveWithCells="1">
                  <from>
                    <xdr:col>16</xdr:col>
                    <xdr:colOff>289560</xdr:colOff>
                    <xdr:row>90</xdr:row>
                    <xdr:rowOff>0</xdr:rowOff>
                  </from>
                  <to>
                    <xdr:col>16</xdr:col>
                    <xdr:colOff>601980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42" name="Check Box 67">
              <controlPr defaultSize="0" autoFill="0" autoLine="0" autoPict="0">
                <anchor moveWithCells="1">
                  <from>
                    <xdr:col>16</xdr:col>
                    <xdr:colOff>289560</xdr:colOff>
                    <xdr:row>95</xdr:row>
                    <xdr:rowOff>0</xdr:rowOff>
                  </from>
                  <to>
                    <xdr:col>16</xdr:col>
                    <xdr:colOff>601980</xdr:colOff>
                    <xdr:row>96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43" name="Check Box 68">
              <controlPr defaultSize="0" autoFill="0" autoLine="0" autoPict="0">
                <anchor moveWithCells="1">
                  <from>
                    <xdr:col>16</xdr:col>
                    <xdr:colOff>289560</xdr:colOff>
                    <xdr:row>97</xdr:row>
                    <xdr:rowOff>0</xdr:rowOff>
                  </from>
                  <to>
                    <xdr:col>16</xdr:col>
                    <xdr:colOff>601980</xdr:colOff>
                    <xdr:row>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44" name="Check Box 70">
              <controlPr defaultSize="0" autoFill="0" autoLine="0" autoPict="0">
                <anchor moveWithCells="1">
                  <from>
                    <xdr:col>16</xdr:col>
                    <xdr:colOff>289560</xdr:colOff>
                    <xdr:row>106</xdr:row>
                    <xdr:rowOff>0</xdr:rowOff>
                  </from>
                  <to>
                    <xdr:col>16</xdr:col>
                    <xdr:colOff>601980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45" name="Check Box 71">
              <controlPr defaultSize="0" autoFill="0" autoLine="0" autoPict="0">
                <anchor moveWithCells="1">
                  <from>
                    <xdr:col>16</xdr:col>
                    <xdr:colOff>289560</xdr:colOff>
                    <xdr:row>107</xdr:row>
                    <xdr:rowOff>0</xdr:rowOff>
                  </from>
                  <to>
                    <xdr:col>16</xdr:col>
                    <xdr:colOff>601980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46" name="Check Box 72">
              <controlPr defaultSize="0" autoFill="0" autoLine="0" autoPict="0">
                <anchor moveWithCells="1">
                  <from>
                    <xdr:col>16</xdr:col>
                    <xdr:colOff>289560</xdr:colOff>
                    <xdr:row>108</xdr:row>
                    <xdr:rowOff>0</xdr:rowOff>
                  </from>
                  <to>
                    <xdr:col>16</xdr:col>
                    <xdr:colOff>601980</xdr:colOff>
                    <xdr:row>109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47" name="Check Box 74">
              <controlPr defaultSize="0" autoFill="0" autoLine="0" autoPict="0">
                <anchor moveWithCells="1">
                  <from>
                    <xdr:col>16</xdr:col>
                    <xdr:colOff>289560</xdr:colOff>
                    <xdr:row>111</xdr:row>
                    <xdr:rowOff>0</xdr:rowOff>
                  </from>
                  <to>
                    <xdr:col>16</xdr:col>
                    <xdr:colOff>601980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48" name="Check Box 75">
              <controlPr defaultSize="0" autoFill="0" autoLine="0" autoPict="0">
                <anchor moveWithCells="1">
                  <from>
                    <xdr:col>16</xdr:col>
                    <xdr:colOff>289560</xdr:colOff>
                    <xdr:row>112</xdr:row>
                    <xdr:rowOff>0</xdr:rowOff>
                  </from>
                  <to>
                    <xdr:col>16</xdr:col>
                    <xdr:colOff>601980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49" name="Check Box 76">
              <controlPr defaultSize="0" autoFill="0" autoLine="0" autoPict="0">
                <anchor moveWithCells="1">
                  <from>
                    <xdr:col>16</xdr:col>
                    <xdr:colOff>289560</xdr:colOff>
                    <xdr:row>113</xdr:row>
                    <xdr:rowOff>0</xdr:rowOff>
                  </from>
                  <to>
                    <xdr:col>16</xdr:col>
                    <xdr:colOff>601980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50" name="Check Box 77">
              <controlPr defaultSize="0" autoFill="0" autoLine="0" autoPict="0">
                <anchor moveWithCells="1">
                  <from>
                    <xdr:col>16</xdr:col>
                    <xdr:colOff>289560</xdr:colOff>
                    <xdr:row>114</xdr:row>
                    <xdr:rowOff>0</xdr:rowOff>
                  </from>
                  <to>
                    <xdr:col>16</xdr:col>
                    <xdr:colOff>601980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51" name="Check Box 78">
              <controlPr defaultSize="0" autoFill="0" autoLine="0" autoPict="0">
                <anchor moveWithCells="1">
                  <from>
                    <xdr:col>16</xdr:col>
                    <xdr:colOff>289560</xdr:colOff>
                    <xdr:row>115</xdr:row>
                    <xdr:rowOff>0</xdr:rowOff>
                  </from>
                  <to>
                    <xdr:col>16</xdr:col>
                    <xdr:colOff>601980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52" name="Check Box 79">
              <controlPr defaultSize="0" autoFill="0" autoLine="0" autoPict="0">
                <anchor moveWithCells="1">
                  <from>
                    <xdr:col>16</xdr:col>
                    <xdr:colOff>289560</xdr:colOff>
                    <xdr:row>116</xdr:row>
                    <xdr:rowOff>0</xdr:rowOff>
                  </from>
                  <to>
                    <xdr:col>16</xdr:col>
                    <xdr:colOff>601980</xdr:colOff>
                    <xdr:row>117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53" name="Check Box 80">
              <controlPr defaultSize="0" autoFill="0" autoLine="0" autoPict="0">
                <anchor moveWithCells="1">
                  <from>
                    <xdr:col>16</xdr:col>
                    <xdr:colOff>289560</xdr:colOff>
                    <xdr:row>118</xdr:row>
                    <xdr:rowOff>0</xdr:rowOff>
                  </from>
                  <to>
                    <xdr:col>16</xdr:col>
                    <xdr:colOff>601980</xdr:colOff>
                    <xdr:row>119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54" name="Check Box 82">
              <controlPr defaultSize="0" autoFill="0" autoLine="0" autoPict="0">
                <anchor moveWithCells="1">
                  <from>
                    <xdr:col>16</xdr:col>
                    <xdr:colOff>289560</xdr:colOff>
                    <xdr:row>124</xdr:row>
                    <xdr:rowOff>0</xdr:rowOff>
                  </from>
                  <to>
                    <xdr:col>16</xdr:col>
                    <xdr:colOff>601980</xdr:colOff>
                    <xdr:row>125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55" name="Check Box 83">
              <controlPr defaultSize="0" autoFill="0" autoLine="0" autoPict="0">
                <anchor moveWithCells="1">
                  <from>
                    <xdr:col>16</xdr:col>
                    <xdr:colOff>289560</xdr:colOff>
                    <xdr:row>125</xdr:row>
                    <xdr:rowOff>0</xdr:rowOff>
                  </from>
                  <to>
                    <xdr:col>16</xdr:col>
                    <xdr:colOff>601980</xdr:colOff>
                    <xdr:row>126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56" name="Check Box 84">
              <controlPr defaultSize="0" autoFill="0" autoLine="0" autoPict="0">
                <anchor moveWithCells="1">
                  <from>
                    <xdr:col>16</xdr:col>
                    <xdr:colOff>289560</xdr:colOff>
                    <xdr:row>126</xdr:row>
                    <xdr:rowOff>0</xdr:rowOff>
                  </from>
                  <to>
                    <xdr:col>16</xdr:col>
                    <xdr:colOff>601980</xdr:colOff>
                    <xdr:row>127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57" name="Check Box 85">
              <controlPr defaultSize="0" autoFill="0" autoLine="0" autoPict="0">
                <anchor moveWithCells="1">
                  <from>
                    <xdr:col>16</xdr:col>
                    <xdr:colOff>289560</xdr:colOff>
                    <xdr:row>127</xdr:row>
                    <xdr:rowOff>0</xdr:rowOff>
                  </from>
                  <to>
                    <xdr:col>16</xdr:col>
                    <xdr:colOff>601980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58" name="Check Box 86">
              <controlPr defaultSize="0" autoFill="0" autoLine="0" autoPict="0">
                <anchor moveWithCells="1">
                  <from>
                    <xdr:col>16</xdr:col>
                    <xdr:colOff>289560</xdr:colOff>
                    <xdr:row>128</xdr:row>
                    <xdr:rowOff>0</xdr:rowOff>
                  </from>
                  <to>
                    <xdr:col>16</xdr:col>
                    <xdr:colOff>601980</xdr:colOff>
                    <xdr:row>129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59" name="Check Box 87">
              <controlPr defaultSize="0" autoFill="0" autoLine="0" autoPict="0">
                <anchor moveWithCells="1">
                  <from>
                    <xdr:col>16</xdr:col>
                    <xdr:colOff>289560</xdr:colOff>
                    <xdr:row>129</xdr:row>
                    <xdr:rowOff>0</xdr:rowOff>
                  </from>
                  <to>
                    <xdr:col>16</xdr:col>
                    <xdr:colOff>601980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60" name="Check Box 88">
              <controlPr defaultSize="0" autoFill="0" autoLine="0" autoPict="0">
                <anchor moveWithCells="1">
                  <from>
                    <xdr:col>16</xdr:col>
                    <xdr:colOff>289560</xdr:colOff>
                    <xdr:row>130</xdr:row>
                    <xdr:rowOff>0</xdr:rowOff>
                  </from>
                  <to>
                    <xdr:col>16</xdr:col>
                    <xdr:colOff>601980</xdr:colOff>
                    <xdr:row>131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61" name="Button 93">
              <controlPr defaultSize="0" print="0" autoFill="0" autoPict="0" macro="[0]!AC_PSD">
                <anchor moveWithCells="1">
                  <from>
                    <xdr:col>16</xdr:col>
                    <xdr:colOff>228600</xdr:colOff>
                    <xdr:row>7</xdr:row>
                    <xdr:rowOff>190500</xdr:rowOff>
                  </from>
                  <to>
                    <xdr:col>16</xdr:col>
                    <xdr:colOff>525780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62" name="Button 104">
              <controlPr defaultSize="0" print="0" autoFill="0" autoPict="0" macro="[0]!MSB">
                <anchor moveWithCells="1">
                  <from>
                    <xdr:col>16</xdr:col>
                    <xdr:colOff>228600</xdr:colOff>
                    <xdr:row>44</xdr:row>
                    <xdr:rowOff>190500</xdr:rowOff>
                  </from>
                  <to>
                    <xdr:col>16</xdr:col>
                    <xdr:colOff>525780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63" name="Button 105">
              <controlPr defaultSize="0" print="0" autoFill="0" autoPict="0" macro="[0]!IEB">
                <anchor moveWithCells="1">
                  <from>
                    <xdr:col>16</xdr:col>
                    <xdr:colOff>228600</xdr:colOff>
                    <xdr:row>58</xdr:row>
                    <xdr:rowOff>190500</xdr:rowOff>
                  </from>
                  <to>
                    <xdr:col>16</xdr:col>
                    <xdr:colOff>525780</xdr:colOff>
                    <xdr:row>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64" name="Button 106">
              <controlPr defaultSize="0" print="0" autoFill="0" autoPict="0" macro="[0]!IDB">
                <anchor moveWithCells="1">
                  <from>
                    <xdr:col>16</xdr:col>
                    <xdr:colOff>228600</xdr:colOff>
                    <xdr:row>104</xdr:row>
                    <xdr:rowOff>190500</xdr:rowOff>
                  </from>
                  <to>
                    <xdr:col>16</xdr:col>
                    <xdr:colOff>525780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65" name="Button 107">
              <controlPr defaultSize="0" print="0" autoFill="0" autoPict="0" macro="[0]!PGA">
                <anchor moveWithCells="1">
                  <from>
                    <xdr:col>16</xdr:col>
                    <xdr:colOff>228600</xdr:colOff>
                    <xdr:row>122</xdr:row>
                    <xdr:rowOff>182880</xdr:rowOff>
                  </from>
                  <to>
                    <xdr:col>16</xdr:col>
                    <xdr:colOff>525780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66" name="Button 133">
              <controlPr defaultSize="0" print="0" autoFill="0" autoPict="0" macro="[0]!Reset_ACPDS">
                <anchor moveWithCells="1">
                  <from>
                    <xdr:col>23</xdr:col>
                    <xdr:colOff>30480</xdr:colOff>
                    <xdr:row>6</xdr:row>
                    <xdr:rowOff>137160</xdr:rowOff>
                  </from>
                  <to>
                    <xdr:col>25</xdr:col>
                    <xdr:colOff>190500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67" name="Check Box 153">
              <controlPr defaultSize="0" autoFill="0" autoLine="0" autoPict="0">
                <anchor moveWithCells="1">
                  <from>
                    <xdr:col>16</xdr:col>
                    <xdr:colOff>289560</xdr:colOff>
                    <xdr:row>48</xdr:row>
                    <xdr:rowOff>0</xdr:rowOff>
                  </from>
                  <to>
                    <xdr:col>16</xdr:col>
                    <xdr:colOff>601980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r:id="rId68" name="Button 174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6</xdr:row>
                    <xdr:rowOff>114300</xdr:rowOff>
                  </from>
                  <to>
                    <xdr:col>4</xdr:col>
                    <xdr:colOff>297180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r:id="rId69" name="Button 175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6</xdr:row>
                    <xdr:rowOff>114300</xdr:rowOff>
                  </from>
                  <to>
                    <xdr:col>4</xdr:col>
                    <xdr:colOff>556260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r:id="rId70" name="Button 176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43</xdr:row>
                    <xdr:rowOff>114300</xdr:rowOff>
                  </from>
                  <to>
                    <xdr:col>4</xdr:col>
                    <xdr:colOff>297180</xdr:colOff>
                    <xdr:row>44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r:id="rId71" name="Button 177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43</xdr:row>
                    <xdr:rowOff>114300</xdr:rowOff>
                  </from>
                  <to>
                    <xdr:col>4</xdr:col>
                    <xdr:colOff>556260</xdr:colOff>
                    <xdr:row>44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r:id="rId72" name="Button 178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56</xdr:row>
                    <xdr:rowOff>114300</xdr:rowOff>
                  </from>
                  <to>
                    <xdr:col>4</xdr:col>
                    <xdr:colOff>297180</xdr:colOff>
                    <xdr:row>57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73" name="Button 179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56</xdr:row>
                    <xdr:rowOff>114300</xdr:rowOff>
                  </from>
                  <to>
                    <xdr:col>4</xdr:col>
                    <xdr:colOff>556260</xdr:colOff>
                    <xdr:row>57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r:id="rId74" name="Button 182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121</xdr:row>
                    <xdr:rowOff>114300</xdr:rowOff>
                  </from>
                  <to>
                    <xdr:col>4</xdr:col>
                    <xdr:colOff>297180</xdr:colOff>
                    <xdr:row>122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3" r:id="rId75" name="Button 183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121</xdr:row>
                    <xdr:rowOff>114300</xdr:rowOff>
                  </from>
                  <to>
                    <xdr:col>4</xdr:col>
                    <xdr:colOff>556260</xdr:colOff>
                    <xdr:row>122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4" r:id="rId76" name="Button 184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138</xdr:row>
                    <xdr:rowOff>114300</xdr:rowOff>
                  </from>
                  <to>
                    <xdr:col>4</xdr:col>
                    <xdr:colOff>297180</xdr:colOff>
                    <xdr:row>139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5" r:id="rId77" name="Button 185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138</xdr:row>
                    <xdr:rowOff>114300</xdr:rowOff>
                  </from>
                  <to>
                    <xdr:col>4</xdr:col>
                    <xdr:colOff>556260</xdr:colOff>
                    <xdr:row>139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6" r:id="rId78" name="Button 186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173</xdr:row>
                    <xdr:rowOff>114300</xdr:rowOff>
                  </from>
                  <to>
                    <xdr:col>4</xdr:col>
                    <xdr:colOff>297180</xdr:colOff>
                    <xdr:row>174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7" r:id="rId79" name="Button 187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173</xdr:row>
                    <xdr:rowOff>114300</xdr:rowOff>
                  </from>
                  <to>
                    <xdr:col>4</xdr:col>
                    <xdr:colOff>556260</xdr:colOff>
                    <xdr:row>174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8" r:id="rId80" name="Button 188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196</xdr:row>
                    <xdr:rowOff>114300</xdr:rowOff>
                  </from>
                  <to>
                    <xdr:col>4</xdr:col>
                    <xdr:colOff>297180</xdr:colOff>
                    <xdr:row>197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9" r:id="rId81" name="Button 189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196</xdr:row>
                    <xdr:rowOff>114300</xdr:rowOff>
                  </from>
                  <to>
                    <xdr:col>4</xdr:col>
                    <xdr:colOff>556260</xdr:colOff>
                    <xdr:row>197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0" r:id="rId82" name="Button 190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216</xdr:row>
                    <xdr:rowOff>114300</xdr:rowOff>
                  </from>
                  <to>
                    <xdr:col>4</xdr:col>
                    <xdr:colOff>297180</xdr:colOff>
                    <xdr:row>217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1" r:id="rId83" name="Button 191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216</xdr:row>
                    <xdr:rowOff>114300</xdr:rowOff>
                  </from>
                  <to>
                    <xdr:col>4</xdr:col>
                    <xdr:colOff>556260</xdr:colOff>
                    <xdr:row>217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r:id="rId84" name="Button 192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240</xdr:row>
                    <xdr:rowOff>114300</xdr:rowOff>
                  </from>
                  <to>
                    <xdr:col>4</xdr:col>
                    <xdr:colOff>297180</xdr:colOff>
                    <xdr:row>241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3" r:id="rId85" name="Button 193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240</xdr:row>
                    <xdr:rowOff>114300</xdr:rowOff>
                  </from>
                  <to>
                    <xdr:col>4</xdr:col>
                    <xdr:colOff>556260</xdr:colOff>
                    <xdr:row>241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" r:id="rId86" name="Button 206">
              <controlPr defaultSize="0" print="0" autoFill="0" autoPict="0" macro="[0]!Verify">
                <anchor moveWithCells="1">
                  <from>
                    <xdr:col>6</xdr:col>
                    <xdr:colOff>114300</xdr:colOff>
                    <xdr:row>248</xdr:row>
                    <xdr:rowOff>182880</xdr:rowOff>
                  </from>
                  <to>
                    <xdr:col>8</xdr:col>
                    <xdr:colOff>0</xdr:colOff>
                    <xdr:row>250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8" r:id="rId87" name="Button 208">
              <controlPr defaultSize="0" print="0" autoFill="0" autoPict="0" macro="[0]!SavetoPDF">
                <anchor moveWithCells="1">
                  <from>
                    <xdr:col>9</xdr:col>
                    <xdr:colOff>99060</xdr:colOff>
                    <xdr:row>248</xdr:row>
                    <xdr:rowOff>182880</xdr:rowOff>
                  </from>
                  <to>
                    <xdr:col>10</xdr:col>
                    <xdr:colOff>594360</xdr:colOff>
                    <xdr:row>250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" r:id="rId88" name="Check Box 213">
              <controlPr defaultSize="0" autoFill="0" autoLine="0" autoPict="0">
                <anchor moveWithCells="1">
                  <from>
                    <xdr:col>16</xdr:col>
                    <xdr:colOff>289560</xdr:colOff>
                    <xdr:row>91</xdr:row>
                    <xdr:rowOff>0</xdr:rowOff>
                  </from>
                  <to>
                    <xdr:col>16</xdr:col>
                    <xdr:colOff>601980</xdr:colOff>
                    <xdr:row>92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502E8-AD42-4FF9-9BFE-D061424459D5}">
  <sheetPr codeName="Sheet46">
    <tabColor rgb="FF00A3AD"/>
  </sheetPr>
  <dimension ref="B1:AT155"/>
  <sheetViews>
    <sheetView showGridLines="0" topLeftCell="E67" zoomScaleNormal="100" workbookViewId="0">
      <selection activeCell="V14" sqref="V14"/>
    </sheetView>
  </sheetViews>
  <sheetFormatPr defaultRowHeight="14.45"/>
  <cols>
    <col min="1" max="1" width="0" hidden="1" customWidth="1"/>
    <col min="2" max="4" width="9.28515625" style="1"/>
    <col min="6" max="6" width="5" customWidth="1"/>
    <col min="7" max="14" width="8.28515625" customWidth="1"/>
    <col min="15" max="15" width="2.7109375" customWidth="1"/>
    <col min="16" max="16" width="5" customWidth="1"/>
    <col min="17" max="24" width="8.28515625" customWidth="1"/>
    <col min="25" max="25" width="2.7109375" customWidth="1"/>
    <col min="26" max="26" width="5" customWidth="1"/>
    <col min="27" max="34" width="8.28515625" customWidth="1"/>
  </cols>
  <sheetData>
    <row r="1" spans="2:35" ht="16.5" hidden="1" customHeight="1"/>
    <row r="2" spans="2:35" ht="16.5" customHeight="1">
      <c r="F2" s="287" t="s">
        <v>162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6"/>
      <c r="R2" s="286"/>
      <c r="S2" s="286"/>
      <c r="T2" s="286"/>
    </row>
    <row r="3" spans="2:35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6"/>
      <c r="R3" s="286"/>
      <c r="S3" s="286"/>
      <c r="T3" s="286"/>
    </row>
    <row r="4" spans="2:35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6"/>
      <c r="R4" s="286"/>
      <c r="S4" s="286"/>
      <c r="T4" s="286"/>
    </row>
    <row r="5" spans="2:35" ht="16.5" customHeight="1">
      <c r="F5" s="219" t="s">
        <v>539</v>
      </c>
      <c r="Y5" s="190"/>
      <c r="AA5" s="190"/>
    </row>
    <row r="6" spans="2:35" ht="16.5" customHeight="1"/>
    <row r="7" spans="2:35" ht="16.5" customHeight="1">
      <c r="C7" s="2" t="s">
        <v>152</v>
      </c>
      <c r="D7" s="12">
        <f>DCVer</f>
        <v>12.7</v>
      </c>
      <c r="F7" s="292" t="s">
        <v>350</v>
      </c>
      <c r="G7" s="292"/>
      <c r="H7" s="292"/>
      <c r="I7" s="292"/>
      <c r="J7" s="292"/>
      <c r="K7" s="292"/>
      <c r="L7" s="292"/>
    </row>
    <row r="8" spans="2:35" ht="16.5" customHeight="1">
      <c r="F8" s="292"/>
      <c r="G8" s="292"/>
      <c r="H8" s="292"/>
      <c r="I8" s="292"/>
      <c r="J8" s="292"/>
      <c r="K8" s="292"/>
      <c r="L8" s="292"/>
    </row>
    <row r="9" spans="2:35" ht="16.5" customHeight="1">
      <c r="B9" s="285"/>
      <c r="C9" s="285"/>
      <c r="D9" s="285"/>
      <c r="F9" s="366" t="s">
        <v>351</v>
      </c>
      <c r="G9" s="366"/>
      <c r="H9" s="367" t="s">
        <v>157</v>
      </c>
      <c r="I9" s="368"/>
      <c r="J9" s="16" t="s">
        <v>158</v>
      </c>
      <c r="K9" s="361" t="s">
        <v>352</v>
      </c>
      <c r="L9" s="362"/>
      <c r="M9" s="375" t="s">
        <v>353</v>
      </c>
      <c r="N9" s="376"/>
      <c r="O9" s="16"/>
      <c r="P9" s="366" t="s">
        <v>354</v>
      </c>
      <c r="Q9" s="366"/>
      <c r="R9" s="367" t="s">
        <v>355</v>
      </c>
      <c r="S9" s="368"/>
      <c r="T9" s="16" t="s">
        <v>158</v>
      </c>
      <c r="U9" s="361" t="s">
        <v>356</v>
      </c>
      <c r="V9" s="362"/>
      <c r="W9" s="361" t="s">
        <v>353</v>
      </c>
      <c r="X9" s="362"/>
      <c r="Y9" s="16" t="s">
        <v>158</v>
      </c>
      <c r="Z9" s="366" t="s">
        <v>354</v>
      </c>
      <c r="AA9" s="366"/>
      <c r="AB9" s="367" t="s">
        <v>157</v>
      </c>
      <c r="AC9" s="368"/>
      <c r="AD9" s="16" t="s">
        <v>158</v>
      </c>
      <c r="AE9" s="361" t="s">
        <v>357</v>
      </c>
      <c r="AF9" s="362"/>
      <c r="AG9" s="361" t="s">
        <v>358</v>
      </c>
      <c r="AH9" s="362"/>
      <c r="AI9" s="16" t="s">
        <v>158</v>
      </c>
    </row>
    <row r="10" spans="2:35" ht="16.5" customHeight="1">
      <c r="B10" s="285" t="s">
        <v>151</v>
      </c>
      <c r="C10" s="285"/>
      <c r="D10" s="285"/>
      <c r="F10" s="64" t="s">
        <v>359</v>
      </c>
      <c r="G10" s="363" t="s">
        <v>360</v>
      </c>
      <c r="H10" s="364"/>
      <c r="I10" s="364"/>
      <c r="J10" s="365"/>
      <c r="K10" s="19" t="s">
        <v>361</v>
      </c>
      <c r="L10" s="19" t="s">
        <v>362</v>
      </c>
      <c r="M10" s="19" t="s">
        <v>363</v>
      </c>
      <c r="N10" s="19" t="s">
        <v>364</v>
      </c>
      <c r="P10" s="64" t="s">
        <v>359</v>
      </c>
      <c r="Q10" s="363" t="s">
        <v>360</v>
      </c>
      <c r="R10" s="364"/>
      <c r="S10" s="364"/>
      <c r="T10" s="365"/>
      <c r="U10" s="19" t="s">
        <v>361</v>
      </c>
      <c r="V10" s="19" t="s">
        <v>362</v>
      </c>
      <c r="W10" s="19" t="s">
        <v>363</v>
      </c>
      <c r="X10" s="19" t="s">
        <v>364</v>
      </c>
      <c r="Z10" s="64" t="s">
        <v>359</v>
      </c>
      <c r="AA10" s="363" t="s">
        <v>360</v>
      </c>
      <c r="AB10" s="364"/>
      <c r="AC10" s="364"/>
      <c r="AD10" s="365"/>
      <c r="AE10" s="19" t="s">
        <v>361</v>
      </c>
      <c r="AF10" s="19" t="s">
        <v>362</v>
      </c>
      <c r="AG10" s="19" t="s">
        <v>363</v>
      </c>
      <c r="AH10" s="19" t="s">
        <v>364</v>
      </c>
    </row>
    <row r="11" spans="2:35" ht="16.5" customHeight="1">
      <c r="B11" s="285" t="s">
        <v>155</v>
      </c>
      <c r="C11" s="285"/>
      <c r="D11" s="285"/>
      <c r="F11" s="133" t="str" cm="1">
        <f t="array" aca="1" ref="F11" ca="1">IF(SUMPRODUCT(--ISNUMBER(SEARCH(DLIST_SONTU,G11)))&gt;0,"SON","")</f>
        <v/>
      </c>
      <c r="G11" s="354"/>
      <c r="H11" s="355"/>
      <c r="I11" s="355"/>
      <c r="J11" s="356"/>
      <c r="K11" s="202"/>
      <c r="L11" s="202"/>
      <c r="M11" s="20" t="str">
        <f t="shared" ref="M11:M35" si="0">IFERROR((VLOOKUP(G11,DB_RANEQ,5,0))*L11,"")</f>
        <v/>
      </c>
      <c r="N11" s="21" t="str">
        <f t="shared" ref="N11:N35" si="1">IFERROR((VLOOKUP(G11,DB_RANEQ,6,0))*L11,"")</f>
        <v/>
      </c>
      <c r="P11" s="133" t="str" cm="1">
        <f t="array" aca="1" ref="P11" ca="1">IF(SUMPRODUCT(--ISNUMBER(SEARCH(DLIST_SONTU,Q11)))&gt;0,"SON","")</f>
        <v/>
      </c>
      <c r="Q11" s="354"/>
      <c r="R11" s="355"/>
      <c r="S11" s="355"/>
      <c r="T11" s="356"/>
      <c r="U11" s="202"/>
      <c r="V11" s="202"/>
      <c r="W11" s="20" t="str">
        <f t="shared" ref="W11:W35" si="2">IFERROR((VLOOKUP(Q11,DB_RANEQ,5,0))*V11,"")</f>
        <v/>
      </c>
      <c r="X11" s="21" t="str">
        <f t="shared" ref="X11:X35" si="3">IFERROR((VLOOKUP(Q11,DB_RANEQ,6,0))*V11,"")</f>
        <v/>
      </c>
      <c r="Z11" s="133" t="str" cm="1">
        <f t="array" aca="1" ref="Z11" ca="1">IF(SUMPRODUCT(--ISNUMBER(SEARCH(DLIST_SONTU,AA11)))&gt;0,"SON","")</f>
        <v/>
      </c>
      <c r="AA11" s="354"/>
      <c r="AB11" s="355"/>
      <c r="AC11" s="355"/>
      <c r="AD11" s="356"/>
      <c r="AE11" s="202"/>
      <c r="AF11" s="202"/>
      <c r="AG11" s="20" t="str">
        <f t="shared" ref="AG11:AG35" si="4">IFERROR((VLOOKUP(AA11,DB_RANEQ,5,0))*AF11,"")</f>
        <v/>
      </c>
      <c r="AH11" s="21" t="str">
        <f t="shared" ref="AH11:AH35" si="5">IFERROR((VLOOKUP(AA11,DB_RANEQ,6,0))*AF11,"")</f>
        <v/>
      </c>
    </row>
    <row r="12" spans="2:35" ht="16.5" customHeight="1">
      <c r="B12" s="285"/>
      <c r="C12" s="285"/>
      <c r="D12" s="285"/>
      <c r="F12" s="133" t="str" cm="1">
        <f t="array" aca="1" ref="F12" ca="1">IF(SUMPRODUCT(--ISNUMBER(SEARCH(DLIST_SONTU,G12)))&gt;0,"SON","")</f>
        <v/>
      </c>
      <c r="G12" s="354"/>
      <c r="H12" s="355"/>
      <c r="I12" s="355"/>
      <c r="J12" s="356"/>
      <c r="K12" s="202"/>
      <c r="L12" s="202"/>
      <c r="M12" s="20" t="str">
        <f t="shared" si="0"/>
        <v/>
      </c>
      <c r="N12" s="21" t="str">
        <f t="shared" si="1"/>
        <v/>
      </c>
      <c r="P12" s="133" t="str" cm="1">
        <f t="array" aca="1" ref="P12" ca="1">IF(SUMPRODUCT(--ISNUMBER(SEARCH(DLIST_SONTU,Q12)))&gt;0,"SON","")</f>
        <v/>
      </c>
      <c r="Q12" s="354"/>
      <c r="R12" s="355"/>
      <c r="S12" s="355"/>
      <c r="T12" s="356"/>
      <c r="U12" s="202"/>
      <c r="V12" s="202"/>
      <c r="W12" s="20" t="str">
        <f t="shared" si="2"/>
        <v/>
      </c>
      <c r="X12" s="21" t="str">
        <f t="shared" si="3"/>
        <v/>
      </c>
      <c r="Z12" s="133" t="str" cm="1">
        <f t="array" aca="1" ref="Z12" ca="1">IF(SUMPRODUCT(--ISNUMBER(SEARCH(DLIST_SONTU,AA12)))&gt;0,"SON","")</f>
        <v/>
      </c>
      <c r="AA12" s="354"/>
      <c r="AB12" s="355"/>
      <c r="AC12" s="355"/>
      <c r="AD12" s="356"/>
      <c r="AE12" s="202"/>
      <c r="AF12" s="202"/>
      <c r="AG12" s="20" t="str">
        <f t="shared" si="4"/>
        <v/>
      </c>
      <c r="AH12" s="21" t="str">
        <f t="shared" si="5"/>
        <v/>
      </c>
    </row>
    <row r="13" spans="2:35" ht="16.5" customHeight="1">
      <c r="B13" s="285" t="s">
        <v>159</v>
      </c>
      <c r="C13" s="285"/>
      <c r="D13" s="285"/>
      <c r="F13" s="133" t="str" cm="1">
        <f t="array" aca="1" ref="F13" ca="1">IF(SUMPRODUCT(--ISNUMBER(SEARCH(DLIST_SONTU,G13)))&gt;0,"SON","")</f>
        <v/>
      </c>
      <c r="G13" s="354"/>
      <c r="H13" s="355"/>
      <c r="I13" s="355"/>
      <c r="J13" s="356"/>
      <c r="K13" s="202"/>
      <c r="L13" s="202"/>
      <c r="M13" s="20" t="str">
        <f t="shared" si="0"/>
        <v/>
      </c>
      <c r="N13" s="21" t="str">
        <f t="shared" si="1"/>
        <v/>
      </c>
      <c r="P13" s="133" t="str" cm="1">
        <f t="array" aca="1" ref="P13" ca="1">IF(SUMPRODUCT(--ISNUMBER(SEARCH(DLIST_SONTU,Q13)))&gt;0,"SON","")</f>
        <v/>
      </c>
      <c r="Q13" s="354"/>
      <c r="R13" s="355"/>
      <c r="S13" s="355"/>
      <c r="T13" s="356"/>
      <c r="U13" s="202"/>
      <c r="V13" s="202"/>
      <c r="W13" s="20" t="str">
        <f t="shared" si="2"/>
        <v/>
      </c>
      <c r="X13" s="21" t="str">
        <f t="shared" si="3"/>
        <v/>
      </c>
      <c r="Z13" s="133" t="str" cm="1">
        <f t="array" aca="1" ref="Z13" ca="1">IF(SUMPRODUCT(--ISNUMBER(SEARCH(DLIST_SONTU,AA13)))&gt;0,"SON","")</f>
        <v/>
      </c>
      <c r="AA13" s="354"/>
      <c r="AB13" s="355"/>
      <c r="AC13" s="355"/>
      <c r="AD13" s="356"/>
      <c r="AE13" s="202"/>
      <c r="AF13" s="202"/>
      <c r="AG13" s="20" t="str">
        <f t="shared" si="4"/>
        <v/>
      </c>
      <c r="AH13" s="21" t="str">
        <f t="shared" si="5"/>
        <v/>
      </c>
    </row>
    <row r="14" spans="2:35" ht="16.5" customHeight="1">
      <c r="B14" s="290" t="s">
        <v>162</v>
      </c>
      <c r="C14" s="285"/>
      <c r="D14" s="285"/>
      <c r="F14" s="133" t="str" cm="1">
        <f t="array" aca="1" ref="F14" ca="1">IF(SUMPRODUCT(--ISNUMBER(SEARCH(DLIST_SONTU,G14)))&gt;0,"SON","")</f>
        <v/>
      </c>
      <c r="G14" s="354"/>
      <c r="H14" s="355"/>
      <c r="I14" s="355"/>
      <c r="J14" s="356"/>
      <c r="K14" s="202"/>
      <c r="L14" s="202"/>
      <c r="M14" s="20" t="str">
        <f t="shared" si="0"/>
        <v/>
      </c>
      <c r="N14" s="21" t="str">
        <f t="shared" si="1"/>
        <v/>
      </c>
      <c r="P14" s="133" t="str" cm="1">
        <f t="array" aca="1" ref="P14" ca="1">IF(SUMPRODUCT(--ISNUMBER(SEARCH(DLIST_SONTU,Q14)))&gt;0,"SON","")</f>
        <v/>
      </c>
      <c r="Q14" s="354"/>
      <c r="R14" s="355"/>
      <c r="S14" s="355"/>
      <c r="T14" s="356"/>
      <c r="U14" s="202"/>
      <c r="V14" s="202"/>
      <c r="W14" s="20" t="str">
        <f t="shared" si="2"/>
        <v/>
      </c>
      <c r="X14" s="21" t="str">
        <f t="shared" si="3"/>
        <v/>
      </c>
      <c r="Z14" s="133" t="str" cm="1">
        <f t="array" aca="1" ref="Z14" ca="1">IF(SUMPRODUCT(--ISNUMBER(SEARCH(DLIST_SONTU,AA14)))&gt;0,"SON","")</f>
        <v/>
      </c>
      <c r="AA14" s="354"/>
      <c r="AB14" s="355"/>
      <c r="AC14" s="355"/>
      <c r="AD14" s="356"/>
      <c r="AE14" s="202"/>
      <c r="AF14" s="202"/>
      <c r="AG14" s="20" t="str">
        <f t="shared" si="4"/>
        <v/>
      </c>
      <c r="AH14" s="21" t="str">
        <f t="shared" si="5"/>
        <v/>
      </c>
    </row>
    <row r="15" spans="2:35" ht="16.5" customHeight="1">
      <c r="B15" s="285"/>
      <c r="C15" s="285"/>
      <c r="D15" s="285"/>
      <c r="F15" s="133" t="str" cm="1">
        <f t="array" aca="1" ref="F15" ca="1">IF(SUMPRODUCT(--ISNUMBER(SEARCH(DLIST_SONTU,G15)))&gt;0,"SON","")</f>
        <v/>
      </c>
      <c r="G15" s="354"/>
      <c r="H15" s="355"/>
      <c r="I15" s="355"/>
      <c r="J15" s="356"/>
      <c r="K15" s="202"/>
      <c r="L15" s="202"/>
      <c r="M15" s="20" t="str">
        <f t="shared" si="0"/>
        <v/>
      </c>
      <c r="N15" s="21" t="str">
        <f t="shared" si="1"/>
        <v/>
      </c>
      <c r="P15" s="133" t="str" cm="1">
        <f t="array" aca="1" ref="P15" ca="1">IF(SUMPRODUCT(--ISNUMBER(SEARCH(DLIST_SONTU,Q15)))&gt;0,"SON","")</f>
        <v/>
      </c>
      <c r="Q15" s="354"/>
      <c r="R15" s="355"/>
      <c r="S15" s="355"/>
      <c r="T15" s="356"/>
      <c r="U15" s="202"/>
      <c r="V15" s="202"/>
      <c r="W15" s="20" t="str">
        <f t="shared" si="2"/>
        <v/>
      </c>
      <c r="X15" s="21" t="str">
        <f t="shared" si="3"/>
        <v/>
      </c>
      <c r="Z15" s="133" t="str" cm="1">
        <f t="array" aca="1" ref="Z15" ca="1">IF(SUMPRODUCT(--ISNUMBER(SEARCH(DLIST_SONTU,AA15)))&gt;0,"SON","")</f>
        <v/>
      </c>
      <c r="AA15" s="354"/>
      <c r="AB15" s="355"/>
      <c r="AC15" s="355"/>
      <c r="AD15" s="356"/>
      <c r="AE15" s="202"/>
      <c r="AF15" s="202"/>
      <c r="AG15" s="20" t="str">
        <f t="shared" si="4"/>
        <v/>
      </c>
      <c r="AH15" s="21" t="str">
        <f t="shared" si="5"/>
        <v/>
      </c>
    </row>
    <row r="16" spans="2:35" ht="16.5" customHeight="1">
      <c r="B16" s="285" t="s">
        <v>167</v>
      </c>
      <c r="C16" s="285"/>
      <c r="D16" s="285"/>
      <c r="F16" s="133" t="str" cm="1">
        <f t="array" aca="1" ref="F16" ca="1">IF(SUMPRODUCT(--ISNUMBER(SEARCH(DLIST_SONTU,G16)))&gt;0,"SON","")</f>
        <v/>
      </c>
      <c r="G16" s="354"/>
      <c r="H16" s="355"/>
      <c r="I16" s="355"/>
      <c r="J16" s="356"/>
      <c r="K16" s="202"/>
      <c r="L16" s="202"/>
      <c r="M16" s="20" t="str">
        <f t="shared" si="0"/>
        <v/>
      </c>
      <c r="N16" s="21" t="str">
        <f t="shared" si="1"/>
        <v/>
      </c>
      <c r="P16" s="133" t="str" cm="1">
        <f t="array" aca="1" ref="P16" ca="1">IF(SUMPRODUCT(--ISNUMBER(SEARCH(DLIST_SONTU,Q16)))&gt;0,"SON","")</f>
        <v/>
      </c>
      <c r="Q16" s="354"/>
      <c r="R16" s="355"/>
      <c r="S16" s="355"/>
      <c r="T16" s="356"/>
      <c r="U16" s="202"/>
      <c r="V16" s="202"/>
      <c r="W16" s="20" t="str">
        <f t="shared" si="2"/>
        <v/>
      </c>
      <c r="X16" s="21" t="str">
        <f t="shared" si="3"/>
        <v/>
      </c>
      <c r="Z16" s="133" t="str" cm="1">
        <f t="array" aca="1" ref="Z16" ca="1">IF(SUMPRODUCT(--ISNUMBER(SEARCH(DLIST_SONTU,AA16)))&gt;0,"SON","")</f>
        <v/>
      </c>
      <c r="AA16" s="354"/>
      <c r="AB16" s="355"/>
      <c r="AC16" s="355"/>
      <c r="AD16" s="356"/>
      <c r="AE16" s="202"/>
      <c r="AF16" s="202"/>
      <c r="AG16" s="20" t="str">
        <f t="shared" si="4"/>
        <v/>
      </c>
      <c r="AH16" s="21" t="str">
        <f t="shared" si="5"/>
        <v/>
      </c>
    </row>
    <row r="17" spans="2:34" ht="16.5" customHeight="1">
      <c r="B17" s="285" t="s">
        <v>170</v>
      </c>
      <c r="C17" s="285"/>
      <c r="D17" s="285"/>
      <c r="F17" s="133" t="str" cm="1">
        <f t="array" aca="1" ref="F17" ca="1">IF(SUMPRODUCT(--ISNUMBER(SEARCH(DLIST_SONTU,G17)))&gt;0,"SON","")</f>
        <v/>
      </c>
      <c r="G17" s="354"/>
      <c r="H17" s="355"/>
      <c r="I17" s="355"/>
      <c r="J17" s="356"/>
      <c r="K17" s="202"/>
      <c r="L17" s="202"/>
      <c r="M17" s="20" t="str">
        <f t="shared" si="0"/>
        <v/>
      </c>
      <c r="N17" s="21" t="str">
        <f t="shared" si="1"/>
        <v/>
      </c>
      <c r="P17" s="133" t="str" cm="1">
        <f t="array" aca="1" ref="P17" ca="1">IF(SUMPRODUCT(--ISNUMBER(SEARCH(DLIST_SONTU,Q17)))&gt;0,"SON","")</f>
        <v/>
      </c>
      <c r="Q17" s="354"/>
      <c r="R17" s="355"/>
      <c r="S17" s="355"/>
      <c r="T17" s="356"/>
      <c r="U17" s="202"/>
      <c r="V17" s="202"/>
      <c r="W17" s="20" t="str">
        <f t="shared" si="2"/>
        <v/>
      </c>
      <c r="X17" s="21" t="str">
        <f t="shared" si="3"/>
        <v/>
      </c>
      <c r="Z17" s="133" t="str" cm="1">
        <f t="array" aca="1" ref="Z17" ca="1">IF(SUMPRODUCT(--ISNUMBER(SEARCH(DLIST_SONTU,AA17)))&gt;0,"SON","")</f>
        <v/>
      </c>
      <c r="AA17" s="354"/>
      <c r="AB17" s="355"/>
      <c r="AC17" s="355"/>
      <c r="AD17" s="356"/>
      <c r="AE17" s="202"/>
      <c r="AF17" s="202"/>
      <c r="AG17" s="20" t="str">
        <f t="shared" si="4"/>
        <v/>
      </c>
      <c r="AH17" s="21" t="str">
        <f t="shared" si="5"/>
        <v/>
      </c>
    </row>
    <row r="18" spans="2:34" ht="16.5" customHeight="1">
      <c r="B18" s="285" t="s">
        <v>173</v>
      </c>
      <c r="C18" s="285"/>
      <c r="D18" s="285"/>
      <c r="F18" s="133" t="str" cm="1">
        <f t="array" aca="1" ref="F18" ca="1">IF(SUMPRODUCT(--ISNUMBER(SEARCH(DLIST_SONTU,G18)))&gt;0,"SON","")</f>
        <v/>
      </c>
      <c r="G18" s="354"/>
      <c r="H18" s="355"/>
      <c r="I18" s="355"/>
      <c r="J18" s="356"/>
      <c r="K18" s="202"/>
      <c r="L18" s="202"/>
      <c r="M18" s="20" t="str">
        <f t="shared" si="0"/>
        <v/>
      </c>
      <c r="N18" s="21" t="str">
        <f t="shared" si="1"/>
        <v/>
      </c>
      <c r="P18" s="133" t="str" cm="1">
        <f t="array" aca="1" ref="P18" ca="1">IF(SUMPRODUCT(--ISNUMBER(SEARCH(DLIST_SONTU,Q18)))&gt;0,"SON","")</f>
        <v/>
      </c>
      <c r="Q18" s="354"/>
      <c r="R18" s="355"/>
      <c r="S18" s="355"/>
      <c r="T18" s="356"/>
      <c r="U18" s="202"/>
      <c r="V18" s="202"/>
      <c r="W18" s="20" t="str">
        <f t="shared" si="2"/>
        <v/>
      </c>
      <c r="X18" s="21" t="str">
        <f t="shared" si="3"/>
        <v/>
      </c>
      <c r="Z18" s="133" t="str" cm="1">
        <f t="array" aca="1" ref="Z18" ca="1">IF(SUMPRODUCT(--ISNUMBER(SEARCH(DLIST_SONTU,AA18)))&gt;0,"SON","")</f>
        <v/>
      </c>
      <c r="AA18" s="354"/>
      <c r="AB18" s="355"/>
      <c r="AC18" s="355"/>
      <c r="AD18" s="356"/>
      <c r="AE18" s="202"/>
      <c r="AF18" s="202"/>
      <c r="AG18" s="20" t="str">
        <f t="shared" si="4"/>
        <v/>
      </c>
      <c r="AH18" s="21" t="str">
        <f t="shared" si="5"/>
        <v/>
      </c>
    </row>
    <row r="19" spans="2:34" ht="16.5" customHeight="1">
      <c r="B19" s="285"/>
      <c r="C19" s="285"/>
      <c r="D19" s="285"/>
      <c r="F19" s="133" t="str" cm="1">
        <f t="array" aca="1" ref="F19" ca="1">IF(SUMPRODUCT(--ISNUMBER(SEARCH(DLIST_SONTU,G19)))&gt;0,"SON","")</f>
        <v/>
      </c>
      <c r="G19" s="354"/>
      <c r="H19" s="355"/>
      <c r="I19" s="355"/>
      <c r="J19" s="356"/>
      <c r="K19" s="202"/>
      <c r="L19" s="202"/>
      <c r="M19" s="20" t="str">
        <f t="shared" si="0"/>
        <v/>
      </c>
      <c r="N19" s="21" t="str">
        <f t="shared" si="1"/>
        <v/>
      </c>
      <c r="P19" s="133" t="str" cm="1">
        <f t="array" aca="1" ref="P19" ca="1">IF(SUMPRODUCT(--ISNUMBER(SEARCH(DLIST_SONTU,Q19)))&gt;0,"SON","")</f>
        <v/>
      </c>
      <c r="Q19" s="354"/>
      <c r="R19" s="355"/>
      <c r="S19" s="355"/>
      <c r="T19" s="356"/>
      <c r="U19" s="202"/>
      <c r="V19" s="202"/>
      <c r="W19" s="20" t="str">
        <f t="shared" si="2"/>
        <v/>
      </c>
      <c r="X19" s="21" t="str">
        <f t="shared" si="3"/>
        <v/>
      </c>
      <c r="Z19" s="133" t="str" cm="1">
        <f t="array" aca="1" ref="Z19" ca="1">IF(SUMPRODUCT(--ISNUMBER(SEARCH(DLIST_SONTU,AA19)))&gt;0,"SON","")</f>
        <v/>
      </c>
      <c r="AA19" s="354"/>
      <c r="AB19" s="355"/>
      <c r="AC19" s="355"/>
      <c r="AD19" s="356"/>
      <c r="AE19" s="202"/>
      <c r="AF19" s="202"/>
      <c r="AG19" s="20" t="str">
        <f t="shared" si="4"/>
        <v/>
      </c>
      <c r="AH19" s="21" t="str">
        <f t="shared" si="5"/>
        <v/>
      </c>
    </row>
    <row r="20" spans="2:34" ht="16.5" customHeight="1">
      <c r="B20" s="285" t="s">
        <v>176</v>
      </c>
      <c r="C20" s="285"/>
      <c r="D20" s="285"/>
      <c r="F20" s="133" t="str" cm="1">
        <f t="array" aca="1" ref="F20" ca="1">IF(SUMPRODUCT(--ISNUMBER(SEARCH(DLIST_SONTU,G20)))&gt;0,"SON","")</f>
        <v/>
      </c>
      <c r="G20" s="354"/>
      <c r="H20" s="355"/>
      <c r="I20" s="355"/>
      <c r="J20" s="356"/>
      <c r="K20" s="202"/>
      <c r="L20" s="202"/>
      <c r="M20" s="20" t="str">
        <f t="shared" si="0"/>
        <v/>
      </c>
      <c r="N20" s="21" t="str">
        <f t="shared" si="1"/>
        <v/>
      </c>
      <c r="P20" s="133" t="str" cm="1">
        <f t="array" aca="1" ref="P20" ca="1">IF(SUMPRODUCT(--ISNUMBER(SEARCH(DLIST_SONTU,Q20)))&gt;0,"SON","")</f>
        <v/>
      </c>
      <c r="Q20" s="354"/>
      <c r="R20" s="355"/>
      <c r="S20" s="355"/>
      <c r="T20" s="356"/>
      <c r="U20" s="202"/>
      <c r="V20" s="202"/>
      <c r="W20" s="20" t="str">
        <f t="shared" si="2"/>
        <v/>
      </c>
      <c r="X20" s="21" t="str">
        <f t="shared" si="3"/>
        <v/>
      </c>
      <c r="Z20" s="133" t="str" cm="1">
        <f t="array" aca="1" ref="Z20" ca="1">IF(SUMPRODUCT(--ISNUMBER(SEARCH(DLIST_SONTU,AA20)))&gt;0,"SON","")</f>
        <v/>
      </c>
      <c r="AA20" s="354"/>
      <c r="AB20" s="355"/>
      <c r="AC20" s="355"/>
      <c r="AD20" s="356"/>
      <c r="AE20" s="202"/>
      <c r="AF20" s="202"/>
      <c r="AG20" s="20" t="str">
        <f t="shared" si="4"/>
        <v/>
      </c>
      <c r="AH20" s="21" t="str">
        <f t="shared" si="5"/>
        <v/>
      </c>
    </row>
    <row r="21" spans="2:34" ht="16.5" customHeight="1">
      <c r="B21" s="285"/>
      <c r="C21" s="285"/>
      <c r="D21" s="285"/>
      <c r="F21" s="133" t="str" cm="1">
        <f t="array" aca="1" ref="F21" ca="1">IF(SUMPRODUCT(--ISNUMBER(SEARCH(DLIST_SONTU,G21)))&gt;0,"SON","")</f>
        <v/>
      </c>
      <c r="G21" s="354"/>
      <c r="H21" s="355"/>
      <c r="I21" s="355"/>
      <c r="J21" s="356"/>
      <c r="K21" s="202"/>
      <c r="L21" s="202"/>
      <c r="M21" s="20" t="str">
        <f t="shared" si="0"/>
        <v/>
      </c>
      <c r="N21" s="21" t="str">
        <f t="shared" si="1"/>
        <v/>
      </c>
      <c r="P21" s="133" t="str" cm="1">
        <f t="array" aca="1" ref="P21" ca="1">IF(SUMPRODUCT(--ISNUMBER(SEARCH(DLIST_SONTU,Q21)))&gt;0,"SON","")</f>
        <v/>
      </c>
      <c r="Q21" s="354"/>
      <c r="R21" s="355"/>
      <c r="S21" s="355"/>
      <c r="T21" s="356"/>
      <c r="U21" s="202"/>
      <c r="V21" s="202"/>
      <c r="W21" s="20" t="str">
        <f t="shared" si="2"/>
        <v/>
      </c>
      <c r="X21" s="21" t="str">
        <f t="shared" si="3"/>
        <v/>
      </c>
      <c r="Z21" s="133" t="str" cm="1">
        <f t="array" aca="1" ref="Z21" ca="1">IF(SUMPRODUCT(--ISNUMBER(SEARCH(DLIST_SONTU,AA21)))&gt;0,"SON","")</f>
        <v/>
      </c>
      <c r="AA21" s="354"/>
      <c r="AB21" s="355"/>
      <c r="AC21" s="355"/>
      <c r="AD21" s="356"/>
      <c r="AE21" s="202"/>
      <c r="AF21" s="202"/>
      <c r="AG21" s="20" t="str">
        <f t="shared" si="4"/>
        <v/>
      </c>
      <c r="AH21" s="21" t="str">
        <f t="shared" si="5"/>
        <v/>
      </c>
    </row>
    <row r="22" spans="2:34" ht="16.5" customHeight="1">
      <c r="B22" s="285"/>
      <c r="C22" s="285"/>
      <c r="D22" s="285"/>
      <c r="F22" s="133" t="str" cm="1">
        <f t="array" aca="1" ref="F22" ca="1">IF(SUMPRODUCT(--ISNUMBER(SEARCH(DLIST_SONTU,G22)))&gt;0,"SON","")</f>
        <v/>
      </c>
      <c r="G22" s="354"/>
      <c r="H22" s="355"/>
      <c r="I22" s="355"/>
      <c r="J22" s="356"/>
      <c r="K22" s="202"/>
      <c r="L22" s="202"/>
      <c r="M22" s="20" t="str">
        <f t="shared" si="0"/>
        <v/>
      </c>
      <c r="N22" s="21" t="str">
        <f t="shared" si="1"/>
        <v/>
      </c>
      <c r="P22" s="133" t="str" cm="1">
        <f t="array" aca="1" ref="P22" ca="1">IF(SUMPRODUCT(--ISNUMBER(SEARCH(DLIST_SONTU,Q22)))&gt;0,"SON","")</f>
        <v/>
      </c>
      <c r="Q22" s="354"/>
      <c r="R22" s="355"/>
      <c r="S22" s="355"/>
      <c r="T22" s="356"/>
      <c r="U22" s="202"/>
      <c r="V22" s="202"/>
      <c r="W22" s="20" t="str">
        <f t="shared" si="2"/>
        <v/>
      </c>
      <c r="X22" s="21" t="str">
        <f t="shared" si="3"/>
        <v/>
      </c>
      <c r="Z22" s="133" t="str" cm="1">
        <f t="array" aca="1" ref="Z22" ca="1">IF(SUMPRODUCT(--ISNUMBER(SEARCH(DLIST_SONTU,AA22)))&gt;0,"SON","")</f>
        <v/>
      </c>
      <c r="AA22" s="354"/>
      <c r="AB22" s="355"/>
      <c r="AC22" s="355"/>
      <c r="AD22" s="356"/>
      <c r="AE22" s="202"/>
      <c r="AF22" s="202"/>
      <c r="AG22" s="20" t="str">
        <f t="shared" si="4"/>
        <v/>
      </c>
      <c r="AH22" s="21" t="str">
        <f t="shared" si="5"/>
        <v/>
      </c>
    </row>
    <row r="23" spans="2:34" ht="16.5" customHeight="1">
      <c r="B23" s="285"/>
      <c r="C23" s="285"/>
      <c r="D23" s="285"/>
      <c r="F23" s="133" t="str" cm="1">
        <f t="array" aca="1" ref="F23" ca="1">IF(SUMPRODUCT(--ISNUMBER(SEARCH(DLIST_SONTU,G23)))&gt;0,"SON","")</f>
        <v/>
      </c>
      <c r="G23" s="354"/>
      <c r="H23" s="355"/>
      <c r="I23" s="355"/>
      <c r="J23" s="356"/>
      <c r="K23" s="202"/>
      <c r="L23" s="202"/>
      <c r="M23" s="20" t="str">
        <f t="shared" si="0"/>
        <v/>
      </c>
      <c r="N23" s="21" t="str">
        <f t="shared" si="1"/>
        <v/>
      </c>
      <c r="P23" s="133" t="str" cm="1">
        <f t="array" aca="1" ref="P23" ca="1">IF(SUMPRODUCT(--ISNUMBER(SEARCH(DLIST_SONTU,Q23)))&gt;0,"SON","")</f>
        <v/>
      </c>
      <c r="Q23" s="354"/>
      <c r="R23" s="355"/>
      <c r="S23" s="355"/>
      <c r="T23" s="356"/>
      <c r="U23" s="202"/>
      <c r="V23" s="202"/>
      <c r="W23" s="20" t="str">
        <f t="shared" si="2"/>
        <v/>
      </c>
      <c r="X23" s="21" t="str">
        <f t="shared" si="3"/>
        <v/>
      </c>
      <c r="Z23" s="133" t="str" cm="1">
        <f t="array" aca="1" ref="Z23" ca="1">IF(SUMPRODUCT(--ISNUMBER(SEARCH(DLIST_SONTU,AA23)))&gt;0,"SON","")</f>
        <v/>
      </c>
      <c r="AA23" s="354"/>
      <c r="AB23" s="355"/>
      <c r="AC23" s="355"/>
      <c r="AD23" s="356"/>
      <c r="AE23" s="202"/>
      <c r="AF23" s="202"/>
      <c r="AG23" s="20" t="str">
        <f t="shared" si="4"/>
        <v/>
      </c>
      <c r="AH23" s="21" t="str">
        <f t="shared" si="5"/>
        <v/>
      </c>
    </row>
    <row r="24" spans="2:34" ht="16.5" customHeight="1">
      <c r="B24" s="285"/>
      <c r="C24" s="285"/>
      <c r="D24" s="285"/>
      <c r="F24" s="133" t="str" cm="1">
        <f t="array" aca="1" ref="F24" ca="1">IF(SUMPRODUCT(--ISNUMBER(SEARCH(DLIST_SONTU,G24)))&gt;0,"SON","")</f>
        <v/>
      </c>
      <c r="G24" s="354"/>
      <c r="H24" s="355"/>
      <c r="I24" s="355"/>
      <c r="J24" s="356"/>
      <c r="K24" s="202"/>
      <c r="L24" s="202"/>
      <c r="M24" s="20" t="str">
        <f t="shared" si="0"/>
        <v/>
      </c>
      <c r="N24" s="21" t="str">
        <f t="shared" si="1"/>
        <v/>
      </c>
      <c r="P24" s="133" t="str" cm="1">
        <f t="array" aca="1" ref="P24" ca="1">IF(SUMPRODUCT(--ISNUMBER(SEARCH(DLIST_SONTU,Q24)))&gt;0,"SON","")</f>
        <v/>
      </c>
      <c r="Q24" s="354"/>
      <c r="R24" s="355"/>
      <c r="S24" s="355"/>
      <c r="T24" s="356"/>
      <c r="U24" s="202"/>
      <c r="V24" s="202"/>
      <c r="W24" s="20" t="str">
        <f t="shared" si="2"/>
        <v/>
      </c>
      <c r="X24" s="21" t="str">
        <f t="shared" si="3"/>
        <v/>
      </c>
      <c r="Z24" s="133" t="str" cm="1">
        <f t="array" aca="1" ref="Z24" ca="1">IF(SUMPRODUCT(--ISNUMBER(SEARCH(DLIST_SONTU,AA24)))&gt;0,"SON","")</f>
        <v/>
      </c>
      <c r="AA24" s="354"/>
      <c r="AB24" s="355"/>
      <c r="AC24" s="355"/>
      <c r="AD24" s="356"/>
      <c r="AE24" s="202"/>
      <c r="AF24" s="202"/>
      <c r="AG24" s="20" t="str">
        <f t="shared" si="4"/>
        <v/>
      </c>
      <c r="AH24" s="21" t="str">
        <f t="shared" si="5"/>
        <v/>
      </c>
    </row>
    <row r="25" spans="2:34" ht="16.5" customHeight="1">
      <c r="B25" s="285" t="s">
        <v>182</v>
      </c>
      <c r="C25" s="285"/>
      <c r="D25" s="285"/>
      <c r="F25" s="133" t="str" cm="1">
        <f t="array" aca="1" ref="F25" ca="1">IF(SUMPRODUCT(--ISNUMBER(SEARCH(DLIST_SONTU,G25)))&gt;0,"SON","")</f>
        <v/>
      </c>
      <c r="G25" s="354"/>
      <c r="H25" s="355"/>
      <c r="I25" s="355"/>
      <c r="J25" s="356"/>
      <c r="K25" s="202"/>
      <c r="L25" s="202"/>
      <c r="M25" s="20" t="str">
        <f t="shared" si="0"/>
        <v/>
      </c>
      <c r="N25" s="21" t="str">
        <f t="shared" si="1"/>
        <v/>
      </c>
      <c r="P25" s="133" t="str" cm="1">
        <f t="array" aca="1" ref="P25" ca="1">IF(SUMPRODUCT(--ISNUMBER(SEARCH(DLIST_SONTU,Q25)))&gt;0,"SON","")</f>
        <v/>
      </c>
      <c r="Q25" s="354"/>
      <c r="R25" s="355"/>
      <c r="S25" s="355"/>
      <c r="T25" s="356"/>
      <c r="U25" s="202"/>
      <c r="V25" s="202"/>
      <c r="W25" s="20" t="str">
        <f t="shared" si="2"/>
        <v/>
      </c>
      <c r="X25" s="21" t="str">
        <f t="shared" si="3"/>
        <v/>
      </c>
      <c r="Z25" s="133" t="str" cm="1">
        <f t="array" aca="1" ref="Z25" ca="1">IF(SUMPRODUCT(--ISNUMBER(SEARCH(DLIST_SONTU,AA25)))&gt;0,"SON","")</f>
        <v/>
      </c>
      <c r="AA25" s="354"/>
      <c r="AB25" s="355"/>
      <c r="AC25" s="355"/>
      <c r="AD25" s="356"/>
      <c r="AE25" s="202"/>
      <c r="AF25" s="202"/>
      <c r="AG25" s="20" t="str">
        <f t="shared" si="4"/>
        <v/>
      </c>
      <c r="AH25" s="21" t="str">
        <f t="shared" si="5"/>
        <v/>
      </c>
    </row>
    <row r="26" spans="2:34" ht="16.5" customHeight="1">
      <c r="B26" s="285"/>
      <c r="C26" s="285"/>
      <c r="D26" s="285"/>
      <c r="F26" s="133" t="str" cm="1">
        <f t="array" aca="1" ref="F26" ca="1">IF(SUMPRODUCT(--ISNUMBER(SEARCH(DLIST_SONTU,G26)))&gt;0,"SON","")</f>
        <v/>
      </c>
      <c r="G26" s="354"/>
      <c r="H26" s="355"/>
      <c r="I26" s="355"/>
      <c r="J26" s="356"/>
      <c r="K26" s="202"/>
      <c r="L26" s="202"/>
      <c r="M26" s="20" t="str">
        <f t="shared" si="0"/>
        <v/>
      </c>
      <c r="N26" s="21" t="str">
        <f t="shared" si="1"/>
        <v/>
      </c>
      <c r="P26" s="133" t="str" cm="1">
        <f t="array" aca="1" ref="P26" ca="1">IF(SUMPRODUCT(--ISNUMBER(SEARCH(DLIST_SONTU,Q26)))&gt;0,"SON","")</f>
        <v/>
      </c>
      <c r="Q26" s="354"/>
      <c r="R26" s="355"/>
      <c r="S26" s="355"/>
      <c r="T26" s="356"/>
      <c r="U26" s="202"/>
      <c r="V26" s="202"/>
      <c r="W26" s="20" t="str">
        <f t="shared" si="2"/>
        <v/>
      </c>
      <c r="X26" s="21" t="str">
        <f t="shared" si="3"/>
        <v/>
      </c>
      <c r="Z26" s="133" t="str" cm="1">
        <f t="array" aca="1" ref="Z26" ca="1">IF(SUMPRODUCT(--ISNUMBER(SEARCH(DLIST_SONTU,AA26)))&gt;0,"SON","")</f>
        <v/>
      </c>
      <c r="AA26" s="354"/>
      <c r="AB26" s="355"/>
      <c r="AC26" s="355"/>
      <c r="AD26" s="356"/>
      <c r="AE26" s="202"/>
      <c r="AF26" s="202"/>
      <c r="AG26" s="20" t="str">
        <f t="shared" si="4"/>
        <v/>
      </c>
      <c r="AH26" s="21" t="str">
        <f t="shared" si="5"/>
        <v/>
      </c>
    </row>
    <row r="27" spans="2:34" ht="16.5" customHeight="1">
      <c r="B27" s="293"/>
      <c r="C27" s="293"/>
      <c r="D27" s="293"/>
      <c r="F27" s="133" t="str" cm="1">
        <f t="array" aca="1" ref="F27" ca="1">IF(SUMPRODUCT(--ISNUMBER(SEARCH(DLIST_SONTU,G27)))&gt;0,"SON","")</f>
        <v/>
      </c>
      <c r="G27" s="354"/>
      <c r="H27" s="355"/>
      <c r="I27" s="355"/>
      <c r="J27" s="356"/>
      <c r="K27" s="202"/>
      <c r="L27" s="202"/>
      <c r="M27" s="20" t="str">
        <f t="shared" si="0"/>
        <v/>
      </c>
      <c r="N27" s="21" t="str">
        <f t="shared" si="1"/>
        <v/>
      </c>
      <c r="P27" s="133" t="str" cm="1">
        <f t="array" aca="1" ref="P27" ca="1">IF(SUMPRODUCT(--ISNUMBER(SEARCH(DLIST_SONTU,Q27)))&gt;0,"SON","")</f>
        <v/>
      </c>
      <c r="Q27" s="354"/>
      <c r="R27" s="355"/>
      <c r="S27" s="355"/>
      <c r="T27" s="356"/>
      <c r="U27" s="202"/>
      <c r="V27" s="202"/>
      <c r="W27" s="20" t="str">
        <f t="shared" si="2"/>
        <v/>
      </c>
      <c r="X27" s="21" t="str">
        <f t="shared" si="3"/>
        <v/>
      </c>
      <c r="Z27" s="133" t="str" cm="1">
        <f t="array" aca="1" ref="Z27" ca="1">IF(SUMPRODUCT(--ISNUMBER(SEARCH(DLIST_SONTU,AA27)))&gt;0,"SON","")</f>
        <v/>
      </c>
      <c r="AA27" s="354"/>
      <c r="AB27" s="355"/>
      <c r="AC27" s="355"/>
      <c r="AD27" s="356"/>
      <c r="AE27" s="202"/>
      <c r="AF27" s="202"/>
      <c r="AG27" s="20" t="str">
        <f t="shared" si="4"/>
        <v/>
      </c>
      <c r="AH27" s="21" t="str">
        <f t="shared" si="5"/>
        <v/>
      </c>
    </row>
    <row r="28" spans="2:34" ht="16.5" customHeight="1">
      <c r="B28" s="13"/>
      <c r="C28" s="13"/>
      <c r="D28" s="13"/>
      <c r="F28" s="133" t="str" cm="1">
        <f t="array" aca="1" ref="F28" ca="1">IF(SUMPRODUCT(--ISNUMBER(SEARCH(DLIST_SONTU,G28)))&gt;0,"SON","")</f>
        <v/>
      </c>
      <c r="G28" s="354"/>
      <c r="H28" s="355"/>
      <c r="I28" s="355"/>
      <c r="J28" s="356"/>
      <c r="K28" s="202"/>
      <c r="L28" s="202"/>
      <c r="M28" s="20" t="str">
        <f t="shared" si="0"/>
        <v/>
      </c>
      <c r="N28" s="21" t="str">
        <f t="shared" si="1"/>
        <v/>
      </c>
      <c r="P28" s="133" t="str" cm="1">
        <f t="array" aca="1" ref="P28" ca="1">IF(SUMPRODUCT(--ISNUMBER(SEARCH(DLIST_SONTU,Q28)))&gt;0,"SON","")</f>
        <v/>
      </c>
      <c r="Q28" s="354"/>
      <c r="R28" s="355"/>
      <c r="S28" s="355"/>
      <c r="T28" s="356"/>
      <c r="U28" s="202"/>
      <c r="V28" s="202"/>
      <c r="W28" s="20" t="str">
        <f t="shared" si="2"/>
        <v/>
      </c>
      <c r="X28" s="21" t="str">
        <f t="shared" si="3"/>
        <v/>
      </c>
      <c r="Z28" s="133" t="str" cm="1">
        <f t="array" aca="1" ref="Z28" ca="1">IF(SUMPRODUCT(--ISNUMBER(SEARCH(DLIST_SONTU,AA28)))&gt;0,"SON","")</f>
        <v/>
      </c>
      <c r="AA28" s="354"/>
      <c r="AB28" s="355"/>
      <c r="AC28" s="355"/>
      <c r="AD28" s="356"/>
      <c r="AE28" s="202"/>
      <c r="AF28" s="202"/>
      <c r="AG28" s="20" t="str">
        <f t="shared" si="4"/>
        <v/>
      </c>
      <c r="AH28" s="21" t="str">
        <f t="shared" si="5"/>
        <v/>
      </c>
    </row>
    <row r="29" spans="2:34" ht="16.5" customHeight="1">
      <c r="B29" s="13"/>
      <c r="C29" s="13"/>
      <c r="D29" s="13"/>
      <c r="F29" s="133" t="str" cm="1">
        <f t="array" aca="1" ref="F29" ca="1">IF(SUMPRODUCT(--ISNUMBER(SEARCH(DLIST_SONTU,G29)))&gt;0,"SON","")</f>
        <v/>
      </c>
      <c r="G29" s="354"/>
      <c r="H29" s="355"/>
      <c r="I29" s="355"/>
      <c r="J29" s="356"/>
      <c r="K29" s="202"/>
      <c r="L29" s="202"/>
      <c r="M29" s="20" t="str">
        <f t="shared" si="0"/>
        <v/>
      </c>
      <c r="N29" s="21" t="str">
        <f t="shared" si="1"/>
        <v/>
      </c>
      <c r="P29" s="133" t="str" cm="1">
        <f t="array" aca="1" ref="P29" ca="1">IF(SUMPRODUCT(--ISNUMBER(SEARCH(DLIST_SONTU,Q29)))&gt;0,"SON","")</f>
        <v/>
      </c>
      <c r="Q29" s="354"/>
      <c r="R29" s="355"/>
      <c r="S29" s="355"/>
      <c r="T29" s="356"/>
      <c r="U29" s="202"/>
      <c r="V29" s="202"/>
      <c r="W29" s="20" t="str">
        <f t="shared" si="2"/>
        <v/>
      </c>
      <c r="X29" s="21" t="str">
        <f t="shared" si="3"/>
        <v/>
      </c>
      <c r="Z29" s="133" t="str" cm="1">
        <f t="array" aca="1" ref="Z29" ca="1">IF(SUMPRODUCT(--ISNUMBER(SEARCH(DLIST_SONTU,AA29)))&gt;0,"SON","")</f>
        <v/>
      </c>
      <c r="AA29" s="354"/>
      <c r="AB29" s="355"/>
      <c r="AC29" s="355"/>
      <c r="AD29" s="356"/>
      <c r="AE29" s="202"/>
      <c r="AF29" s="202"/>
      <c r="AG29" s="20" t="str">
        <f t="shared" si="4"/>
        <v/>
      </c>
      <c r="AH29" s="21" t="str">
        <f t="shared" si="5"/>
        <v/>
      </c>
    </row>
    <row r="30" spans="2:34" ht="16.5" customHeight="1">
      <c r="B30" s="13"/>
      <c r="C30" s="13"/>
      <c r="D30" s="13"/>
      <c r="F30" s="133" t="str" cm="1">
        <f t="array" aca="1" ref="F30" ca="1">IF(SUMPRODUCT(--ISNUMBER(SEARCH(DLIST_SONTU,G30)))&gt;0,"SON","")</f>
        <v/>
      </c>
      <c r="G30" s="354"/>
      <c r="H30" s="355"/>
      <c r="I30" s="355"/>
      <c r="J30" s="356"/>
      <c r="K30" s="202"/>
      <c r="L30" s="202"/>
      <c r="M30" s="20" t="str">
        <f t="shared" si="0"/>
        <v/>
      </c>
      <c r="N30" s="21" t="str">
        <f t="shared" si="1"/>
        <v/>
      </c>
      <c r="P30" s="133" t="str" cm="1">
        <f t="array" aca="1" ref="P30" ca="1">IF(SUMPRODUCT(--ISNUMBER(SEARCH(DLIST_SONTU,Q30)))&gt;0,"SON","")</f>
        <v/>
      </c>
      <c r="Q30" s="354"/>
      <c r="R30" s="355"/>
      <c r="S30" s="355"/>
      <c r="T30" s="356"/>
      <c r="U30" s="202"/>
      <c r="V30" s="202"/>
      <c r="W30" s="20" t="str">
        <f t="shared" si="2"/>
        <v/>
      </c>
      <c r="X30" s="21" t="str">
        <f t="shared" si="3"/>
        <v/>
      </c>
      <c r="Z30" s="133" t="str" cm="1">
        <f t="array" aca="1" ref="Z30" ca="1">IF(SUMPRODUCT(--ISNUMBER(SEARCH(DLIST_SONTU,AA30)))&gt;0,"SON","")</f>
        <v/>
      </c>
      <c r="AA30" s="354"/>
      <c r="AB30" s="355"/>
      <c r="AC30" s="355"/>
      <c r="AD30" s="356"/>
      <c r="AE30" s="202"/>
      <c r="AF30" s="202"/>
      <c r="AG30" s="20" t="str">
        <f t="shared" si="4"/>
        <v/>
      </c>
      <c r="AH30" s="21" t="str">
        <f t="shared" si="5"/>
        <v/>
      </c>
    </row>
    <row r="31" spans="2:34" ht="16.5" customHeight="1">
      <c r="B31" s="13"/>
      <c r="C31" s="13"/>
      <c r="D31" s="13"/>
      <c r="F31" s="133" t="str" cm="1">
        <f t="array" aca="1" ref="F31" ca="1">IF(SUMPRODUCT(--ISNUMBER(SEARCH(DLIST_SONTU,G31)))&gt;0,"SON","")</f>
        <v/>
      </c>
      <c r="G31" s="354"/>
      <c r="H31" s="355"/>
      <c r="I31" s="355"/>
      <c r="J31" s="356"/>
      <c r="K31" s="202"/>
      <c r="L31" s="202"/>
      <c r="M31" s="20" t="str">
        <f t="shared" si="0"/>
        <v/>
      </c>
      <c r="N31" s="21" t="str">
        <f t="shared" si="1"/>
        <v/>
      </c>
      <c r="P31" s="133" t="str" cm="1">
        <f t="array" aca="1" ref="P31" ca="1">IF(SUMPRODUCT(--ISNUMBER(SEARCH(DLIST_SONTU,Q31)))&gt;0,"SON","")</f>
        <v/>
      </c>
      <c r="Q31" s="354"/>
      <c r="R31" s="355"/>
      <c r="S31" s="355"/>
      <c r="T31" s="356"/>
      <c r="U31" s="202"/>
      <c r="V31" s="202"/>
      <c r="W31" s="20" t="str">
        <f t="shared" si="2"/>
        <v/>
      </c>
      <c r="X31" s="21" t="str">
        <f t="shared" si="3"/>
        <v/>
      </c>
      <c r="Z31" s="133" t="str" cm="1">
        <f t="array" aca="1" ref="Z31" ca="1">IF(SUMPRODUCT(--ISNUMBER(SEARCH(DLIST_SONTU,AA31)))&gt;0,"SON","")</f>
        <v/>
      </c>
      <c r="AA31" s="354"/>
      <c r="AB31" s="355"/>
      <c r="AC31" s="355"/>
      <c r="AD31" s="356"/>
      <c r="AE31" s="202"/>
      <c r="AF31" s="202"/>
      <c r="AG31" s="20" t="str">
        <f t="shared" si="4"/>
        <v/>
      </c>
      <c r="AH31" s="21" t="str">
        <f t="shared" si="5"/>
        <v/>
      </c>
    </row>
    <row r="32" spans="2:34" ht="16.5" customHeight="1">
      <c r="B32" s="13"/>
      <c r="C32" s="13"/>
      <c r="D32" s="13"/>
      <c r="F32" s="133" t="str" cm="1">
        <f t="array" aca="1" ref="F32" ca="1">IF(SUMPRODUCT(--ISNUMBER(SEARCH(DLIST_SONTU,G32)))&gt;0,"SON","")</f>
        <v/>
      </c>
      <c r="G32" s="354"/>
      <c r="H32" s="355"/>
      <c r="I32" s="355"/>
      <c r="J32" s="356"/>
      <c r="K32" s="202"/>
      <c r="L32" s="202"/>
      <c r="M32" s="20" t="str">
        <f t="shared" si="0"/>
        <v/>
      </c>
      <c r="N32" s="21" t="str">
        <f t="shared" si="1"/>
        <v/>
      </c>
      <c r="P32" s="133" t="str" cm="1">
        <f t="array" aca="1" ref="P32" ca="1">IF(SUMPRODUCT(--ISNUMBER(SEARCH(DLIST_SONTU,Q32)))&gt;0,"SON","")</f>
        <v/>
      </c>
      <c r="Q32" s="354"/>
      <c r="R32" s="355"/>
      <c r="S32" s="355"/>
      <c r="T32" s="356"/>
      <c r="U32" s="202"/>
      <c r="V32" s="202"/>
      <c r="W32" s="20" t="str">
        <f t="shared" si="2"/>
        <v/>
      </c>
      <c r="X32" s="21" t="str">
        <f t="shared" si="3"/>
        <v/>
      </c>
      <c r="Z32" s="133" t="str" cm="1">
        <f t="array" aca="1" ref="Z32" ca="1">IF(SUMPRODUCT(--ISNUMBER(SEARCH(DLIST_SONTU,AA32)))&gt;0,"SON","")</f>
        <v/>
      </c>
      <c r="AA32" s="354"/>
      <c r="AB32" s="355"/>
      <c r="AC32" s="355"/>
      <c r="AD32" s="356"/>
      <c r="AE32" s="202"/>
      <c r="AF32" s="202"/>
      <c r="AG32" s="20" t="str">
        <f t="shared" si="4"/>
        <v/>
      </c>
      <c r="AH32" s="21" t="str">
        <f t="shared" si="5"/>
        <v/>
      </c>
    </row>
    <row r="33" spans="2:34" ht="16.5" customHeight="1">
      <c r="B33" s="13"/>
      <c r="C33" s="13"/>
      <c r="D33" s="13"/>
      <c r="F33" s="133" t="str" cm="1">
        <f t="array" aca="1" ref="F33" ca="1">IF(SUMPRODUCT(--ISNUMBER(SEARCH(DLIST_SONTU,G33)))&gt;0,"SON","")</f>
        <v/>
      </c>
      <c r="G33" s="354"/>
      <c r="H33" s="355"/>
      <c r="I33" s="355"/>
      <c r="J33" s="356"/>
      <c r="K33" s="202"/>
      <c r="L33" s="202"/>
      <c r="M33" s="20" t="str">
        <f t="shared" si="0"/>
        <v/>
      </c>
      <c r="N33" s="21" t="str">
        <f t="shared" si="1"/>
        <v/>
      </c>
      <c r="P33" s="133" t="str" cm="1">
        <f t="array" aca="1" ref="P33" ca="1">IF(SUMPRODUCT(--ISNUMBER(SEARCH(DLIST_SONTU,Q33)))&gt;0,"SON","")</f>
        <v/>
      </c>
      <c r="Q33" s="354"/>
      <c r="R33" s="355"/>
      <c r="S33" s="355"/>
      <c r="T33" s="356"/>
      <c r="U33" s="202"/>
      <c r="V33" s="202"/>
      <c r="W33" s="20" t="str">
        <f t="shared" si="2"/>
        <v/>
      </c>
      <c r="X33" s="21" t="str">
        <f t="shared" si="3"/>
        <v/>
      </c>
      <c r="Z33" s="133" t="str" cm="1">
        <f t="array" aca="1" ref="Z33" ca="1">IF(SUMPRODUCT(--ISNUMBER(SEARCH(DLIST_SONTU,AA33)))&gt;0,"SON","")</f>
        <v/>
      </c>
      <c r="AA33" s="354"/>
      <c r="AB33" s="355"/>
      <c r="AC33" s="355"/>
      <c r="AD33" s="356"/>
      <c r="AE33" s="202"/>
      <c r="AF33" s="202"/>
      <c r="AG33" s="20" t="str">
        <f t="shared" si="4"/>
        <v/>
      </c>
      <c r="AH33" s="21" t="str">
        <f t="shared" si="5"/>
        <v/>
      </c>
    </row>
    <row r="34" spans="2:34" ht="16.5" customHeight="1">
      <c r="B34" s="13"/>
      <c r="C34" s="13"/>
      <c r="D34" s="13"/>
      <c r="F34" s="133" t="str" cm="1">
        <f t="array" aca="1" ref="F34" ca="1">IF(SUMPRODUCT(--ISNUMBER(SEARCH(DLIST_SONTU,G34)))&gt;0,"SON","")</f>
        <v/>
      </c>
      <c r="G34" s="354"/>
      <c r="H34" s="355"/>
      <c r="I34" s="355"/>
      <c r="J34" s="356"/>
      <c r="K34" s="202"/>
      <c r="L34" s="202"/>
      <c r="M34" s="20" t="str">
        <f t="shared" si="0"/>
        <v/>
      </c>
      <c r="N34" s="21" t="str">
        <f t="shared" si="1"/>
        <v/>
      </c>
      <c r="P34" s="133" t="str" cm="1">
        <f t="array" aca="1" ref="P34" ca="1">IF(SUMPRODUCT(--ISNUMBER(SEARCH(DLIST_SONTU,Q34)))&gt;0,"SON","")</f>
        <v/>
      </c>
      <c r="Q34" s="354"/>
      <c r="R34" s="355"/>
      <c r="S34" s="355"/>
      <c r="T34" s="356"/>
      <c r="U34" s="202"/>
      <c r="V34" s="202"/>
      <c r="W34" s="20" t="str">
        <f t="shared" si="2"/>
        <v/>
      </c>
      <c r="X34" s="21" t="str">
        <f t="shared" si="3"/>
        <v/>
      </c>
      <c r="Z34" s="133" t="str" cm="1">
        <f t="array" aca="1" ref="Z34" ca="1">IF(SUMPRODUCT(--ISNUMBER(SEARCH(DLIST_SONTU,AA34)))&gt;0,"SON","")</f>
        <v/>
      </c>
      <c r="AA34" s="354"/>
      <c r="AB34" s="355"/>
      <c r="AC34" s="355"/>
      <c r="AD34" s="356"/>
      <c r="AE34" s="202"/>
      <c r="AF34" s="202"/>
      <c r="AG34" s="20" t="str">
        <f t="shared" si="4"/>
        <v/>
      </c>
      <c r="AH34" s="21" t="str">
        <f t="shared" si="5"/>
        <v/>
      </c>
    </row>
    <row r="35" spans="2:34" ht="16.5" customHeight="1">
      <c r="B35" s="13"/>
      <c r="C35" s="13"/>
      <c r="D35" s="13"/>
      <c r="F35" s="133" t="str" cm="1">
        <f t="array" aca="1" ref="F35" ca="1">IF(SUMPRODUCT(--ISNUMBER(SEARCH(DLIST_SONTU,G35)))&gt;0,"SON","")</f>
        <v/>
      </c>
      <c r="G35" s="354"/>
      <c r="H35" s="355"/>
      <c r="I35" s="355"/>
      <c r="J35" s="356"/>
      <c r="K35" s="202"/>
      <c r="L35" s="202"/>
      <c r="M35" s="20" t="str">
        <f t="shared" si="0"/>
        <v/>
      </c>
      <c r="N35" s="21" t="str">
        <f t="shared" si="1"/>
        <v/>
      </c>
      <c r="P35" s="133" t="str" cm="1">
        <f t="array" aca="1" ref="P35" ca="1">IF(SUMPRODUCT(--ISNUMBER(SEARCH(DLIST_SONTU,Q35)))&gt;0,"SON","")</f>
        <v/>
      </c>
      <c r="Q35" s="354"/>
      <c r="R35" s="355"/>
      <c r="S35" s="355"/>
      <c r="T35" s="356"/>
      <c r="U35" s="202"/>
      <c r="V35" s="202"/>
      <c r="W35" s="20" t="str">
        <f t="shared" si="2"/>
        <v/>
      </c>
      <c r="X35" s="21" t="str">
        <f t="shared" si="3"/>
        <v/>
      </c>
      <c r="Z35" s="133" t="str" cm="1">
        <f t="array" aca="1" ref="Z35" ca="1">IF(SUMPRODUCT(--ISNUMBER(SEARCH(DLIST_SONTU,AA35)))&gt;0,"SON","")</f>
        <v/>
      </c>
      <c r="AA35" s="354"/>
      <c r="AB35" s="355"/>
      <c r="AC35" s="355"/>
      <c r="AD35" s="356"/>
      <c r="AE35" s="202"/>
      <c r="AF35" s="202"/>
      <c r="AG35" s="20" t="str">
        <f t="shared" si="4"/>
        <v/>
      </c>
      <c r="AH35" s="21" t="str">
        <f t="shared" si="5"/>
        <v/>
      </c>
    </row>
    <row r="36" spans="2:34" ht="16.5" customHeight="1">
      <c r="B36" s="13"/>
      <c r="C36" s="13"/>
      <c r="D36" s="13"/>
      <c r="F36" s="357" t="s">
        <v>378</v>
      </c>
      <c r="G36" s="357"/>
      <c r="H36" s="357"/>
      <c r="I36" s="357"/>
      <c r="J36" s="357"/>
      <c r="K36" s="358" t="s">
        <v>379</v>
      </c>
      <c r="L36" s="359"/>
      <c r="M36" s="24">
        <f>SUM(M11:M35)</f>
        <v>0</v>
      </c>
      <c r="N36" s="22">
        <f>SUM(N11:N35)</f>
        <v>0</v>
      </c>
      <c r="P36" s="357" t="s">
        <v>378</v>
      </c>
      <c r="Q36" s="357"/>
      <c r="R36" s="357"/>
      <c r="S36" s="357"/>
      <c r="T36" s="357"/>
      <c r="U36" s="358" t="s">
        <v>379</v>
      </c>
      <c r="V36" s="359"/>
      <c r="W36" s="24">
        <f>SUM(W11:W35)</f>
        <v>0</v>
      </c>
      <c r="X36" s="22">
        <f>SUM(X11:X35)</f>
        <v>0</v>
      </c>
      <c r="Z36" s="357" t="s">
        <v>378</v>
      </c>
      <c r="AA36" s="357"/>
      <c r="AB36" s="357"/>
      <c r="AC36" s="357"/>
      <c r="AD36" s="357"/>
      <c r="AE36" s="358" t="s">
        <v>379</v>
      </c>
      <c r="AF36" s="359"/>
      <c r="AG36" s="24">
        <f>SUM(AG11:AG35)</f>
        <v>0</v>
      </c>
      <c r="AH36" s="22">
        <f>SUM(AH11:AH35)</f>
        <v>0</v>
      </c>
    </row>
    <row r="37" spans="2:34" ht="16.5" customHeight="1">
      <c r="B37" s="13"/>
      <c r="C37" s="13"/>
      <c r="D37" s="13"/>
      <c r="F37" s="357"/>
      <c r="G37" s="357"/>
      <c r="H37" s="357"/>
      <c r="I37" s="357"/>
      <c r="J37" s="357"/>
      <c r="K37" s="358" t="s">
        <v>380</v>
      </c>
      <c r="L37" s="359"/>
      <c r="M37" s="23">
        <f>M36/54</f>
        <v>0</v>
      </c>
      <c r="N37" s="22">
        <f>N36/54</f>
        <v>0</v>
      </c>
      <c r="P37" s="357"/>
      <c r="Q37" s="357"/>
      <c r="R37" s="357"/>
      <c r="S37" s="357"/>
      <c r="T37" s="357"/>
      <c r="U37" s="358" t="s">
        <v>380</v>
      </c>
      <c r="V37" s="359"/>
      <c r="W37" s="23">
        <f>W36/54</f>
        <v>0</v>
      </c>
      <c r="X37" s="22">
        <f>X36/54</f>
        <v>0</v>
      </c>
      <c r="Z37" s="357"/>
      <c r="AA37" s="357"/>
      <c r="AB37" s="357"/>
      <c r="AC37" s="357"/>
      <c r="AD37" s="357"/>
      <c r="AE37" s="358" t="s">
        <v>380</v>
      </c>
      <c r="AF37" s="359"/>
      <c r="AG37" s="23">
        <f>AG36/54</f>
        <v>0</v>
      </c>
      <c r="AH37" s="22">
        <f>AH36/54</f>
        <v>0</v>
      </c>
    </row>
    <row r="38" spans="2:34" ht="16.5" customHeight="1">
      <c r="B38" s="13"/>
      <c r="C38" s="13"/>
      <c r="D38" s="13"/>
      <c r="G38" s="6"/>
      <c r="H38" s="6"/>
      <c r="I38" s="6"/>
      <c r="J38" s="6"/>
      <c r="K38" s="6"/>
      <c r="L38" s="6"/>
      <c r="M38" s="6"/>
      <c r="N38" s="6"/>
      <c r="Q38" s="6"/>
      <c r="R38" s="6"/>
      <c r="S38" s="6"/>
      <c r="T38" s="6"/>
      <c r="U38" s="6"/>
      <c r="V38" s="6"/>
      <c r="W38" s="6"/>
      <c r="X38" s="6"/>
      <c r="AA38" s="6"/>
      <c r="AB38" s="6"/>
      <c r="AC38" s="6"/>
      <c r="AD38" s="6"/>
      <c r="AE38" s="6"/>
      <c r="AF38" s="6"/>
      <c r="AG38" s="6"/>
      <c r="AH38" s="6"/>
    </row>
    <row r="39" spans="2:34" ht="16.5" customHeight="1">
      <c r="B39" s="13"/>
      <c r="C39" s="13"/>
      <c r="D39" s="13"/>
      <c r="F39" s="360" t="s">
        <v>381</v>
      </c>
      <c r="G39" s="360"/>
      <c r="H39" s="360"/>
      <c r="I39" s="360"/>
      <c r="J39" s="360"/>
      <c r="K39" s="28"/>
      <c r="L39" s="19" t="s">
        <v>362</v>
      </c>
      <c r="M39" s="19" t="s">
        <v>363</v>
      </c>
      <c r="N39" s="19" t="s">
        <v>364</v>
      </c>
      <c r="P39" s="360" t="s">
        <v>381</v>
      </c>
      <c r="Q39" s="360"/>
      <c r="R39" s="360"/>
      <c r="S39" s="360"/>
      <c r="T39" s="360"/>
      <c r="U39" s="28"/>
      <c r="V39" s="19" t="s">
        <v>362</v>
      </c>
      <c r="W39" s="19" t="s">
        <v>363</v>
      </c>
      <c r="X39" s="19" t="s">
        <v>364</v>
      </c>
      <c r="Z39" s="360" t="s">
        <v>381</v>
      </c>
      <c r="AA39" s="360"/>
      <c r="AB39" s="360"/>
      <c r="AC39" s="360"/>
      <c r="AD39" s="360"/>
      <c r="AE39" s="28"/>
      <c r="AF39" s="19" t="s">
        <v>362</v>
      </c>
      <c r="AG39" s="19" t="s">
        <v>363</v>
      </c>
      <c r="AH39" s="19" t="s">
        <v>364</v>
      </c>
    </row>
    <row r="40" spans="2:34" ht="16.5" customHeight="1">
      <c r="B40" s="13"/>
      <c r="C40" s="13"/>
      <c r="D40" s="13"/>
      <c r="F40" s="279"/>
      <c r="G40" s="281"/>
      <c r="H40" s="281"/>
      <c r="I40" s="281"/>
      <c r="J40" s="280"/>
      <c r="K40" s="29"/>
      <c r="L40" s="202"/>
      <c r="M40" s="20" t="str">
        <f t="shared" ref="M40:M45" si="6">IFERROR((VLOOKUP(F40,DB_TXEQ,5,0))*L40,"")</f>
        <v/>
      </c>
      <c r="N40" s="21" t="str">
        <f t="shared" ref="N40:N45" si="7">IFERROR((VLOOKUP(F40,DB_TXEQ,6,0))*L40,"")</f>
        <v/>
      </c>
      <c r="P40" s="279"/>
      <c r="Q40" s="281"/>
      <c r="R40" s="281"/>
      <c r="S40" s="281"/>
      <c r="T40" s="280"/>
      <c r="U40" s="29"/>
      <c r="V40" s="202"/>
      <c r="W40" s="20" t="str">
        <f t="shared" ref="W40:W45" si="8">IFERROR((VLOOKUP(P40,DB_TXEQ,5,0))*V40,"")</f>
        <v/>
      </c>
      <c r="X40" s="21" t="str">
        <f t="shared" ref="X40:X45" si="9">IFERROR((VLOOKUP(P40,DB_TXEQ,6,0))*V40,"")</f>
        <v/>
      </c>
      <c r="Z40" s="279"/>
      <c r="AA40" s="281"/>
      <c r="AB40" s="281"/>
      <c r="AC40" s="281"/>
      <c r="AD40" s="280"/>
      <c r="AE40" s="29"/>
      <c r="AF40" s="202"/>
      <c r="AG40" s="20" t="str">
        <f t="shared" ref="AG40:AG45" si="10">IFERROR((VLOOKUP(Z40,DB_TXEQ,5,0))*AF40,"")</f>
        <v/>
      </c>
      <c r="AH40" s="21" t="str">
        <f t="shared" ref="AH40:AH45" si="11">IFERROR((VLOOKUP(Z40,DB_TXEQ,6,0))*AF40,"")</f>
        <v/>
      </c>
    </row>
    <row r="41" spans="2:34" ht="16.5" customHeight="1">
      <c r="B41" s="13"/>
      <c r="C41" s="13"/>
      <c r="D41" s="13"/>
      <c r="F41" s="279"/>
      <c r="G41" s="281"/>
      <c r="H41" s="281"/>
      <c r="I41" s="281"/>
      <c r="J41" s="280"/>
      <c r="K41" s="29"/>
      <c r="L41" s="202"/>
      <c r="M41" s="20" t="str">
        <f t="shared" si="6"/>
        <v/>
      </c>
      <c r="N41" s="21" t="str">
        <f t="shared" si="7"/>
        <v/>
      </c>
      <c r="P41" s="279"/>
      <c r="Q41" s="281"/>
      <c r="R41" s="281"/>
      <c r="S41" s="281"/>
      <c r="T41" s="280"/>
      <c r="U41" s="29"/>
      <c r="V41" s="202"/>
      <c r="W41" s="20" t="str">
        <f t="shared" si="8"/>
        <v/>
      </c>
      <c r="X41" s="21" t="str">
        <f t="shared" si="9"/>
        <v/>
      </c>
      <c r="Z41" s="279"/>
      <c r="AA41" s="281"/>
      <c r="AB41" s="281"/>
      <c r="AC41" s="281"/>
      <c r="AD41" s="280"/>
      <c r="AE41" s="29"/>
      <c r="AF41" s="202"/>
      <c r="AG41" s="20" t="str">
        <f t="shared" si="10"/>
        <v/>
      </c>
      <c r="AH41" s="21" t="str">
        <f t="shared" si="11"/>
        <v/>
      </c>
    </row>
    <row r="42" spans="2:34" ht="16.5" customHeight="1">
      <c r="B42" s="13"/>
      <c r="C42" s="13"/>
      <c r="D42" s="13"/>
      <c r="F42" s="279"/>
      <c r="G42" s="281"/>
      <c r="H42" s="281"/>
      <c r="I42" s="281"/>
      <c r="J42" s="280"/>
      <c r="K42" s="29"/>
      <c r="L42" s="202"/>
      <c r="M42" s="20" t="str">
        <f t="shared" si="6"/>
        <v/>
      </c>
      <c r="N42" s="21" t="str">
        <f t="shared" si="7"/>
        <v/>
      </c>
      <c r="P42" s="279"/>
      <c r="Q42" s="281"/>
      <c r="R42" s="281"/>
      <c r="S42" s="281"/>
      <c r="T42" s="280"/>
      <c r="U42" s="29"/>
      <c r="V42" s="202"/>
      <c r="W42" s="20" t="str">
        <f t="shared" si="8"/>
        <v/>
      </c>
      <c r="X42" s="21" t="str">
        <f t="shared" si="9"/>
        <v/>
      </c>
      <c r="Z42" s="279"/>
      <c r="AA42" s="281"/>
      <c r="AB42" s="281"/>
      <c r="AC42" s="281"/>
      <c r="AD42" s="280"/>
      <c r="AE42" s="29"/>
      <c r="AF42" s="202"/>
      <c r="AG42" s="20" t="str">
        <f t="shared" si="10"/>
        <v/>
      </c>
      <c r="AH42" s="21" t="str">
        <f t="shared" si="11"/>
        <v/>
      </c>
    </row>
    <row r="43" spans="2:34" ht="16.5" customHeight="1">
      <c r="B43" s="13"/>
      <c r="C43" s="13"/>
      <c r="D43" s="13"/>
      <c r="F43" s="279"/>
      <c r="G43" s="281"/>
      <c r="H43" s="281"/>
      <c r="I43" s="281"/>
      <c r="J43" s="280"/>
      <c r="K43" s="29"/>
      <c r="L43" s="202"/>
      <c r="M43" s="20" t="str">
        <f t="shared" si="6"/>
        <v/>
      </c>
      <c r="N43" s="21" t="str">
        <f t="shared" si="7"/>
        <v/>
      </c>
      <c r="P43" s="279"/>
      <c r="Q43" s="281"/>
      <c r="R43" s="281"/>
      <c r="S43" s="281"/>
      <c r="T43" s="280"/>
      <c r="U43" s="29"/>
      <c r="V43" s="202"/>
      <c r="W43" s="20" t="str">
        <f t="shared" si="8"/>
        <v/>
      </c>
      <c r="X43" s="21" t="str">
        <f t="shared" si="9"/>
        <v/>
      </c>
      <c r="Z43" s="279"/>
      <c r="AA43" s="281"/>
      <c r="AB43" s="281"/>
      <c r="AC43" s="281"/>
      <c r="AD43" s="280"/>
      <c r="AE43" s="29"/>
      <c r="AF43" s="202"/>
      <c r="AG43" s="20" t="str">
        <f t="shared" si="10"/>
        <v/>
      </c>
      <c r="AH43" s="21" t="str">
        <f t="shared" si="11"/>
        <v/>
      </c>
    </row>
    <row r="44" spans="2:34" ht="16.5" customHeight="1">
      <c r="B44" s="13"/>
      <c r="C44" s="13"/>
      <c r="D44" s="13"/>
      <c r="F44" s="279"/>
      <c r="G44" s="281"/>
      <c r="H44" s="281"/>
      <c r="I44" s="281"/>
      <c r="J44" s="280"/>
      <c r="K44" s="29"/>
      <c r="L44" s="202"/>
      <c r="M44" s="20" t="str">
        <f t="shared" si="6"/>
        <v/>
      </c>
      <c r="N44" s="21" t="str">
        <f t="shared" si="7"/>
        <v/>
      </c>
      <c r="P44" s="279"/>
      <c r="Q44" s="281"/>
      <c r="R44" s="281"/>
      <c r="S44" s="281"/>
      <c r="T44" s="280"/>
      <c r="U44" s="29"/>
      <c r="V44" s="202"/>
      <c r="W44" s="20" t="str">
        <f t="shared" si="8"/>
        <v/>
      </c>
      <c r="X44" s="21" t="str">
        <f t="shared" si="9"/>
        <v/>
      </c>
      <c r="Z44" s="279"/>
      <c r="AA44" s="281"/>
      <c r="AB44" s="281"/>
      <c r="AC44" s="281"/>
      <c r="AD44" s="280"/>
      <c r="AE44" s="29"/>
      <c r="AF44" s="202"/>
      <c r="AG44" s="20" t="str">
        <f t="shared" si="10"/>
        <v/>
      </c>
      <c r="AH44" s="21" t="str">
        <f t="shared" si="11"/>
        <v/>
      </c>
    </row>
    <row r="45" spans="2:34" ht="16.5" customHeight="1">
      <c r="B45" s="13"/>
      <c r="C45" s="13"/>
      <c r="D45" s="13"/>
      <c r="F45" s="279"/>
      <c r="G45" s="281"/>
      <c r="H45" s="281"/>
      <c r="I45" s="281"/>
      <c r="J45" s="280"/>
      <c r="K45" s="29"/>
      <c r="L45" s="202"/>
      <c r="M45" s="20" t="str">
        <f t="shared" si="6"/>
        <v/>
      </c>
      <c r="N45" s="21" t="str">
        <f t="shared" si="7"/>
        <v/>
      </c>
      <c r="P45" s="279"/>
      <c r="Q45" s="281"/>
      <c r="R45" s="281"/>
      <c r="S45" s="281"/>
      <c r="T45" s="280"/>
      <c r="U45" s="29"/>
      <c r="V45" s="202"/>
      <c r="W45" s="20" t="str">
        <f t="shared" si="8"/>
        <v/>
      </c>
      <c r="X45" s="21" t="str">
        <f t="shared" si="9"/>
        <v/>
      </c>
      <c r="Z45" s="279"/>
      <c r="AA45" s="281"/>
      <c r="AB45" s="281"/>
      <c r="AC45" s="281"/>
      <c r="AD45" s="280"/>
      <c r="AE45" s="29"/>
      <c r="AF45" s="202"/>
      <c r="AG45" s="20" t="str">
        <f t="shared" si="10"/>
        <v/>
      </c>
      <c r="AH45" s="21" t="str">
        <f t="shared" si="11"/>
        <v/>
      </c>
    </row>
    <row r="46" spans="2:34" ht="16.5" customHeight="1">
      <c r="B46" s="13"/>
      <c r="C46" s="13"/>
      <c r="D46" s="13"/>
      <c r="F46" s="357" t="s">
        <v>378</v>
      </c>
      <c r="G46" s="357"/>
      <c r="H46" s="357"/>
      <c r="I46" s="357"/>
      <c r="J46" s="357"/>
      <c r="K46" s="358" t="s">
        <v>379</v>
      </c>
      <c r="L46" s="359"/>
      <c r="M46" s="22">
        <f>SUM(M40:M45)</f>
        <v>0</v>
      </c>
      <c r="N46" s="22">
        <f>SUM(N40:N45)</f>
        <v>0</v>
      </c>
      <c r="P46" s="357" t="s">
        <v>378</v>
      </c>
      <c r="Q46" s="357"/>
      <c r="R46" s="357"/>
      <c r="S46" s="357"/>
      <c r="T46" s="357"/>
      <c r="U46" s="358" t="s">
        <v>379</v>
      </c>
      <c r="V46" s="359"/>
      <c r="W46" s="22">
        <f>SUM(W40:W45)</f>
        <v>0</v>
      </c>
      <c r="X46" s="22">
        <f>SUM(X40:X45)</f>
        <v>0</v>
      </c>
      <c r="Z46" s="357" t="s">
        <v>378</v>
      </c>
      <c r="AA46" s="357"/>
      <c r="AB46" s="357"/>
      <c r="AC46" s="357"/>
      <c r="AD46" s="357"/>
      <c r="AE46" s="358" t="s">
        <v>379</v>
      </c>
      <c r="AF46" s="359"/>
      <c r="AG46" s="22">
        <f>SUM(AG40:AG45)</f>
        <v>0</v>
      </c>
      <c r="AH46" s="22">
        <f>SUM(AH40:AH45)</f>
        <v>0</v>
      </c>
    </row>
    <row r="47" spans="2:34" ht="16.5" customHeight="1">
      <c r="B47" s="13"/>
      <c r="C47" s="13"/>
      <c r="D47" s="13"/>
      <c r="F47" s="357"/>
      <c r="G47" s="357"/>
      <c r="H47" s="357"/>
      <c r="I47" s="357"/>
      <c r="J47" s="357"/>
      <c r="K47" s="358" t="s">
        <v>380</v>
      </c>
      <c r="L47" s="359"/>
      <c r="M47" s="22">
        <f>M46/54</f>
        <v>0</v>
      </c>
      <c r="N47" s="22">
        <f>N46/54</f>
        <v>0</v>
      </c>
      <c r="P47" s="357"/>
      <c r="Q47" s="357"/>
      <c r="R47" s="357"/>
      <c r="S47" s="357"/>
      <c r="T47" s="357"/>
      <c r="U47" s="358" t="s">
        <v>380</v>
      </c>
      <c r="V47" s="359"/>
      <c r="W47" s="22">
        <f>W46/54</f>
        <v>0</v>
      </c>
      <c r="X47" s="22">
        <f>X46/54</f>
        <v>0</v>
      </c>
      <c r="Z47" s="357"/>
      <c r="AA47" s="357"/>
      <c r="AB47" s="357"/>
      <c r="AC47" s="357"/>
      <c r="AD47" s="357"/>
      <c r="AE47" s="358" t="s">
        <v>380</v>
      </c>
      <c r="AF47" s="359"/>
      <c r="AG47" s="22">
        <f>AG46/54</f>
        <v>0</v>
      </c>
      <c r="AH47" s="22">
        <f>AH46/54</f>
        <v>0</v>
      </c>
    </row>
    <row r="48" spans="2:34" ht="16.5" customHeight="1">
      <c r="B48" s="13"/>
      <c r="C48" s="13"/>
      <c r="D48" s="13"/>
    </row>
    <row r="49" spans="2:33" ht="16.5" customHeight="1">
      <c r="B49" s="13"/>
      <c r="C49" s="13"/>
      <c r="D49" s="13"/>
    </row>
    <row r="50" spans="2:33" ht="16.5" customHeight="1">
      <c r="B50" s="13"/>
      <c r="C50" s="13"/>
      <c r="D50" s="13"/>
      <c r="G50" s="316" t="s">
        <v>348</v>
      </c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Z50" s="316"/>
      <c r="AA50" s="316"/>
      <c r="AB50" s="316"/>
      <c r="AC50" s="316"/>
      <c r="AD50" s="316"/>
      <c r="AE50" s="316"/>
      <c r="AF50" s="316"/>
      <c r="AG50" s="316"/>
    </row>
    <row r="51" spans="2:33" ht="16.5" customHeight="1">
      <c r="B51" s="13"/>
      <c r="C51" s="13"/>
      <c r="D51" s="13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</row>
    <row r="52" spans="2:33" ht="16.5" customHeight="1">
      <c r="B52" s="13"/>
      <c r="C52" s="13"/>
      <c r="D52" s="13"/>
      <c r="F52" s="292" t="s">
        <v>385</v>
      </c>
      <c r="G52" s="292"/>
      <c r="H52" s="292"/>
      <c r="I52" s="292"/>
      <c r="J52" s="292"/>
      <c r="K52" s="292"/>
      <c r="L52" s="292"/>
      <c r="M52" s="292"/>
    </row>
    <row r="53" spans="2:33" ht="16.5" customHeight="1">
      <c r="B53" s="13"/>
      <c r="C53" s="13"/>
      <c r="D53" s="13"/>
      <c r="F53" s="292"/>
      <c r="G53" s="292"/>
      <c r="H53" s="292"/>
      <c r="I53" s="292"/>
      <c r="J53" s="292"/>
      <c r="K53" s="292"/>
      <c r="L53" s="292"/>
      <c r="M53" s="292"/>
    </row>
    <row r="54" spans="2:33" ht="16.5" customHeight="1">
      <c r="B54" s="13"/>
      <c r="C54" s="13"/>
      <c r="D54" s="13"/>
      <c r="F54" s="369" t="s">
        <v>540</v>
      </c>
      <c r="G54" s="370"/>
      <c r="H54" s="370"/>
      <c r="I54" s="31" t="s">
        <v>388</v>
      </c>
      <c r="J54" s="31" t="s">
        <v>389</v>
      </c>
      <c r="K54" s="31" t="s">
        <v>390</v>
      </c>
      <c r="L54" s="31" t="s">
        <v>388</v>
      </c>
      <c r="M54" s="31" t="s">
        <v>329</v>
      </c>
      <c r="P54" s="369" t="s">
        <v>541</v>
      </c>
      <c r="Q54" s="370"/>
      <c r="R54" s="370"/>
      <c r="S54" s="31" t="s">
        <v>388</v>
      </c>
      <c r="T54" s="31" t="s">
        <v>389</v>
      </c>
      <c r="U54" s="31" t="s">
        <v>390</v>
      </c>
      <c r="V54" s="31" t="s">
        <v>542</v>
      </c>
      <c r="W54" s="31" t="s">
        <v>329</v>
      </c>
      <c r="Z54" s="369" t="s">
        <v>540</v>
      </c>
      <c r="AA54" s="370"/>
      <c r="AB54" s="370"/>
      <c r="AC54" s="31" t="s">
        <v>388</v>
      </c>
      <c r="AD54" s="31" t="s">
        <v>389</v>
      </c>
      <c r="AE54" s="31" t="s">
        <v>390</v>
      </c>
      <c r="AF54" s="31" t="s">
        <v>388</v>
      </c>
      <c r="AG54" s="31" t="s">
        <v>329</v>
      </c>
    </row>
    <row r="55" spans="2:33" ht="16.5" customHeight="1">
      <c r="B55" s="13"/>
      <c r="C55" s="13"/>
      <c r="D55" s="13"/>
      <c r="F55" s="371"/>
      <c r="G55" s="372"/>
      <c r="H55" s="372"/>
      <c r="I55" s="31" t="s">
        <v>389</v>
      </c>
      <c r="J55" s="31" t="s">
        <v>390</v>
      </c>
      <c r="K55" s="31" t="s">
        <v>388</v>
      </c>
      <c r="L55" s="31" t="s">
        <v>389</v>
      </c>
      <c r="M55" s="31" t="s">
        <v>329</v>
      </c>
      <c r="P55" s="371"/>
      <c r="Q55" s="372"/>
      <c r="R55" s="372"/>
      <c r="S55" s="31" t="s">
        <v>388</v>
      </c>
      <c r="T55" s="31" t="s">
        <v>389</v>
      </c>
      <c r="U55" s="31" t="s">
        <v>390</v>
      </c>
      <c r="V55" s="31" t="s">
        <v>542</v>
      </c>
      <c r="W55" s="31" t="s">
        <v>329</v>
      </c>
      <c r="Z55" s="371"/>
      <c r="AA55" s="372"/>
      <c r="AB55" s="372"/>
      <c r="AC55" s="31" t="s">
        <v>389</v>
      </c>
      <c r="AD55" s="31" t="s">
        <v>390</v>
      </c>
      <c r="AE55" s="31" t="s">
        <v>388</v>
      </c>
      <c r="AF55" s="31" t="s">
        <v>389</v>
      </c>
      <c r="AG55" s="31" t="s">
        <v>329</v>
      </c>
    </row>
    <row r="56" spans="2:33" ht="16.5" customHeight="1">
      <c r="B56" s="13"/>
      <c r="C56" s="13"/>
      <c r="D56" s="13"/>
      <c r="F56" s="371"/>
      <c r="G56" s="372"/>
      <c r="H56" s="372"/>
      <c r="I56" s="31" t="s">
        <v>329</v>
      </c>
      <c r="J56" s="31" t="s">
        <v>329</v>
      </c>
      <c r="K56" s="31" t="s">
        <v>329</v>
      </c>
      <c r="L56" s="31" t="s">
        <v>329</v>
      </c>
      <c r="M56" s="31" t="s">
        <v>329</v>
      </c>
      <c r="P56" s="371"/>
      <c r="Q56" s="372"/>
      <c r="R56" s="372"/>
      <c r="S56" s="31" t="s">
        <v>329</v>
      </c>
      <c r="T56" s="31" t="s">
        <v>329</v>
      </c>
      <c r="U56" s="31" t="s">
        <v>329</v>
      </c>
      <c r="V56" s="31" t="s">
        <v>329</v>
      </c>
      <c r="W56" s="31" t="s">
        <v>329</v>
      </c>
      <c r="Z56" s="371"/>
      <c r="AA56" s="372"/>
      <c r="AB56" s="372"/>
      <c r="AC56" s="31" t="s">
        <v>329</v>
      </c>
      <c r="AD56" s="31" t="s">
        <v>329</v>
      </c>
      <c r="AE56" s="31" t="s">
        <v>329</v>
      </c>
      <c r="AF56" s="31" t="s">
        <v>329</v>
      </c>
      <c r="AG56" s="31" t="s">
        <v>329</v>
      </c>
    </row>
    <row r="57" spans="2:33" ht="16.5" customHeight="1">
      <c r="B57" s="13"/>
      <c r="C57" s="13"/>
      <c r="D57" s="13"/>
      <c r="F57" s="373"/>
      <c r="G57" s="374"/>
      <c r="H57" s="374"/>
      <c r="I57" s="31" t="s">
        <v>329</v>
      </c>
      <c r="J57" s="31" t="s">
        <v>329</v>
      </c>
      <c r="K57" s="31" t="s">
        <v>329</v>
      </c>
      <c r="L57" s="31" t="s">
        <v>329</v>
      </c>
      <c r="M57" s="31" t="s">
        <v>329</v>
      </c>
      <c r="P57" s="373"/>
      <c r="Q57" s="374"/>
      <c r="R57" s="374"/>
      <c r="S57" s="31" t="s">
        <v>329</v>
      </c>
      <c r="T57" s="31" t="s">
        <v>329</v>
      </c>
      <c r="U57" s="31" t="s">
        <v>329</v>
      </c>
      <c r="V57" s="31" t="s">
        <v>329</v>
      </c>
      <c r="W57" s="31" t="s">
        <v>329</v>
      </c>
      <c r="Z57" s="373"/>
      <c r="AA57" s="374"/>
      <c r="AB57" s="374"/>
      <c r="AC57" s="31" t="s">
        <v>329</v>
      </c>
      <c r="AD57" s="31" t="s">
        <v>329</v>
      </c>
      <c r="AE57" s="31" t="s">
        <v>329</v>
      </c>
      <c r="AF57" s="31" t="s">
        <v>329</v>
      </c>
      <c r="AG57" s="31" t="s">
        <v>329</v>
      </c>
    </row>
    <row r="58" spans="2:33" ht="16.5" customHeight="1">
      <c r="B58" s="13"/>
      <c r="C58" s="13"/>
      <c r="D58" s="13"/>
      <c r="F58" s="25"/>
      <c r="G58" s="25"/>
      <c r="H58" s="25"/>
      <c r="I58" s="25"/>
      <c r="J58" s="25"/>
      <c r="K58" s="25"/>
      <c r="L58" s="25"/>
      <c r="M58" s="25"/>
    </row>
    <row r="59" spans="2:33" ht="16.5" customHeight="1">
      <c r="B59" s="13"/>
      <c r="C59" s="13"/>
      <c r="D59" s="13"/>
      <c r="F59" s="32" t="s">
        <v>391</v>
      </c>
      <c r="P59" s="32" t="s">
        <v>391</v>
      </c>
      <c r="Z59" s="32" t="s">
        <v>391</v>
      </c>
    </row>
    <row r="61" spans="2:33">
      <c r="F61" s="51"/>
      <c r="G61" s="295" t="s">
        <v>394</v>
      </c>
      <c r="H61" s="295"/>
      <c r="I61" s="295"/>
      <c r="J61" s="351"/>
      <c r="K61" s="352"/>
      <c r="L61" s="353"/>
      <c r="M61" s="16" t="s">
        <v>158</v>
      </c>
      <c r="P61" s="51"/>
      <c r="Q61" s="295" t="s">
        <v>394</v>
      </c>
      <c r="R61" s="295"/>
      <c r="S61" s="295"/>
      <c r="T61" s="351"/>
      <c r="U61" s="352"/>
      <c r="V61" s="353"/>
      <c r="W61" s="16" t="s">
        <v>158</v>
      </c>
      <c r="Z61" s="51"/>
      <c r="AA61" s="295" t="s">
        <v>394</v>
      </c>
      <c r="AB61" s="295"/>
      <c r="AC61" s="295"/>
      <c r="AD61" s="351" t="s">
        <v>540</v>
      </c>
      <c r="AE61" s="352"/>
      <c r="AF61" s="353"/>
      <c r="AG61" s="16" t="s">
        <v>158</v>
      </c>
    </row>
    <row r="62" spans="2:33">
      <c r="F62" s="51" t="str">
        <f>IF(ISNUMBER(SEARCH(VLOOKUP(J62,CHOOSE({1,2},DBRECT!$H$10:$H$100,DBRECT!$F$10:$F$100),2,0),VLOOKUP(J61,DBPSU!$H$5:$U$100,7,0)))=TRUE,IF(J62="","","OK"),IF(J62="","","ERR"))</f>
        <v/>
      </c>
      <c r="G62" s="295" t="s">
        <v>395</v>
      </c>
      <c r="H62" s="295"/>
      <c r="I62" s="295"/>
      <c r="J62" s="351"/>
      <c r="K62" s="352"/>
      <c r="L62" s="353"/>
      <c r="M62" s="16" t="s">
        <v>158</v>
      </c>
      <c r="P62" s="51" t="str">
        <f>IF(ISNUMBER(SEARCH(VLOOKUP(T62,CHOOSE({1,2},DBRECT!$H$10:$H$100,DBRECT!$F$10:$F$100),2,0),VLOOKUP(T61,DBPSU!$H$5:$U$100,7,0)))=TRUE,IF(T62="","","OK"),IF(T62="","","ERR"))</f>
        <v/>
      </c>
      <c r="Q62" s="295" t="s">
        <v>395</v>
      </c>
      <c r="R62" s="295"/>
      <c r="S62" s="295"/>
      <c r="T62" s="351"/>
      <c r="U62" s="352"/>
      <c r="V62" s="353"/>
      <c r="W62" s="16" t="s">
        <v>158</v>
      </c>
      <c r="Z62" s="51" t="str">
        <f>IF(ISNUMBER(SEARCH(VLOOKUP(AD62,CHOOSE({1,2},DBRECT!$H$10:$H$100,DBRECT!$F$10:$F$100),2,0),VLOOKUP(AD61,DBPSU!$H$5:$U$100,7,0)))=TRUE,IF(AD62="","","OK"),IF(AD62="","","ERR"))</f>
        <v>OK</v>
      </c>
      <c r="AA62" s="295" t="s">
        <v>395</v>
      </c>
      <c r="AB62" s="295"/>
      <c r="AC62" s="295"/>
      <c r="AD62" s="351" t="s">
        <v>543</v>
      </c>
      <c r="AE62" s="352"/>
      <c r="AF62" s="353"/>
      <c r="AG62" s="16" t="s">
        <v>158</v>
      </c>
    </row>
    <row r="63" spans="2:33">
      <c r="F63" s="51" t="str">
        <f>IFERROR(IF(J63&gt;(VLOOKUP(J62,DBRECT!$H$10:$M$100,5,FALSE)*(COUNTIF(I67:M70,"Enabled")+COUNTIF(I67:M70,"Blank")+COUNTIF(I67:M70,"")))/230/3,"OK","ERR"),"")</f>
        <v/>
      </c>
      <c r="G63" s="295" t="s">
        <v>397</v>
      </c>
      <c r="H63" s="295"/>
      <c r="I63" s="295"/>
      <c r="J63" s="203"/>
      <c r="K63" s="122"/>
      <c r="L63" s="115"/>
      <c r="M63" s="6"/>
      <c r="P63" s="51" t="str">
        <f>IFERROR(IF(T63&gt;(VLOOKUP(T62,DBRECT!$H$10:$M$100,5,FALSE)*(COUNTIF(S67:W70,"Enabled")+COUNTIF(S67:W70,"Blank")+COUNTIF(S67:W70,"")))/230/3,"OK","ERR"),"")</f>
        <v/>
      </c>
      <c r="Q63" s="295" t="s">
        <v>397</v>
      </c>
      <c r="R63" s="295"/>
      <c r="S63" s="295"/>
      <c r="T63" s="203"/>
      <c r="U63" s="122"/>
      <c r="V63" s="115"/>
      <c r="W63" s="6"/>
      <c r="Z63" s="51" t="str">
        <f>IFERROR(IF(AD63&gt;(VLOOKUP(AD62,DBRECT!$H$10:$M$100,5,FALSE)*(COUNTIF(AC67:AG70,"Enabled")+COUNTIF(AC67:AG70,"Blank")+COUNTIF(AC67:AG70,"")))/230/3,"OK","ERR"),"")</f>
        <v>OK</v>
      </c>
      <c r="AA63" s="295" t="s">
        <v>397</v>
      </c>
      <c r="AB63" s="295"/>
      <c r="AC63" s="295"/>
      <c r="AD63" s="203">
        <v>40</v>
      </c>
      <c r="AE63" s="122" t="s">
        <v>158</v>
      </c>
      <c r="AF63" s="115"/>
      <c r="AG63" s="6"/>
    </row>
    <row r="64" spans="2:33">
      <c r="F64" s="51" t="str">
        <f>IF(J64="","",IF(J64&lt;IFERROR(VLOOKUP(J73,DBBATT!$H$10:$P$100,6,FALSE),""),"ERR1",IF(J64&gt;IFERROR(VLOOKUP(J73,DBBATT!$H$10:$P$100,7,FALSE),""),"ERR2","OK")))</f>
        <v/>
      </c>
      <c r="G64" s="295" t="s">
        <v>398</v>
      </c>
      <c r="H64" s="295"/>
      <c r="I64" s="295"/>
      <c r="J64" s="203"/>
      <c r="K64" s="123"/>
      <c r="L64" s="124"/>
      <c r="M64" s="6"/>
      <c r="P64" s="51" t="str">
        <f>IF(T64="","",IF(T64&lt;IFERROR(VLOOKUP(T73,DBBATT!$H$10:$P$100,6,FALSE),0),"ERR1",IF(T64&gt;IFERROR(VLOOKUP(T73,DBBATT!$H$10:$P$100,7,FALSE),0),"ERR2","OK")))</f>
        <v/>
      </c>
      <c r="Q64" s="295" t="s">
        <v>398</v>
      </c>
      <c r="R64" s="295"/>
      <c r="S64" s="295"/>
      <c r="T64" s="203"/>
      <c r="U64" s="123"/>
      <c r="V64" s="124"/>
      <c r="W64" s="6"/>
      <c r="Z64" s="51" t="str">
        <f>IF(AD64="","",IF(AD64&lt;IFERROR(VLOOKUP(AD73,DBBATT!$H$10:$P$100,6,FALSE),0),"ERR1",IF(AD64&gt;IFERROR(VLOOKUP(AD73,DBBATT!$H$10:$P$100,7,FALSE),0),"ERR2","OK")))</f>
        <v>OK</v>
      </c>
      <c r="AA64" s="295" t="s">
        <v>398</v>
      </c>
      <c r="AB64" s="295"/>
      <c r="AC64" s="295"/>
      <c r="AD64" s="203">
        <v>10</v>
      </c>
      <c r="AE64" s="123" t="s">
        <v>158</v>
      </c>
      <c r="AF64" s="124"/>
      <c r="AG64" s="6"/>
    </row>
    <row r="65" spans="6:34">
      <c r="F65" s="6"/>
      <c r="G65" s="6"/>
      <c r="H65" s="6"/>
      <c r="I65" s="6"/>
      <c r="J65" s="6"/>
      <c r="K65" s="6"/>
      <c r="L65" s="6"/>
      <c r="M65" s="6"/>
    </row>
    <row r="66" spans="6:34">
      <c r="F66" s="32" t="s">
        <v>399</v>
      </c>
      <c r="G66" s="6"/>
      <c r="H66" s="6"/>
      <c r="I66" s="6"/>
      <c r="J66" s="6"/>
      <c r="K66" s="6"/>
      <c r="L66" s="6"/>
      <c r="M66" s="6"/>
      <c r="P66" s="32" t="s">
        <v>399</v>
      </c>
      <c r="Q66" s="6"/>
      <c r="R66" s="6"/>
      <c r="S66" s="6"/>
      <c r="T66" s="6"/>
      <c r="U66" s="6"/>
      <c r="V66" s="6"/>
      <c r="W66" s="6"/>
      <c r="Z66" s="32" t="s">
        <v>399</v>
      </c>
      <c r="AA66" s="6"/>
      <c r="AB66" s="6"/>
      <c r="AC66" s="6"/>
      <c r="AD66" s="6"/>
      <c r="AE66" s="6"/>
      <c r="AF66" s="6"/>
      <c r="AG66" s="6"/>
    </row>
    <row r="67" spans="6:34">
      <c r="F67" s="340" t="str">
        <f>IF(J61="","",H67*(IFERROR(VLOOKUP(J62,DBRECT!$H$10:$M$100,5,FALSE),0))&amp;"W")</f>
        <v/>
      </c>
      <c r="G67" s="341"/>
      <c r="H67" s="344">
        <v>9</v>
      </c>
      <c r="I67" s="30" t="s">
        <v>400</v>
      </c>
      <c r="J67" s="30" t="s">
        <v>400</v>
      </c>
      <c r="K67" s="30" t="s">
        <v>400</v>
      </c>
      <c r="L67" s="30" t="s">
        <v>400</v>
      </c>
      <c r="M67" s="30" t="s">
        <v>329</v>
      </c>
      <c r="N67" s="16" t="s">
        <v>158</v>
      </c>
      <c r="P67" s="340" t="str">
        <f>IF(T61="","",R67*(IFERROR(VLOOKUP(T62,DBRECT!$H$10:$M$100,5,FALSE),0))&amp;"W")</f>
        <v/>
      </c>
      <c r="Q67" s="341"/>
      <c r="R67" s="344">
        <f>COUNTIF(S67:W70,"="&amp;"Enabled")</f>
        <v>6</v>
      </c>
      <c r="S67" s="30" t="s">
        <v>400</v>
      </c>
      <c r="T67" s="30" t="s">
        <v>400</v>
      </c>
      <c r="U67" s="30" t="s">
        <v>400</v>
      </c>
      <c r="V67" s="30" t="s">
        <v>544</v>
      </c>
      <c r="W67" s="30" t="s">
        <v>329</v>
      </c>
      <c r="X67" s="16" t="s">
        <v>158</v>
      </c>
      <c r="Z67" s="340" t="str">
        <f>IF(AD61="","",AB67*(IFERROR(VLOOKUP(AD62,DBRECT!$H$10:$M$100,5,FALSE),0))&amp;"W")</f>
        <v>18000W</v>
      </c>
      <c r="AA67" s="341"/>
      <c r="AB67" s="344">
        <f>COUNTIF(AC67:AG70,"="&amp;"Enabled")</f>
        <v>6</v>
      </c>
      <c r="AC67" s="30" t="s">
        <v>400</v>
      </c>
      <c r="AD67" s="30" t="s">
        <v>400</v>
      </c>
      <c r="AE67" s="30" t="s">
        <v>400</v>
      </c>
      <c r="AF67" s="30" t="s">
        <v>400</v>
      </c>
      <c r="AG67" s="30" t="s">
        <v>329</v>
      </c>
      <c r="AH67" s="16" t="s">
        <v>158</v>
      </c>
    </row>
    <row r="68" spans="6:34">
      <c r="F68" s="342"/>
      <c r="G68" s="343"/>
      <c r="H68" s="344"/>
      <c r="I68" s="30" t="s">
        <v>400</v>
      </c>
      <c r="J68" s="30" t="s">
        <v>400</v>
      </c>
      <c r="K68" s="30" t="s">
        <v>401</v>
      </c>
      <c r="L68" s="30" t="s">
        <v>401</v>
      </c>
      <c r="M68" s="30" t="s">
        <v>329</v>
      </c>
      <c r="N68" s="16" t="s">
        <v>158</v>
      </c>
      <c r="P68" s="342"/>
      <c r="Q68" s="343"/>
      <c r="R68" s="344"/>
      <c r="S68" s="30" t="s">
        <v>400</v>
      </c>
      <c r="T68" s="30" t="s">
        <v>400</v>
      </c>
      <c r="U68" s="30" t="s">
        <v>400</v>
      </c>
      <c r="V68" s="30" t="s">
        <v>544</v>
      </c>
      <c r="W68" s="30" t="s">
        <v>329</v>
      </c>
      <c r="X68" s="16" t="s">
        <v>158</v>
      </c>
      <c r="Z68" s="342"/>
      <c r="AA68" s="343"/>
      <c r="AB68" s="344"/>
      <c r="AC68" s="30" t="s">
        <v>400</v>
      </c>
      <c r="AD68" s="30" t="s">
        <v>400</v>
      </c>
      <c r="AE68" s="30" t="s">
        <v>401</v>
      </c>
      <c r="AF68" s="30" t="s">
        <v>401</v>
      </c>
      <c r="AG68" s="30" t="s">
        <v>329</v>
      </c>
      <c r="AH68" s="16" t="s">
        <v>158</v>
      </c>
    </row>
    <row r="69" spans="6:34">
      <c r="F69" s="345" t="str">
        <f>IF(J61="","NO PSU SELECTED",IF(H67&gt;(VLOOKUP(J61,DBPSU!$H$10:$U$100,5,FALSE)),"RECT. AMOUNT NOT SUPPORTED",""))</f>
        <v>NO PSU SELECTED</v>
      </c>
      <c r="G69" s="346"/>
      <c r="H69" s="347"/>
      <c r="I69" s="30" t="s">
        <v>329</v>
      </c>
      <c r="J69" s="30" t="s">
        <v>329</v>
      </c>
      <c r="K69" s="30" t="s">
        <v>329</v>
      </c>
      <c r="L69" s="30" t="s">
        <v>329</v>
      </c>
      <c r="M69" s="30" t="s">
        <v>329</v>
      </c>
      <c r="N69" s="16" t="s">
        <v>158</v>
      </c>
      <c r="P69" s="345" t="str">
        <f>IF(T61="","NO PSU SELECTED",IF(R67&gt;(VLOOKUP(T61,DBPSU!$H$10:$U$100,5,FALSE)),"RECT. AMOUNT NOT SUPPORTED",""))</f>
        <v>NO PSU SELECTED</v>
      </c>
      <c r="Q69" s="346"/>
      <c r="R69" s="347"/>
      <c r="S69" s="30" t="s">
        <v>329</v>
      </c>
      <c r="T69" s="30" t="s">
        <v>329</v>
      </c>
      <c r="U69" s="30" t="s">
        <v>329</v>
      </c>
      <c r="V69" s="30" t="s">
        <v>329</v>
      </c>
      <c r="W69" s="30" t="s">
        <v>329</v>
      </c>
      <c r="X69" s="16" t="s">
        <v>158</v>
      </c>
      <c r="Z69" s="345" t="str">
        <f>IF(AD61="","NO PSU SELECTED",IF(AB67&gt;(VLOOKUP(AD61,DBPSU!$H$10:$U$100,5,FALSE)),"RECT. AMOUNT NOT SUPPORTED",""))</f>
        <v/>
      </c>
      <c r="AA69" s="346"/>
      <c r="AB69" s="347"/>
      <c r="AC69" s="30" t="s">
        <v>329</v>
      </c>
      <c r="AD69" s="30" t="s">
        <v>329</v>
      </c>
      <c r="AE69" s="30" t="s">
        <v>329</v>
      </c>
      <c r="AF69" s="30" t="s">
        <v>329</v>
      </c>
      <c r="AG69" s="30" t="s">
        <v>329</v>
      </c>
      <c r="AH69" s="16" t="s">
        <v>158</v>
      </c>
    </row>
    <row r="70" spans="6:34">
      <c r="F70" s="348"/>
      <c r="G70" s="349"/>
      <c r="H70" s="350"/>
      <c r="I70" s="30" t="s">
        <v>329</v>
      </c>
      <c r="J70" s="30" t="s">
        <v>329</v>
      </c>
      <c r="K70" s="30" t="s">
        <v>329</v>
      </c>
      <c r="L70" s="30" t="s">
        <v>329</v>
      </c>
      <c r="M70" s="30" t="s">
        <v>329</v>
      </c>
      <c r="N70" s="16" t="s">
        <v>158</v>
      </c>
      <c r="P70" s="348"/>
      <c r="Q70" s="349"/>
      <c r="R70" s="350"/>
      <c r="S70" s="30" t="s">
        <v>329</v>
      </c>
      <c r="T70" s="30" t="s">
        <v>329</v>
      </c>
      <c r="U70" s="30" t="s">
        <v>329</v>
      </c>
      <c r="V70" s="30" t="s">
        <v>329</v>
      </c>
      <c r="W70" s="30" t="s">
        <v>329</v>
      </c>
      <c r="X70" s="16" t="s">
        <v>158</v>
      </c>
      <c r="Z70" s="348"/>
      <c r="AA70" s="349"/>
      <c r="AB70" s="350"/>
      <c r="AC70" s="30" t="s">
        <v>329</v>
      </c>
      <c r="AD70" s="30" t="s">
        <v>329</v>
      </c>
      <c r="AE70" s="30" t="s">
        <v>329</v>
      </c>
      <c r="AF70" s="30" t="s">
        <v>329</v>
      </c>
      <c r="AG70" s="30" t="s">
        <v>329</v>
      </c>
      <c r="AH70" s="16" t="s">
        <v>158</v>
      </c>
    </row>
    <row r="71" spans="6:34">
      <c r="F71" s="34"/>
      <c r="G71" s="377"/>
      <c r="H71" s="377"/>
      <c r="I71" s="377"/>
      <c r="J71" s="377"/>
      <c r="K71" s="377"/>
      <c r="L71" s="377"/>
      <c r="M71" s="377"/>
    </row>
    <row r="72" spans="6:34">
      <c r="F72" s="32" t="s">
        <v>402</v>
      </c>
      <c r="G72" s="6"/>
      <c r="H72" s="6"/>
      <c r="I72" s="6"/>
      <c r="J72" s="6"/>
      <c r="P72" s="32" t="s">
        <v>402</v>
      </c>
      <c r="Q72" s="6"/>
      <c r="R72" s="6"/>
      <c r="S72" s="6"/>
      <c r="T72" s="6"/>
      <c r="Z72" s="32" t="s">
        <v>402</v>
      </c>
      <c r="AA72" s="6"/>
      <c r="AB72" s="6"/>
      <c r="AC72" s="6"/>
      <c r="AD72" s="6"/>
    </row>
    <row r="73" spans="6:34">
      <c r="F73" s="51"/>
      <c r="G73" s="295" t="s">
        <v>403</v>
      </c>
      <c r="H73" s="295"/>
      <c r="I73" s="295"/>
      <c r="J73" s="330"/>
      <c r="K73" s="331"/>
      <c r="L73" s="16" t="s">
        <v>158</v>
      </c>
      <c r="M73" s="6"/>
      <c r="P73" s="51"/>
      <c r="Q73" s="295" t="s">
        <v>403</v>
      </c>
      <c r="R73" s="295"/>
      <c r="S73" s="295"/>
      <c r="T73" s="330"/>
      <c r="U73" s="331"/>
      <c r="V73" s="16" t="s">
        <v>158</v>
      </c>
      <c r="W73" s="6"/>
      <c r="Z73" s="51"/>
      <c r="AA73" s="295" t="s">
        <v>403</v>
      </c>
      <c r="AB73" s="295"/>
      <c r="AC73" s="295"/>
      <c r="AD73" s="330" t="s">
        <v>405</v>
      </c>
      <c r="AE73" s="331"/>
      <c r="AF73" s="16" t="s">
        <v>158</v>
      </c>
      <c r="AG73" s="6"/>
    </row>
    <row r="74" spans="6:34">
      <c r="F74" s="51"/>
      <c r="G74" s="295" t="s">
        <v>406</v>
      </c>
      <c r="H74" s="295"/>
      <c r="I74" s="295"/>
      <c r="J74" s="204"/>
      <c r="K74" s="16"/>
      <c r="P74" s="51"/>
      <c r="Q74" s="295" t="s">
        <v>406</v>
      </c>
      <c r="R74" s="295"/>
      <c r="S74" s="295"/>
      <c r="T74" s="204"/>
      <c r="U74" s="16"/>
      <c r="Z74" s="51"/>
      <c r="AA74" s="295" t="s">
        <v>406</v>
      </c>
      <c r="AB74" s="295"/>
      <c r="AC74" s="295"/>
      <c r="AD74" s="204">
        <v>5</v>
      </c>
      <c r="AE74" s="16" t="s">
        <v>158</v>
      </c>
    </row>
    <row r="75" spans="6:34">
      <c r="F75" s="51"/>
      <c r="G75" s="295" t="s">
        <v>407</v>
      </c>
      <c r="H75" s="295"/>
      <c r="I75" s="295"/>
      <c r="J75" s="204"/>
      <c r="K75" s="16"/>
      <c r="P75" s="51"/>
      <c r="Q75" s="295" t="s">
        <v>407</v>
      </c>
      <c r="R75" s="295"/>
      <c r="S75" s="295"/>
      <c r="T75" s="204"/>
      <c r="U75" s="16"/>
      <c r="Z75" s="51"/>
      <c r="AA75" s="295" t="s">
        <v>407</v>
      </c>
      <c r="AB75" s="295"/>
      <c r="AC75" s="295"/>
      <c r="AD75" s="204" t="s">
        <v>172</v>
      </c>
      <c r="AE75" s="16" t="s">
        <v>158</v>
      </c>
    </row>
    <row r="77" spans="6:34">
      <c r="F77" s="292" t="s">
        <v>408</v>
      </c>
      <c r="G77" s="292"/>
      <c r="H77" s="292"/>
      <c r="I77" s="292"/>
      <c r="J77" s="292"/>
      <c r="K77" s="292"/>
      <c r="L77" s="292"/>
      <c r="M77" s="292"/>
      <c r="P77" s="292"/>
      <c r="Q77" s="292"/>
      <c r="R77" s="292"/>
      <c r="S77" s="292"/>
      <c r="T77" s="292"/>
      <c r="U77" s="292"/>
      <c r="V77" s="292"/>
      <c r="W77" s="292"/>
      <c r="Z77" s="292"/>
      <c r="AA77" s="292"/>
      <c r="AB77" s="292"/>
      <c r="AC77" s="292"/>
      <c r="AD77" s="292"/>
      <c r="AE77" s="292"/>
      <c r="AF77" s="292"/>
      <c r="AG77" s="292"/>
    </row>
    <row r="78" spans="6:34">
      <c r="F78" s="292"/>
      <c r="G78" s="292"/>
      <c r="H78" s="292"/>
      <c r="I78" s="292"/>
      <c r="J78" s="292"/>
      <c r="K78" s="292"/>
      <c r="L78" s="292"/>
      <c r="M78" s="292"/>
      <c r="P78" s="292"/>
      <c r="Q78" s="292"/>
      <c r="R78" s="292"/>
      <c r="S78" s="292"/>
      <c r="T78" s="292"/>
      <c r="U78" s="292"/>
      <c r="V78" s="292"/>
      <c r="W78" s="292"/>
      <c r="Z78" s="292"/>
      <c r="AA78" s="292"/>
      <c r="AB78" s="292"/>
      <c r="AC78" s="292"/>
      <c r="AD78" s="292"/>
      <c r="AE78" s="292"/>
      <c r="AF78" s="292"/>
      <c r="AG78" s="292"/>
    </row>
    <row r="79" spans="6:34">
      <c r="F79" s="32" t="s">
        <v>409</v>
      </c>
      <c r="H79" s="6"/>
      <c r="I79" s="6"/>
      <c r="J79" s="6"/>
      <c r="K79" s="6"/>
      <c r="L79" s="6"/>
      <c r="P79" s="32" t="s">
        <v>409</v>
      </c>
      <c r="R79" s="6"/>
      <c r="S79" s="6"/>
      <c r="T79" s="6"/>
      <c r="U79" s="6"/>
      <c r="V79" s="6"/>
      <c r="Z79" s="32" t="s">
        <v>409</v>
      </c>
      <c r="AB79" s="6"/>
      <c r="AC79" s="6"/>
      <c r="AD79" s="6"/>
      <c r="AE79" s="6"/>
      <c r="AF79" s="6"/>
    </row>
    <row r="80" spans="6:34">
      <c r="F80" s="51"/>
      <c r="G80" s="295" t="s">
        <v>413</v>
      </c>
      <c r="H80" s="295"/>
      <c r="I80" s="295"/>
      <c r="J80" s="325">
        <f>IFERROR((H67*(VLOOKUP(J62,DBRECT!$H$10:$M$100,5,FALSE)))*(VLOOKUP(J62,DBRECT!$H$10:$M$100,6,FALSE)),0)</f>
        <v>0</v>
      </c>
      <c r="K80" s="325"/>
      <c r="L80" s="33" t="s">
        <v>414</v>
      </c>
      <c r="P80" s="51"/>
      <c r="Q80" s="295" t="s">
        <v>413</v>
      </c>
      <c r="R80" s="295"/>
      <c r="S80" s="295"/>
      <c r="T80" s="325">
        <f>IFERROR((R67*(VLOOKUP(T62,DBRECT!$H$10:$M$100,5,FALSE)))*(VLOOKUP(T62,DBRECT!$H$10:$M$100,6,FALSE)),0)</f>
        <v>0</v>
      </c>
      <c r="U80" s="325"/>
      <c r="V80" s="33" t="s">
        <v>414</v>
      </c>
      <c r="Z80" s="51"/>
      <c r="AA80" s="295" t="s">
        <v>413</v>
      </c>
      <c r="AB80" s="295"/>
      <c r="AC80" s="295"/>
      <c r="AD80" s="325">
        <f>IFERROR((AB67*(VLOOKUP(AD62,DBRECT!$H$10:$M$100,5,FALSE)))*(VLOOKUP(AD62,DBRECT!$H$10:$M$100,6,FALSE)),0)</f>
        <v>17316</v>
      </c>
      <c r="AE80" s="325"/>
      <c r="AF80" s="33" t="s">
        <v>414</v>
      </c>
    </row>
    <row r="81" spans="6:46">
      <c r="F81" s="51"/>
      <c r="G81" s="295" t="s">
        <v>415</v>
      </c>
      <c r="H81" s="295"/>
      <c r="I81" s="295"/>
      <c r="J81" s="325" t="str">
        <f>COUNTIF(I67:M70,"Enabled")&amp;" + "&amp;COUNTIF(I67:M70,"Blank")+COUNTIF(I67:M70,"")&amp;" Future"</f>
        <v>6 + 2 Future</v>
      </c>
      <c r="K81" s="325"/>
      <c r="L81" s="65" t="s">
        <v>416</v>
      </c>
      <c r="P81" s="51"/>
      <c r="Q81" s="295" t="s">
        <v>415</v>
      </c>
      <c r="R81" s="295"/>
      <c r="S81" s="295"/>
      <c r="T81" s="325" t="str">
        <f>COUNTIF(S67:W70,"Enabled")&amp;" + "&amp;COUNTIF(S67:W70,"Blank")+COUNTIF(S67:W70,"")&amp;" Future"</f>
        <v>6 + 0 Future</v>
      </c>
      <c r="U81" s="325"/>
      <c r="V81" s="65" t="s">
        <v>416</v>
      </c>
      <c r="Z81" s="51"/>
      <c r="AA81" s="295" t="s">
        <v>415</v>
      </c>
      <c r="AB81" s="295"/>
      <c r="AC81" s="295"/>
      <c r="AD81" s="325" t="str">
        <f>COUNTIF(AC67:AG70,"Enabled")&amp;" + "&amp;COUNTIF(AC67:AG70,"Blank")+COUNTIF(AC67:AG70,"")&amp;" Future"</f>
        <v>6 + 2 Future</v>
      </c>
      <c r="AE81" s="325"/>
      <c r="AF81" s="65" t="s">
        <v>416</v>
      </c>
    </row>
    <row r="82" spans="6:46">
      <c r="F82" s="51"/>
      <c r="G82" s="295" t="s">
        <v>417</v>
      </c>
      <c r="H82" s="295"/>
      <c r="I82" s="295"/>
      <c r="J82" s="326">
        <f>J64*J74*53.5</f>
        <v>0</v>
      </c>
      <c r="K82" s="326"/>
      <c r="L82" s="65" t="s">
        <v>414</v>
      </c>
      <c r="P82" s="51"/>
      <c r="Q82" s="295" t="s">
        <v>417</v>
      </c>
      <c r="R82" s="295"/>
      <c r="S82" s="295"/>
      <c r="T82" s="326">
        <f>T64*T74*53.5</f>
        <v>0</v>
      </c>
      <c r="U82" s="326"/>
      <c r="V82" s="65" t="s">
        <v>414</v>
      </c>
      <c r="Z82" s="51"/>
      <c r="AA82" s="295" t="s">
        <v>417</v>
      </c>
      <c r="AB82" s="295"/>
      <c r="AC82" s="295"/>
      <c r="AD82" s="326">
        <f>AD64*AD74*53.5</f>
        <v>2675</v>
      </c>
      <c r="AE82" s="326"/>
      <c r="AF82" s="65" t="s">
        <v>414</v>
      </c>
    </row>
    <row r="83" spans="6:46">
      <c r="F83" s="51" t="str">
        <f>IF(J82&gt;J83,"ERR",IF(J83=0,"","OK"))</f>
        <v/>
      </c>
      <c r="G83" s="295" t="s">
        <v>418</v>
      </c>
      <c r="H83" s="295"/>
      <c r="I83" s="295"/>
      <c r="J83" s="326">
        <f>IFERROR(IF(J80-(M36+M46+J120) &lt; 0,0,J80-(M36+M46+J120)),0)</f>
        <v>0</v>
      </c>
      <c r="K83" s="326"/>
      <c r="L83" s="65" t="s">
        <v>414</v>
      </c>
      <c r="P83" s="51" t="str">
        <f>IF(T82&gt;T83,"ERR",IF(T83=0,"","OK"))</f>
        <v/>
      </c>
      <c r="Q83" s="295" t="s">
        <v>418</v>
      </c>
      <c r="R83" s="295"/>
      <c r="S83" s="295"/>
      <c r="T83" s="326">
        <f>IFERROR(IF(T80-(W36+W46) &lt; 0,0,T80-(W36+W46)),0)</f>
        <v>0</v>
      </c>
      <c r="U83" s="326"/>
      <c r="V83" s="65" t="s">
        <v>414</v>
      </c>
      <c r="Z83" s="51" t="str">
        <f>IF(AD82&gt;AD83,"ERR",IF(AD83=0,"","OK"))</f>
        <v>OK</v>
      </c>
      <c r="AA83" s="295" t="s">
        <v>418</v>
      </c>
      <c r="AB83" s="295"/>
      <c r="AC83" s="295"/>
      <c r="AD83" s="326">
        <f>IFERROR(IF(AD80-(AG36+AG46) &lt; 0,0,AD80-(AG36+AG46)),0)</f>
        <v>17316</v>
      </c>
      <c r="AE83" s="326"/>
      <c r="AF83" s="65" t="s">
        <v>414</v>
      </c>
    </row>
    <row r="84" spans="6:46">
      <c r="F84" s="80" t="str">
        <f>IFERROR(J84/J80,"")</f>
        <v/>
      </c>
      <c r="G84" s="295" t="s">
        <v>419</v>
      </c>
      <c r="H84" s="295"/>
      <c r="I84" s="295"/>
      <c r="J84" s="326">
        <f>SUM(M46,M36)+J120</f>
        <v>0</v>
      </c>
      <c r="K84" s="326"/>
      <c r="L84" s="65" t="s">
        <v>414</v>
      </c>
      <c r="P84" s="80" t="str">
        <f>IFERROR(T84/T80,"")</f>
        <v/>
      </c>
      <c r="Q84" s="295" t="s">
        <v>419</v>
      </c>
      <c r="R84" s="295"/>
      <c r="S84" s="295"/>
      <c r="T84" s="326">
        <f>SUM(W46,W36)</f>
        <v>0</v>
      </c>
      <c r="U84" s="326"/>
      <c r="V84" s="65" t="s">
        <v>414</v>
      </c>
      <c r="Z84" s="80">
        <f>IFERROR(AD84/AD80,"")</f>
        <v>0</v>
      </c>
      <c r="AA84" s="295" t="s">
        <v>419</v>
      </c>
      <c r="AB84" s="295"/>
      <c r="AC84" s="295"/>
      <c r="AD84" s="326">
        <f>SUM(AG46,AG36)</f>
        <v>0</v>
      </c>
      <c r="AE84" s="326"/>
      <c r="AF84" s="65" t="s">
        <v>414</v>
      </c>
    </row>
    <row r="85" spans="6:46">
      <c r="F85" s="80" t="str">
        <f>IFERROR(J85/J80,"")</f>
        <v/>
      </c>
      <c r="G85" s="295" t="s">
        <v>420</v>
      </c>
      <c r="H85" s="295"/>
      <c r="I85" s="295"/>
      <c r="J85" s="326">
        <f>SUM(N46,N36)+J120</f>
        <v>0</v>
      </c>
      <c r="K85" s="326"/>
      <c r="L85" s="65" t="s">
        <v>414</v>
      </c>
      <c r="P85" s="80" t="str">
        <f>IFERROR(T85/T80,"")</f>
        <v/>
      </c>
      <c r="Q85" s="295" t="s">
        <v>420</v>
      </c>
      <c r="R85" s="295"/>
      <c r="S85" s="295"/>
      <c r="T85" s="326">
        <f>SUM(X46,X36)</f>
        <v>0</v>
      </c>
      <c r="U85" s="326"/>
      <c r="V85" s="65" t="s">
        <v>414</v>
      </c>
      <c r="Z85" s="80">
        <f>IFERROR(AD85/AD80,"")</f>
        <v>0</v>
      </c>
      <c r="AA85" s="295" t="s">
        <v>420</v>
      </c>
      <c r="AB85" s="295"/>
      <c r="AC85" s="295"/>
      <c r="AD85" s="326">
        <f>SUM(AH46,AH36)</f>
        <v>0</v>
      </c>
      <c r="AE85" s="326"/>
      <c r="AF85" s="65" t="s">
        <v>414</v>
      </c>
      <c r="AJ85" s="17"/>
      <c r="AK85" s="17"/>
    </row>
    <row r="86" spans="6:46">
      <c r="G86" s="66"/>
      <c r="H86" s="66"/>
      <c r="I86" s="66"/>
      <c r="J86" s="121"/>
      <c r="K86" s="121"/>
      <c r="L86" s="67"/>
      <c r="Q86" s="66"/>
      <c r="R86" s="66"/>
      <c r="S86" s="66"/>
      <c r="T86" s="121"/>
      <c r="U86" s="121"/>
      <c r="V86" s="67"/>
      <c r="AA86" s="66"/>
      <c r="AB86" s="66"/>
      <c r="AC86" s="66"/>
      <c r="AD86" s="121"/>
      <c r="AE86" s="121"/>
      <c r="AF86" s="67"/>
      <c r="AJ86" s="17"/>
      <c r="AK86" s="17"/>
      <c r="AO86" s="17"/>
      <c r="AP86" s="17"/>
      <c r="AR86" s="17"/>
      <c r="AS86" s="17"/>
      <c r="AT86" s="17"/>
    </row>
    <row r="87" spans="6:46">
      <c r="F87" s="32" t="s">
        <v>421</v>
      </c>
      <c r="H87" s="6"/>
      <c r="I87" s="6"/>
      <c r="J87" s="81"/>
      <c r="K87" s="81"/>
      <c r="L87" s="6"/>
      <c r="P87" s="32" t="s">
        <v>421</v>
      </c>
      <c r="R87" s="6"/>
      <c r="S87" s="6"/>
      <c r="T87" s="81"/>
      <c r="U87" s="81"/>
      <c r="V87" s="6"/>
      <c r="Z87" s="32" t="s">
        <v>421</v>
      </c>
      <c r="AB87" s="6"/>
      <c r="AC87" s="6"/>
      <c r="AD87" s="81"/>
      <c r="AE87" s="81"/>
      <c r="AF87" s="6"/>
      <c r="AL87" s="17"/>
      <c r="AM87" s="17"/>
      <c r="AN87" s="17"/>
      <c r="AO87" s="17"/>
      <c r="AP87" s="17"/>
    </row>
    <row r="88" spans="6:46">
      <c r="F88" s="26"/>
      <c r="G88" s="295" t="s">
        <v>422</v>
      </c>
      <c r="H88" s="295"/>
      <c r="I88" s="295"/>
      <c r="J88" s="327">
        <f>WSBBT!G29</f>
        <v>3.4703752363251836</v>
      </c>
      <c r="K88" s="325"/>
      <c r="L88" s="33" t="s">
        <v>423</v>
      </c>
      <c r="P88" s="26"/>
      <c r="Q88" s="295" t="s">
        <v>422</v>
      </c>
      <c r="R88" s="295"/>
      <c r="S88" s="295"/>
      <c r="T88" s="327">
        <f>WSBBT!G48</f>
        <v>2.5170241941106748</v>
      </c>
      <c r="U88" s="325"/>
      <c r="V88" s="33" t="s">
        <v>423</v>
      </c>
      <c r="Z88" s="26"/>
      <c r="AA88" s="295" t="s">
        <v>422</v>
      </c>
      <c r="AB88" s="295"/>
      <c r="AC88" s="295"/>
      <c r="AD88" s="327" t="str">
        <f>WSBBT!G67</f>
        <v/>
      </c>
      <c r="AE88" s="325"/>
      <c r="AF88" s="33" t="s">
        <v>423</v>
      </c>
      <c r="AL88" s="17"/>
      <c r="AM88" s="17"/>
      <c r="AN88" s="17"/>
    </row>
    <row r="89" spans="6:46">
      <c r="F89" s="26"/>
      <c r="G89" s="295" t="s">
        <v>424</v>
      </c>
      <c r="H89" s="295"/>
      <c r="I89" s="295"/>
      <c r="J89" s="327">
        <f ca="1">WSBBT!G30</f>
        <v>5.8974987990486127</v>
      </c>
      <c r="K89" s="325"/>
      <c r="L89" s="33" t="s">
        <v>423</v>
      </c>
      <c r="P89" s="26"/>
      <c r="Q89" s="295" t="s">
        <v>424</v>
      </c>
      <c r="R89" s="295"/>
      <c r="S89" s="295"/>
      <c r="T89" s="327">
        <f ca="1">WSBBT!G49</f>
        <v>7.4843807905610698</v>
      </c>
      <c r="U89" s="325"/>
      <c r="V89" s="33" t="s">
        <v>423</v>
      </c>
      <c r="Z89" s="26"/>
      <c r="AA89" s="295" t="s">
        <v>424</v>
      </c>
      <c r="AB89" s="295"/>
      <c r="AC89" s="295"/>
      <c r="AD89" s="327" t="str">
        <f ca="1">WSBBT!G68</f>
        <v/>
      </c>
      <c r="AE89" s="325"/>
      <c r="AF89" s="33" t="s">
        <v>423</v>
      </c>
    </row>
    <row r="90" spans="6:46">
      <c r="L90" s="6"/>
    </row>
    <row r="91" spans="6:46">
      <c r="L91" s="6"/>
    </row>
    <row r="92" spans="6:46">
      <c r="G92" s="316" t="s">
        <v>348</v>
      </c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</row>
    <row r="93" spans="6:46">
      <c r="L93" s="6"/>
    </row>
    <row r="94" spans="6:46">
      <c r="F94" s="292" t="s">
        <v>425</v>
      </c>
      <c r="G94" s="292"/>
      <c r="H94" s="292"/>
      <c r="I94" s="292"/>
      <c r="J94" s="292"/>
      <c r="K94" s="292"/>
      <c r="L94" s="292"/>
      <c r="M94" s="292"/>
    </row>
    <row r="95" spans="6:46">
      <c r="F95" s="292"/>
      <c r="G95" s="292"/>
      <c r="H95" s="292"/>
      <c r="I95" s="292"/>
      <c r="J95" s="292"/>
      <c r="K95" s="292"/>
      <c r="L95" s="292"/>
      <c r="M95" s="292"/>
    </row>
    <row r="96" spans="6:46">
      <c r="F96" s="32" t="s">
        <v>426</v>
      </c>
      <c r="L96" s="6"/>
    </row>
    <row r="97" spans="6:33">
      <c r="F97" s="51"/>
      <c r="G97" s="295" t="s">
        <v>427</v>
      </c>
      <c r="H97" s="295"/>
      <c r="I97" s="295"/>
      <c r="J97" s="330"/>
      <c r="K97" s="331"/>
      <c r="L97" s="16" t="s">
        <v>158</v>
      </c>
    </row>
    <row r="98" spans="6:33">
      <c r="F98" s="51"/>
      <c r="G98" s="295" t="s">
        <v>403</v>
      </c>
      <c r="H98" s="295"/>
      <c r="I98" s="295"/>
      <c r="J98" s="330"/>
      <c r="K98" s="331"/>
      <c r="L98" s="16" t="s">
        <v>158</v>
      </c>
    </row>
    <row r="99" spans="6:33">
      <c r="L99" s="6"/>
    </row>
    <row r="100" spans="6:33">
      <c r="L100" s="6"/>
    </row>
    <row r="101" spans="6:33">
      <c r="G101" s="316" t="s">
        <v>348</v>
      </c>
      <c r="H101" s="316"/>
      <c r="I101" s="316"/>
      <c r="J101" s="316"/>
      <c r="K101" s="316"/>
      <c r="L101" s="316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6"/>
      <c r="AB101" s="316"/>
      <c r="AC101" s="316"/>
      <c r="AD101" s="316"/>
      <c r="AE101" s="316"/>
      <c r="AF101" s="316"/>
      <c r="AG101" s="316"/>
    </row>
    <row r="103" spans="6:33" ht="15" customHeight="1">
      <c r="F103" s="292" t="s">
        <v>428</v>
      </c>
      <c r="G103" s="292"/>
      <c r="H103" s="292"/>
      <c r="I103" s="292"/>
      <c r="J103" s="292"/>
      <c r="K103" s="292"/>
      <c r="L103" s="292"/>
      <c r="M103" s="292"/>
      <c r="N103" s="292"/>
      <c r="O103" s="292"/>
      <c r="P103" s="292"/>
    </row>
    <row r="104" spans="6:33" ht="15" customHeight="1">
      <c r="F104" s="292"/>
      <c r="G104" s="292"/>
      <c r="H104" s="292"/>
      <c r="I104" s="292"/>
      <c r="J104" s="292"/>
      <c r="K104" s="292"/>
      <c r="L104" s="292"/>
      <c r="M104" s="292"/>
      <c r="N104" s="292"/>
      <c r="O104" s="292"/>
      <c r="P104" s="292"/>
    </row>
    <row r="105" spans="6:33" ht="17.45">
      <c r="F105" s="32" t="s">
        <v>429</v>
      </c>
      <c r="G105" s="25"/>
      <c r="H105" s="25"/>
      <c r="I105" s="25"/>
      <c r="J105" s="25"/>
      <c r="K105" s="25"/>
      <c r="L105" s="25"/>
      <c r="M105" s="25"/>
    </row>
    <row r="106" spans="6:33">
      <c r="F106" s="51"/>
      <c r="G106" s="295" t="s">
        <v>431</v>
      </c>
      <c r="H106" s="295"/>
      <c r="I106" s="295"/>
      <c r="J106" s="279"/>
      <c r="K106" s="280"/>
      <c r="L106" s="136" t="s">
        <v>158</v>
      </c>
      <c r="M106" s="6"/>
      <c r="N106" s="6"/>
      <c r="O106" s="6"/>
      <c r="P106" s="6"/>
      <c r="Q106" s="6"/>
      <c r="R106" s="6"/>
      <c r="S106" s="6"/>
    </row>
    <row r="107" spans="6:33">
      <c r="F107" s="51"/>
      <c r="G107" s="295" t="s">
        <v>434</v>
      </c>
      <c r="H107" s="295"/>
      <c r="I107" s="295"/>
      <c r="J107" s="279"/>
      <c r="K107" s="280"/>
      <c r="L107" s="136" t="s">
        <v>158</v>
      </c>
      <c r="M107" s="6"/>
      <c r="N107" s="6"/>
      <c r="O107" s="6"/>
      <c r="P107" s="6"/>
      <c r="Q107" s="6"/>
      <c r="R107" s="6"/>
      <c r="S107" s="6"/>
    </row>
    <row r="108" spans="6:33">
      <c r="F108" s="51"/>
      <c r="G108" s="295" t="s">
        <v>436</v>
      </c>
      <c r="H108" s="295"/>
      <c r="I108" s="295"/>
      <c r="J108" s="279"/>
      <c r="K108" s="280"/>
      <c r="L108" s="136" t="s">
        <v>158</v>
      </c>
      <c r="N108" s="119" t="s">
        <v>437</v>
      </c>
      <c r="O108" s="338" t="s">
        <v>438</v>
      </c>
      <c r="P108" s="338"/>
      <c r="Q108" s="338"/>
      <c r="R108" s="378" t="s">
        <v>439</v>
      </c>
      <c r="S108" s="379"/>
      <c r="T108" s="338" t="s">
        <v>440</v>
      </c>
      <c r="U108" s="338"/>
    </row>
    <row r="109" spans="6:33">
      <c r="F109" s="51" t="str">
        <f>IF(AND(OR(J106="ICS ODC",J106="VERTIV ODC"),J109=""),IF(J109="","","OK"),IF(OR(J106="SHELTER",J106="IN-SITU"),IF(J109="","","OK"),IF(J109="","","ERR")))</f>
        <v/>
      </c>
      <c r="G109" s="295" t="s">
        <v>441</v>
      </c>
      <c r="H109" s="295"/>
      <c r="I109" s="295"/>
      <c r="J109" s="279"/>
      <c r="K109" s="281"/>
      <c r="L109" s="280"/>
      <c r="M109" s="16" t="s">
        <v>158</v>
      </c>
      <c r="N109" s="120" t="str">
        <f>IFERROR(VLOOKUP(J109,DBCOOLING!$H$10:$Q$100,2,0),"")</f>
        <v/>
      </c>
      <c r="O109" s="339">
        <f>IFERROR(VLOOKUP(J109,DBCOOLING!$H$10:$Q$100,7,0),0)</f>
        <v>0</v>
      </c>
      <c r="P109" s="339"/>
      <c r="Q109" s="339"/>
      <c r="R109" s="328">
        <f>IFERROR(VLOOKUP(J109,DBCOOLING!$H$10:$Q$100,9,0),0)</f>
        <v>0</v>
      </c>
      <c r="S109" s="329"/>
      <c r="T109" s="339">
        <f>IFERROR(VLOOKUP(J109,DBCOOLING!$H$10:$Q$100,10,0),0)</f>
        <v>0</v>
      </c>
      <c r="U109" s="339"/>
    </row>
    <row r="110" spans="6:33">
      <c r="F110" s="51" t="str">
        <f>IF(J110="","",IF(IFERROR(SEARCH($J$106,IFERROR(VLOOKUP(J110,DBCOOLING!$H$10:$Q$100,4,FALSE),0),1)&gt;0,0),"OK","ERR"))</f>
        <v/>
      </c>
      <c r="G110" s="295" t="s">
        <v>442</v>
      </c>
      <c r="H110" s="295"/>
      <c r="I110" s="295"/>
      <c r="J110" s="279"/>
      <c r="K110" s="281"/>
      <c r="L110" s="280"/>
      <c r="M110" s="16" t="s">
        <v>158</v>
      </c>
      <c r="N110" s="120" t="str">
        <f>IFERROR(VLOOKUP(J110,DBCOOLING!$H$10:$Q$100,2,0),"")</f>
        <v/>
      </c>
      <c r="O110" s="339">
        <f>IFERROR(VLOOKUP(J110,DBCOOLING!$H$10:$Q$100,7,0),0)</f>
        <v>0</v>
      </c>
      <c r="P110" s="339"/>
      <c r="Q110" s="339"/>
      <c r="R110" s="328">
        <f>IFERROR(VLOOKUP(J110,DBCOOLING!$H$10:$Q$100,9,0),0)</f>
        <v>0</v>
      </c>
      <c r="S110" s="329"/>
      <c r="T110" s="339">
        <f>IFERROR(VLOOKUP(J110,DBCOOLING!$H$10:$Q$100,10,0),0)</f>
        <v>0</v>
      </c>
      <c r="U110" s="339"/>
    </row>
    <row r="111" spans="6:33">
      <c r="F111" s="51" t="str">
        <f>IF(J111="","",IF(IFERROR(SEARCH($J$106,IFERROR(VLOOKUP(J111,DBCOOLING!$H$10:$Q$100,4,FALSE),0),1)&gt;0,0),"OK","ERR"))</f>
        <v/>
      </c>
      <c r="G111" s="295" t="s">
        <v>443</v>
      </c>
      <c r="H111" s="295"/>
      <c r="I111" s="295"/>
      <c r="J111" s="279"/>
      <c r="K111" s="281"/>
      <c r="L111" s="280"/>
      <c r="M111" s="16" t="s">
        <v>158</v>
      </c>
      <c r="N111" s="120" t="str">
        <f>IFERROR(VLOOKUP(J111,DBCOOLING!$H$10:$Q$100,2,0),"")</f>
        <v/>
      </c>
      <c r="O111" s="339">
        <f>IFERROR(VLOOKUP(J111,DBCOOLING!$H$10:$Q$100,7,0),0)</f>
        <v>0</v>
      </c>
      <c r="P111" s="339"/>
      <c r="Q111" s="339"/>
      <c r="R111" s="328">
        <f>IFERROR(VLOOKUP(J111,DBCOOLING!$H$10:$Q$100,9,0),0)</f>
        <v>0</v>
      </c>
      <c r="S111" s="329"/>
      <c r="T111" s="339">
        <f>IFERROR(VLOOKUP(J111,DBCOOLING!$H$10:$Q$100,10,0),0)</f>
        <v>0</v>
      </c>
      <c r="U111" s="339"/>
    </row>
    <row r="112" spans="6:33">
      <c r="F112" s="51" t="str">
        <f>IF(J112="","",IF(IFERROR(SEARCH($J$106,IFERROR(VLOOKUP(J112,DBCOOLING!$H$10:$Q$100,4,FALSE),0),1)&gt;0,0),"OK","ERR"))</f>
        <v/>
      </c>
      <c r="G112" s="295" t="s">
        <v>444</v>
      </c>
      <c r="H112" s="295"/>
      <c r="I112" s="295"/>
      <c r="J112" s="279"/>
      <c r="K112" s="281"/>
      <c r="L112" s="280"/>
      <c r="M112" s="16" t="s">
        <v>158</v>
      </c>
      <c r="N112" s="120" t="str">
        <f>IFERROR(VLOOKUP(J112,DBCOOLING!$H$10:$Q$100,2,0),"")</f>
        <v/>
      </c>
      <c r="O112" s="339">
        <f>IFERROR(VLOOKUP(J112,DBCOOLING!$H$10:$Q$100,7,0),0)</f>
        <v>0</v>
      </c>
      <c r="P112" s="339"/>
      <c r="Q112" s="339"/>
      <c r="R112" s="328">
        <f>IFERROR(VLOOKUP(J112,DBCOOLING!$H$10:$Q$100,9,0),0)</f>
        <v>0</v>
      </c>
      <c r="S112" s="329"/>
      <c r="T112" s="339">
        <f>IFERROR(VLOOKUP(J112,DBCOOLING!$H$10:$Q$100,10,0),0)</f>
        <v>0</v>
      </c>
      <c r="U112" s="339"/>
    </row>
    <row r="113" spans="6:33">
      <c r="F113" s="51" t="str">
        <f>IF(J113="","",IF(IFERROR(SEARCH($J$106,IFERROR(VLOOKUP(J113,DBCOOLING!$H$10:$Q$100,4,FALSE),0),1)&gt;0,0),"OK","ERR"))</f>
        <v/>
      </c>
      <c r="G113" s="295" t="s">
        <v>445</v>
      </c>
      <c r="H113" s="295"/>
      <c r="I113" s="295"/>
      <c r="J113" s="279"/>
      <c r="K113" s="281"/>
      <c r="L113" s="280"/>
      <c r="M113" s="16" t="s">
        <v>158</v>
      </c>
      <c r="N113" s="120" t="str">
        <f>IFERROR(VLOOKUP(J113,DBCOOLING!$H$10:$Q$100,2,0),"")</f>
        <v/>
      </c>
      <c r="O113" s="339">
        <f>IFERROR(VLOOKUP(J113,DBCOOLING!$H$10:$Q$100,7,0),0)</f>
        <v>0</v>
      </c>
      <c r="P113" s="339"/>
      <c r="Q113" s="339"/>
      <c r="R113" s="328">
        <f>IFERROR(VLOOKUP(J113,DBCOOLING!$H$10:$Q$100,9,0),0)</f>
        <v>0</v>
      </c>
      <c r="S113" s="329"/>
      <c r="T113" s="339">
        <f>IFERROR(VLOOKUP(J113,DBCOOLING!$H$10:$Q$100,10,0),0)</f>
        <v>0</v>
      </c>
      <c r="U113" s="339"/>
    </row>
    <row r="115" spans="6:33" ht="17.45">
      <c r="F115" s="336" t="s">
        <v>446</v>
      </c>
      <c r="G115" s="336"/>
      <c r="H115" s="336"/>
      <c r="I115" s="336"/>
      <c r="J115" s="114"/>
      <c r="K115" s="114"/>
      <c r="L115" s="114"/>
      <c r="M115" s="114"/>
      <c r="N115" s="6"/>
      <c r="O115" s="6"/>
      <c r="P115" s="6"/>
      <c r="Q115" s="77"/>
    </row>
    <row r="116" spans="6:33" ht="17.45">
      <c r="F116" s="337"/>
      <c r="G116" s="337"/>
      <c r="H116" s="337"/>
      <c r="I116" s="337"/>
      <c r="J116" s="114"/>
      <c r="K116" s="114"/>
      <c r="L116" s="114"/>
      <c r="M116" s="114"/>
      <c r="N116" s="6"/>
      <c r="O116" s="6"/>
      <c r="P116" s="6"/>
    </row>
    <row r="117" spans="6:33" ht="15" customHeight="1">
      <c r="F117" s="51"/>
      <c r="G117" s="295" t="s">
        <v>447</v>
      </c>
      <c r="H117" s="295"/>
      <c r="I117" s="295"/>
      <c r="J117" s="326">
        <f>IFERROR((IF($M$9="ENABLED",SUMIF($K$11:$K$35,"Int.",$M$11:$M$35)+$M$46))+(IF($W$9="ENABLED",SUMIF($U$11:$U$35,"Int.",$W$11:$W$35)+$W$46))+(IF($AG$9="ENABLED",SUMIF($AE$11:$AE$35,"Int.",$AG$11:$AG$35)+$AG$46))+(IF($M$9="ENABLED",(1-VLOOKUP($J$62,DBRECT!$H$10:$M$100,6, 0))*SUM($M$36,$M$46),0))+(IF($W$9="ENABLED",(1-VLOOKUP($T$62,DBRECT!$H$10:$M$100,6, 0))*SUM($W$36,$W$46),0))+(IF($AG$9="ENABLED",(1-VLOOKUP($AD$62,DBRECT!$H$10:$M$100,6, 0))*SUM($AG$36,$AG$46),0)),0)</f>
        <v>0</v>
      </c>
      <c r="K117" s="325"/>
      <c r="L117" s="82" t="s">
        <v>414</v>
      </c>
      <c r="M117" s="25"/>
      <c r="N117" s="83" t="s">
        <v>191</v>
      </c>
      <c r="O117" s="84" t="s">
        <v>448</v>
      </c>
      <c r="P117" s="84"/>
      <c r="Q117" s="84"/>
      <c r="R117" s="85"/>
    </row>
    <row r="118" spans="6:33">
      <c r="F118" s="51" t="str">
        <f>IF(J118=0,"",IF(J107="Airconditioning",IF(J118&gt;J117,"OK","ERR2"),IF(AND(J107="Free Air",J118&lt;&gt;""),"ERR1","OK")))</f>
        <v/>
      </c>
      <c r="G118" s="295" t="s">
        <v>449</v>
      </c>
      <c r="H118" s="295"/>
      <c r="I118" s="295"/>
      <c r="J118" s="326">
        <f>SUM(O110:Q113)</f>
        <v>0</v>
      </c>
      <c r="K118" s="326"/>
      <c r="L118" s="82" t="s">
        <v>414</v>
      </c>
      <c r="M118" s="6"/>
      <c r="N118" s="83"/>
      <c r="O118" s="84"/>
      <c r="P118" s="83" t="s">
        <v>191</v>
      </c>
      <c r="Q118" s="84" t="s">
        <v>450</v>
      </c>
      <c r="R118" s="85"/>
    </row>
    <row r="119" spans="6:33">
      <c r="F119" s="51" t="str">
        <f>IF(J119=0,"",IF(J119&gt;J117,"OK","ERR"))</f>
        <v/>
      </c>
      <c r="G119" s="295" t="s">
        <v>451</v>
      </c>
      <c r="H119" s="295"/>
      <c r="I119" s="295"/>
      <c r="J119" s="326">
        <f>(IF(AND(OR(J106="ICS ODC",J106="VERTIV ODC"),J107="Free Air"),VLOOKUP(J106&amp;" FAN",DBCOOLING!H10:Q100,7,0)*J108,0))+(IF(O109="",0,O109))</f>
        <v>0</v>
      </c>
      <c r="K119" s="326"/>
      <c r="L119" s="82" t="s">
        <v>414</v>
      </c>
      <c r="M119" s="6"/>
      <c r="N119" s="6"/>
      <c r="O119" s="6"/>
      <c r="P119" s="83" t="s">
        <v>191</v>
      </c>
      <c r="Q119" s="84" t="s">
        <v>452</v>
      </c>
    </row>
    <row r="120" spans="6:33">
      <c r="F120" s="51"/>
      <c r="G120" s="295" t="s">
        <v>453</v>
      </c>
      <c r="H120" s="295"/>
      <c r="I120" s="295"/>
      <c r="J120" s="326">
        <f>IF(N110="DC",R110,0)+IF(N111="DC",R111,0)+IF(N112="DC",R112,0)+IF(N113="DC",R113,0)+IF(N109="DC",R109,0)+IF(AND(OR(J106="ICS ODC",J106="VERTIV ODC"),J107="Free Air"),VLOOKUP(J106&amp;" FAN",DBCOOLING!H10:Q100,9,0)*J108,0)</f>
        <v>0</v>
      </c>
      <c r="K120" s="326"/>
      <c r="L120" s="82" t="s">
        <v>414</v>
      </c>
      <c r="N120" s="83" t="s">
        <v>191</v>
      </c>
      <c r="O120" s="118" t="s">
        <v>454</v>
      </c>
      <c r="P120" s="6"/>
      <c r="Q120" s="6"/>
    </row>
    <row r="121" spans="6:33">
      <c r="P121" s="84"/>
    </row>
    <row r="123" spans="6:33">
      <c r="G123" s="316" t="s">
        <v>348</v>
      </c>
      <c r="H123" s="316"/>
      <c r="I123" s="316"/>
      <c r="J123" s="316"/>
      <c r="K123" s="316"/>
      <c r="L123" s="316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  <c r="AA123" s="316"/>
      <c r="AB123" s="316"/>
      <c r="AC123" s="316"/>
      <c r="AD123" s="316"/>
      <c r="AE123" s="316"/>
      <c r="AF123" s="316"/>
      <c r="AG123" s="316"/>
    </row>
    <row r="125" spans="6:33">
      <c r="F125" s="292" t="s">
        <v>455</v>
      </c>
      <c r="G125" s="292"/>
      <c r="H125" s="292"/>
      <c r="I125" s="292"/>
      <c r="J125" s="292"/>
      <c r="K125" s="292"/>
      <c r="L125" s="292"/>
      <c r="M125" s="292"/>
    </row>
    <row r="126" spans="6:33" ht="15" customHeight="1">
      <c r="F126" s="292"/>
      <c r="G126" s="292"/>
      <c r="H126" s="292"/>
      <c r="I126" s="292"/>
      <c r="J126" s="292"/>
      <c r="K126" s="292"/>
      <c r="L126" s="292"/>
      <c r="M126" s="292"/>
    </row>
    <row r="127" spans="6:33" ht="15.75" customHeight="1">
      <c r="F127" s="25"/>
      <c r="G127" s="25"/>
      <c r="H127" s="25"/>
      <c r="I127" s="25"/>
      <c r="J127" s="25"/>
      <c r="K127" s="25"/>
      <c r="L127" s="25"/>
      <c r="M127" s="25"/>
    </row>
    <row r="128" spans="6:33">
      <c r="G128" s="6"/>
      <c r="H128" s="81"/>
      <c r="I128" s="81"/>
      <c r="J128" s="81"/>
      <c r="K128" s="334" t="s">
        <v>456</v>
      </c>
      <c r="L128" s="334"/>
      <c r="M128" s="334"/>
      <c r="N128" s="334"/>
      <c r="O128" s="334"/>
      <c r="P128" s="334"/>
      <c r="Q128" s="334"/>
      <c r="T128" s="334" t="s">
        <v>457</v>
      </c>
      <c r="U128" s="334"/>
    </row>
    <row r="129" spans="6:28">
      <c r="G129" s="6"/>
      <c r="H129" s="81"/>
      <c r="I129" s="81"/>
      <c r="J129" s="81"/>
      <c r="K129" s="335" t="s">
        <v>388</v>
      </c>
      <c r="L129" s="335"/>
      <c r="M129" s="334" t="s">
        <v>389</v>
      </c>
      <c r="N129" s="334"/>
      <c r="O129" s="333" t="s">
        <v>390</v>
      </c>
      <c r="P129" s="333"/>
      <c r="Q129" s="333"/>
      <c r="T129" s="335" t="s">
        <v>388</v>
      </c>
      <c r="U129" s="335"/>
      <c r="AB129" s="85"/>
    </row>
    <row r="130" spans="6:28">
      <c r="G130" s="6"/>
      <c r="H130" s="81"/>
      <c r="I130" s="81"/>
      <c r="J130" s="81"/>
      <c r="K130" s="100" t="s">
        <v>363</v>
      </c>
      <c r="L130" s="100" t="s">
        <v>364</v>
      </c>
      <c r="M130" s="100" t="s">
        <v>363</v>
      </c>
      <c r="N130" s="100" t="s">
        <v>364</v>
      </c>
      <c r="O130" s="332" t="s">
        <v>363</v>
      </c>
      <c r="P130" s="332"/>
      <c r="Q130" s="100" t="s">
        <v>364</v>
      </c>
      <c r="T130" s="100" t="s">
        <v>363</v>
      </c>
      <c r="U130" s="100" t="s">
        <v>364</v>
      </c>
      <c r="Y130" s="86" t="s">
        <v>458</v>
      </c>
      <c r="Z130" s="39"/>
      <c r="AA130" s="39"/>
      <c r="AB130" s="85"/>
    </row>
    <row r="131" spans="6:28" ht="15" customHeight="1">
      <c r="F131" s="384" t="s">
        <v>459</v>
      </c>
      <c r="G131" s="385"/>
      <c r="H131" s="381" t="s">
        <v>460</v>
      </c>
      <c r="I131" s="381"/>
      <c r="J131" s="381"/>
      <c r="K131" s="104">
        <f>IFERROR(SUM(WSPSUEXT!H19,WSPSUEXT!H42,WSPSUEXT!H65),0)</f>
        <v>0</v>
      </c>
      <c r="L131" s="104">
        <f>IFERROR(SUM(WSPSUEXT!H26,WSPSUEXT!H49,WSPSUEXT!H72),0)</f>
        <v>0</v>
      </c>
      <c r="M131" s="104">
        <f>IFERROR(SUM(WSPSUEXT!I19,WSPSUEXT!I42,WSPSUEXT!I65),0)</f>
        <v>0</v>
      </c>
      <c r="N131" s="104">
        <f>IFERROR(SUM(WSPSUEXT!I26,WSPSUEXT!I49,WSPSUEXT!I72),0)</f>
        <v>0</v>
      </c>
      <c r="O131" s="390">
        <f>IFERROR(SUM(WSPSUEXT!J19,WSPSUEXT!J42,WSPSUEXT!J65),0)</f>
        <v>0</v>
      </c>
      <c r="P131" s="390"/>
      <c r="Q131" s="104">
        <f>IFERROR(SUM(WSPSUEXT!J26,WSPSUEXT!J49,WSPSUEXT!J72),0)</f>
        <v>0</v>
      </c>
      <c r="R131" s="82" t="s">
        <v>461</v>
      </c>
      <c r="T131" s="105">
        <f>SUM(K131,M131,O131)</f>
        <v>0</v>
      </c>
      <c r="U131" s="105">
        <f>SUM(L131,N131,Q131)</f>
        <v>0</v>
      </c>
      <c r="V131" s="82" t="s">
        <v>461</v>
      </c>
      <c r="X131" s="83" t="s">
        <v>191</v>
      </c>
      <c r="Y131" s="84" t="s">
        <v>462</v>
      </c>
      <c r="Z131" s="84"/>
      <c r="AA131" s="84"/>
      <c r="AB131" s="85"/>
    </row>
    <row r="132" spans="6:28" ht="15" customHeight="1">
      <c r="F132" s="386"/>
      <c r="G132" s="387"/>
      <c r="H132" s="381"/>
      <c r="I132" s="381"/>
      <c r="J132" s="381"/>
      <c r="K132" s="97">
        <f>K131/230</f>
        <v>0</v>
      </c>
      <c r="L132" s="101">
        <f>L131/230</f>
        <v>0</v>
      </c>
      <c r="M132" s="97">
        <f>M131/230</f>
        <v>0</v>
      </c>
      <c r="N132" s="101">
        <f>N131/230</f>
        <v>0</v>
      </c>
      <c r="O132" s="391">
        <f>O131/230</f>
        <v>0</v>
      </c>
      <c r="P132" s="391"/>
      <c r="Q132" s="101">
        <f>Q131/230</f>
        <v>0</v>
      </c>
      <c r="R132" s="82" t="s">
        <v>463</v>
      </c>
      <c r="T132" s="103">
        <f>T131/230</f>
        <v>0</v>
      </c>
      <c r="U132" s="102">
        <f>U131/230</f>
        <v>0</v>
      </c>
      <c r="V132" s="82" t="s">
        <v>463</v>
      </c>
      <c r="X132" s="83" t="s">
        <v>191</v>
      </c>
      <c r="Y132" s="84" t="s">
        <v>464</v>
      </c>
    </row>
    <row r="133" spans="6:28" ht="15" customHeight="1">
      <c r="F133" s="386"/>
      <c r="G133" s="387"/>
      <c r="O133" s="81"/>
      <c r="X133" s="83" t="s">
        <v>191</v>
      </c>
      <c r="Y133" s="84" t="s">
        <v>545</v>
      </c>
      <c r="Z133" s="84"/>
    </row>
    <row r="134" spans="6:28" ht="15" customHeight="1">
      <c r="F134" s="386"/>
      <c r="G134" s="387"/>
      <c r="H134" s="381" t="s">
        <v>466</v>
      </c>
      <c r="I134" s="381"/>
      <c r="J134" s="381"/>
      <c r="K134" s="104">
        <f>IFERROR(SUM(WSPSUEXT!H19,WSPSUEXT!H42,WSPSUEXT!H65)+(IF(N110="AC",R110,0)+(IF(N113="AC",R113,0))),0)</f>
        <v>0</v>
      </c>
      <c r="L134" s="104">
        <f>IFERROR(SUM(WSPSUEXT!H26,WSPSUEXT!H49,WSPSUEXT!H72)+(IF(N110="AC",R110,0)+(IF(N113="AC",R113,0))),0)</f>
        <v>0</v>
      </c>
      <c r="M134" s="104">
        <f>IFERROR(SUM(WSPSUEXT!I19,WSPSUEXT!I42,WSPSUEXT!I65)+(IF(N111="AC",R111,0)),0)</f>
        <v>0</v>
      </c>
      <c r="N134" s="104">
        <f>IFERROR(SUM(WSPSUEXT!I26,WSPSUEXT!I49,WSPSUEXT!I72)+(IF(N111="AC",R111,0)),0)</f>
        <v>0</v>
      </c>
      <c r="O134" s="390">
        <f>IFERROR(SUM(WSPSUEXT!J19,WSPSUEXT!J42,WSPSUEXT!J65)+(IF(N112="AC",R112,0)),0)</f>
        <v>0</v>
      </c>
      <c r="P134" s="390"/>
      <c r="Q134" s="104">
        <f>IFERROR(SUM(WSPSUEXT!J26,WSPSUEXT!J49,WSPSUEXT!J72)+(IF(N112="AC",R112,0)),0)</f>
        <v>0</v>
      </c>
      <c r="R134" s="82" t="s">
        <v>461</v>
      </c>
      <c r="T134" s="105">
        <f>SUM(K134,M134,O134)</f>
        <v>0</v>
      </c>
      <c r="U134" s="105">
        <f>SUM(L134,N134,Q134)</f>
        <v>0</v>
      </c>
      <c r="V134" s="82" t="s">
        <v>461</v>
      </c>
      <c r="Y134" s="84" t="s">
        <v>467</v>
      </c>
    </row>
    <row r="135" spans="6:28" ht="15" customHeight="1">
      <c r="F135" s="386"/>
      <c r="G135" s="387"/>
      <c r="H135" s="381"/>
      <c r="I135" s="381"/>
      <c r="J135" s="381"/>
      <c r="K135" s="97">
        <f>K134/230</f>
        <v>0</v>
      </c>
      <c r="L135" s="101">
        <f>L134/230</f>
        <v>0</v>
      </c>
      <c r="M135" s="97">
        <f>M134/230</f>
        <v>0</v>
      </c>
      <c r="N135" s="101">
        <f>N134/230</f>
        <v>0</v>
      </c>
      <c r="O135" s="391">
        <f>O134/230</f>
        <v>0</v>
      </c>
      <c r="P135" s="391"/>
      <c r="Q135" s="101">
        <f>Q134/230</f>
        <v>0</v>
      </c>
      <c r="R135" s="82" t="s">
        <v>463</v>
      </c>
      <c r="T135" s="103">
        <f>T134/230</f>
        <v>0</v>
      </c>
      <c r="U135" s="102">
        <f>U134/230</f>
        <v>0</v>
      </c>
      <c r="V135" s="82" t="s">
        <v>463</v>
      </c>
      <c r="Y135" s="84"/>
      <c r="AB135" s="84"/>
    </row>
    <row r="136" spans="6:28" ht="15" customHeight="1">
      <c r="F136" s="386"/>
      <c r="G136" s="387"/>
      <c r="Y136" s="84"/>
      <c r="Z136" s="83" t="s">
        <v>191</v>
      </c>
      <c r="AA136" s="84" t="s">
        <v>469</v>
      </c>
    </row>
    <row r="137" spans="6:28" ht="15" customHeight="1">
      <c r="F137" s="386"/>
      <c r="G137" s="387"/>
      <c r="Z137" s="83" t="s">
        <v>191</v>
      </c>
      <c r="AA137" s="84" t="s">
        <v>546</v>
      </c>
    </row>
    <row r="138" spans="6:28" ht="15" customHeight="1">
      <c r="F138" s="386"/>
      <c r="G138" s="387"/>
      <c r="H138" s="380" t="s">
        <v>471</v>
      </c>
      <c r="I138" s="380"/>
      <c r="J138" s="380"/>
      <c r="K138" s="104">
        <f>IFERROR(SUM(WSPSUEXT!H20,WSPSUEXT!H43,WSPSUEXT!H66)+WSPSUEXT!$L$9+(IF(N110="AC",R110,0)+(IF(N113="AC",R113,0))),0)</f>
        <v>0</v>
      </c>
      <c r="L138" s="104">
        <f>IFERROR(SUM(WSPSUEXT!H27,WSPSUEXT!H50,WSPSUEXT!H73)+WSPSUEXT!$L$9+(IF(N110="AC",R110,0)+(IF(N113="AC",R113,0))),0)</f>
        <v>0</v>
      </c>
      <c r="M138" s="104">
        <f>IFERROR(SUM(WSPSUEXT!I20,WSPSUEXT!I43,WSPSUEXT!I66)+(IF(N111="AC",R111,0)),0)</f>
        <v>0</v>
      </c>
      <c r="N138" s="104">
        <f>IFERROR(SUM(WSPSUEXT!I27,WSPSUEXT!I50,WSPSUEXT!I73)+(IF(N111="AC",R111,0)),0)</f>
        <v>0</v>
      </c>
      <c r="O138" s="390">
        <f>IFERROR(SUM(WSPSUEXT!J20,WSPSUEXT!J43,WSPSUEXT!J66)+(IF(N112="AC",R112,0)),0)</f>
        <v>0</v>
      </c>
      <c r="P138" s="390"/>
      <c r="Q138" s="104">
        <f>IFERROR(SUM(WSPSUEXT!J27,WSPSUEXT!J50,WSPSUEXT!J73)+(IF(N112="AC",R112,0)),0)</f>
        <v>0</v>
      </c>
      <c r="R138" s="82" t="s">
        <v>461</v>
      </c>
      <c r="T138" s="105">
        <f>SUM(K138,M138,O138)</f>
        <v>0</v>
      </c>
      <c r="U138" s="105">
        <f>SUM(L138,N138,Q138)</f>
        <v>0</v>
      </c>
      <c r="V138" s="82" t="s">
        <v>461</v>
      </c>
      <c r="Z138" s="83" t="s">
        <v>191</v>
      </c>
      <c r="AA138" s="84" t="s">
        <v>547</v>
      </c>
      <c r="AB138" s="84"/>
    </row>
    <row r="139" spans="6:28" ht="15" customHeight="1">
      <c r="F139" s="388"/>
      <c r="G139" s="389"/>
      <c r="H139" s="380"/>
      <c r="I139" s="380"/>
      <c r="J139" s="380"/>
      <c r="K139" s="97">
        <f>K138/230</f>
        <v>0</v>
      </c>
      <c r="L139" s="101">
        <f>L138/230</f>
        <v>0</v>
      </c>
      <c r="M139" s="97">
        <f>M138/230</f>
        <v>0</v>
      </c>
      <c r="N139" s="101">
        <f>N138/230</f>
        <v>0</v>
      </c>
      <c r="O139" s="391">
        <f>O138/230</f>
        <v>0</v>
      </c>
      <c r="P139" s="391"/>
      <c r="Q139" s="101">
        <f>Q138/230</f>
        <v>0</v>
      </c>
      <c r="R139" s="82" t="s">
        <v>463</v>
      </c>
      <c r="T139" s="103">
        <f>T138/230</f>
        <v>0</v>
      </c>
      <c r="U139" s="102">
        <f>U138/230</f>
        <v>0</v>
      </c>
      <c r="V139" s="82" t="s">
        <v>463</v>
      </c>
      <c r="Z139" s="83" t="s">
        <v>191</v>
      </c>
      <c r="AA139" s="84" t="s">
        <v>548</v>
      </c>
      <c r="AB139" s="85"/>
    </row>
    <row r="140" spans="6:28" ht="15" customHeight="1">
      <c r="Z140" s="83" t="s">
        <v>191</v>
      </c>
      <c r="AA140" s="84" t="s">
        <v>549</v>
      </c>
    </row>
    <row r="141" spans="6:28" ht="15" customHeight="1"/>
    <row r="142" spans="6:28" ht="15" customHeight="1">
      <c r="X142" s="83" t="s">
        <v>191</v>
      </c>
      <c r="Y142" s="84" t="s">
        <v>473</v>
      </c>
      <c r="Z142" s="84"/>
    </row>
    <row r="143" spans="6:28">
      <c r="Y143" s="84" t="s">
        <v>474</v>
      </c>
    </row>
    <row r="144" spans="6:28">
      <c r="K144" s="35"/>
      <c r="L144" s="35"/>
      <c r="M144" s="35"/>
    </row>
    <row r="148" spans="7:33">
      <c r="S148" t="s">
        <v>347</v>
      </c>
    </row>
    <row r="149" spans="7:33">
      <c r="G149" s="316" t="s">
        <v>348</v>
      </c>
      <c r="H149" s="316"/>
      <c r="I149" s="316"/>
      <c r="J149" s="316"/>
      <c r="K149" s="316"/>
      <c r="L149" s="316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  <c r="AA149" s="316"/>
      <c r="AB149" s="316"/>
      <c r="AC149" s="316"/>
      <c r="AD149" s="316"/>
      <c r="AE149" s="316"/>
      <c r="AF149" s="316"/>
      <c r="AG149" s="316"/>
    </row>
    <row r="155" spans="7:33">
      <c r="M155" s="185"/>
    </row>
  </sheetData>
  <mergeCells count="318">
    <mergeCell ref="G149:AG149"/>
    <mergeCell ref="G92:AG92"/>
    <mergeCell ref="F94:M95"/>
    <mergeCell ref="G97:I97"/>
    <mergeCell ref="J97:K97"/>
    <mergeCell ref="G98:I98"/>
    <mergeCell ref="J98:K98"/>
    <mergeCell ref="O134:P134"/>
    <mergeCell ref="O135:P135"/>
    <mergeCell ref="H138:J139"/>
    <mergeCell ref="O138:P138"/>
    <mergeCell ref="O139:P139"/>
    <mergeCell ref="K129:L129"/>
    <mergeCell ref="M129:N129"/>
    <mergeCell ref="O129:Q129"/>
    <mergeCell ref="T129:U129"/>
    <mergeCell ref="O130:P130"/>
    <mergeCell ref="F131:G139"/>
    <mergeCell ref="H131:J132"/>
    <mergeCell ref="O131:P131"/>
    <mergeCell ref="O132:P132"/>
    <mergeCell ref="H134:J135"/>
    <mergeCell ref="G120:I120"/>
    <mergeCell ref="J120:K120"/>
    <mergeCell ref="G123:AG123"/>
    <mergeCell ref="F125:M126"/>
    <mergeCell ref="K128:Q128"/>
    <mergeCell ref="T128:U128"/>
    <mergeCell ref="F115:I116"/>
    <mergeCell ref="G117:I117"/>
    <mergeCell ref="J117:K117"/>
    <mergeCell ref="G118:I118"/>
    <mergeCell ref="J118:K118"/>
    <mergeCell ref="G119:I119"/>
    <mergeCell ref="J119:K119"/>
    <mergeCell ref="G112:I112"/>
    <mergeCell ref="J112:L112"/>
    <mergeCell ref="O112:Q112"/>
    <mergeCell ref="R112:S112"/>
    <mergeCell ref="T112:U112"/>
    <mergeCell ref="G113:I113"/>
    <mergeCell ref="J113:L113"/>
    <mergeCell ref="O113:Q113"/>
    <mergeCell ref="R113:S113"/>
    <mergeCell ref="T113:U113"/>
    <mergeCell ref="G110:I110"/>
    <mergeCell ref="J110:L110"/>
    <mergeCell ref="O110:Q110"/>
    <mergeCell ref="R110:S110"/>
    <mergeCell ref="T110:U110"/>
    <mergeCell ref="G111:I111"/>
    <mergeCell ref="J111:L111"/>
    <mergeCell ref="O111:Q111"/>
    <mergeCell ref="R111:S111"/>
    <mergeCell ref="T111:U111"/>
    <mergeCell ref="G108:I108"/>
    <mergeCell ref="J108:K108"/>
    <mergeCell ref="O108:Q108"/>
    <mergeCell ref="R108:S108"/>
    <mergeCell ref="T108:U108"/>
    <mergeCell ref="G109:I109"/>
    <mergeCell ref="J109:L109"/>
    <mergeCell ref="O109:Q109"/>
    <mergeCell ref="R109:S109"/>
    <mergeCell ref="T109:U109"/>
    <mergeCell ref="F103:P104"/>
    <mergeCell ref="G106:I106"/>
    <mergeCell ref="J106:K106"/>
    <mergeCell ref="G107:I107"/>
    <mergeCell ref="J107:K107"/>
    <mergeCell ref="G101:AG101"/>
    <mergeCell ref="G89:I89"/>
    <mergeCell ref="J89:K89"/>
    <mergeCell ref="Q89:S89"/>
    <mergeCell ref="T89:U89"/>
    <mergeCell ref="AA89:AC89"/>
    <mergeCell ref="AD89:AE89"/>
    <mergeCell ref="G88:I88"/>
    <mergeCell ref="J88:K88"/>
    <mergeCell ref="Q88:S88"/>
    <mergeCell ref="T88:U88"/>
    <mergeCell ref="AA88:AC88"/>
    <mergeCell ref="AD88:AE88"/>
    <mergeCell ref="G85:I85"/>
    <mergeCell ref="J85:K85"/>
    <mergeCell ref="Q85:S85"/>
    <mergeCell ref="T85:U85"/>
    <mergeCell ref="AA85:AC85"/>
    <mergeCell ref="AD85:AE85"/>
    <mergeCell ref="G84:I84"/>
    <mergeCell ref="J84:K84"/>
    <mergeCell ref="Q84:S84"/>
    <mergeCell ref="T84:U84"/>
    <mergeCell ref="AA84:AC84"/>
    <mergeCell ref="AD84:AE84"/>
    <mergeCell ref="G83:I83"/>
    <mergeCell ref="J83:K83"/>
    <mergeCell ref="Q83:S83"/>
    <mergeCell ref="T83:U83"/>
    <mergeCell ref="AA83:AC83"/>
    <mergeCell ref="AD83:AE83"/>
    <mergeCell ref="G82:I82"/>
    <mergeCell ref="J82:K82"/>
    <mergeCell ref="Q82:S82"/>
    <mergeCell ref="T82:U82"/>
    <mergeCell ref="AA82:AC82"/>
    <mergeCell ref="AD82:AE82"/>
    <mergeCell ref="G81:I81"/>
    <mergeCell ref="J81:K81"/>
    <mergeCell ref="Q81:S81"/>
    <mergeCell ref="T81:U81"/>
    <mergeCell ref="AA81:AC81"/>
    <mergeCell ref="AD81:AE81"/>
    <mergeCell ref="G80:I80"/>
    <mergeCell ref="J80:K80"/>
    <mergeCell ref="Q80:S80"/>
    <mergeCell ref="T80:U80"/>
    <mergeCell ref="AA80:AC80"/>
    <mergeCell ref="AD80:AE80"/>
    <mergeCell ref="F77:M78"/>
    <mergeCell ref="P77:W78"/>
    <mergeCell ref="Z77:AG78"/>
    <mergeCell ref="AD73:AE73"/>
    <mergeCell ref="G74:I74"/>
    <mergeCell ref="Q74:S74"/>
    <mergeCell ref="AA74:AC74"/>
    <mergeCell ref="G75:I75"/>
    <mergeCell ref="Q75:S75"/>
    <mergeCell ref="AA75:AC75"/>
    <mergeCell ref="F69:H70"/>
    <mergeCell ref="P69:R70"/>
    <mergeCell ref="Z69:AB70"/>
    <mergeCell ref="G71:M71"/>
    <mergeCell ref="G73:I73"/>
    <mergeCell ref="J73:K73"/>
    <mergeCell ref="Q73:S73"/>
    <mergeCell ref="T73:U73"/>
    <mergeCell ref="AA73:AC73"/>
    <mergeCell ref="F67:G68"/>
    <mergeCell ref="H67:H68"/>
    <mergeCell ref="P67:Q68"/>
    <mergeCell ref="R67:R68"/>
    <mergeCell ref="Z67:AA68"/>
    <mergeCell ref="AB67:AB68"/>
    <mergeCell ref="G63:I63"/>
    <mergeCell ref="Q63:S63"/>
    <mergeCell ref="AA63:AC63"/>
    <mergeCell ref="G64:I64"/>
    <mergeCell ref="Q64:S64"/>
    <mergeCell ref="AA64:AC64"/>
    <mergeCell ref="G62:I62"/>
    <mergeCell ref="J62:L62"/>
    <mergeCell ref="Q62:S62"/>
    <mergeCell ref="T62:V62"/>
    <mergeCell ref="AA62:AC62"/>
    <mergeCell ref="AD62:AF62"/>
    <mergeCell ref="G61:I61"/>
    <mergeCell ref="J61:L61"/>
    <mergeCell ref="Q61:S61"/>
    <mergeCell ref="T61:V61"/>
    <mergeCell ref="AA61:AC61"/>
    <mergeCell ref="AD61:AF61"/>
    <mergeCell ref="F54:H57"/>
    <mergeCell ref="P54:R57"/>
    <mergeCell ref="Z54:AB57"/>
    <mergeCell ref="AE46:AF46"/>
    <mergeCell ref="K47:L47"/>
    <mergeCell ref="U47:V47"/>
    <mergeCell ref="AE47:AF47"/>
    <mergeCell ref="G50:AG50"/>
    <mergeCell ref="F52:M53"/>
    <mergeCell ref="F45:J45"/>
    <mergeCell ref="P45:T45"/>
    <mergeCell ref="Z45:AD45"/>
    <mergeCell ref="F46:J47"/>
    <mergeCell ref="K46:L46"/>
    <mergeCell ref="P46:T47"/>
    <mergeCell ref="U46:V46"/>
    <mergeCell ref="Z46:AD47"/>
    <mergeCell ref="F43:J43"/>
    <mergeCell ref="P43:T43"/>
    <mergeCell ref="Z43:AD43"/>
    <mergeCell ref="F44:J44"/>
    <mergeCell ref="P44:T44"/>
    <mergeCell ref="Z44:AD44"/>
    <mergeCell ref="F41:J41"/>
    <mergeCell ref="P41:T41"/>
    <mergeCell ref="Z41:AD41"/>
    <mergeCell ref="F42:J42"/>
    <mergeCell ref="P42:T42"/>
    <mergeCell ref="Z42:AD42"/>
    <mergeCell ref="F39:J39"/>
    <mergeCell ref="P39:T39"/>
    <mergeCell ref="Z39:AD39"/>
    <mergeCell ref="F40:J40"/>
    <mergeCell ref="P40:T40"/>
    <mergeCell ref="Z40:AD40"/>
    <mergeCell ref="F36:J37"/>
    <mergeCell ref="K36:L36"/>
    <mergeCell ref="P36:T37"/>
    <mergeCell ref="U36:V36"/>
    <mergeCell ref="Z36:AD37"/>
    <mergeCell ref="AE36:AF36"/>
    <mergeCell ref="K37:L37"/>
    <mergeCell ref="U37:V37"/>
    <mergeCell ref="AE37:AF37"/>
    <mergeCell ref="G34:J34"/>
    <mergeCell ref="Q34:T34"/>
    <mergeCell ref="AA34:AD34"/>
    <mergeCell ref="G35:J35"/>
    <mergeCell ref="Q35:T35"/>
    <mergeCell ref="AA35:AD35"/>
    <mergeCell ref="G32:J32"/>
    <mergeCell ref="Q32:T32"/>
    <mergeCell ref="AA32:AD32"/>
    <mergeCell ref="G33:J33"/>
    <mergeCell ref="Q33:T33"/>
    <mergeCell ref="AA33:AD33"/>
    <mergeCell ref="G30:J30"/>
    <mergeCell ref="Q30:T30"/>
    <mergeCell ref="AA30:AD30"/>
    <mergeCell ref="G31:J31"/>
    <mergeCell ref="Q31:T31"/>
    <mergeCell ref="AA31:AD31"/>
    <mergeCell ref="G28:J28"/>
    <mergeCell ref="Q28:T28"/>
    <mergeCell ref="AA28:AD28"/>
    <mergeCell ref="G29:J29"/>
    <mergeCell ref="Q29:T29"/>
    <mergeCell ref="AA29:AD29"/>
    <mergeCell ref="B26:D26"/>
    <mergeCell ref="G26:J26"/>
    <mergeCell ref="Q26:T26"/>
    <mergeCell ref="AA26:AD26"/>
    <mergeCell ref="B27:D27"/>
    <mergeCell ref="G27:J27"/>
    <mergeCell ref="Q27:T27"/>
    <mergeCell ref="AA27:AD27"/>
    <mergeCell ref="B24:D24"/>
    <mergeCell ref="G24:J24"/>
    <mergeCell ref="Q24:T24"/>
    <mergeCell ref="AA24:AD24"/>
    <mergeCell ref="B25:D25"/>
    <mergeCell ref="G25:J25"/>
    <mergeCell ref="Q25:T25"/>
    <mergeCell ref="AA25:AD25"/>
    <mergeCell ref="B22:D22"/>
    <mergeCell ref="G22:J22"/>
    <mergeCell ref="Q22:T22"/>
    <mergeCell ref="AA22:AD22"/>
    <mergeCell ref="B23:D23"/>
    <mergeCell ref="G23:J23"/>
    <mergeCell ref="Q23:T23"/>
    <mergeCell ref="AA23:AD23"/>
    <mergeCell ref="B20:D20"/>
    <mergeCell ref="G20:J20"/>
    <mergeCell ref="Q20:T20"/>
    <mergeCell ref="AA20:AD20"/>
    <mergeCell ref="B21:D21"/>
    <mergeCell ref="G21:J21"/>
    <mergeCell ref="Q21:T21"/>
    <mergeCell ref="AA21:AD21"/>
    <mergeCell ref="B18:D18"/>
    <mergeCell ref="G18:J18"/>
    <mergeCell ref="Q18:T18"/>
    <mergeCell ref="AA18:AD18"/>
    <mergeCell ref="B19:D19"/>
    <mergeCell ref="G19:J19"/>
    <mergeCell ref="Q19:T19"/>
    <mergeCell ref="AA19:AD19"/>
    <mergeCell ref="B16:D16"/>
    <mergeCell ref="G16:J16"/>
    <mergeCell ref="Q16:T16"/>
    <mergeCell ref="AA16:AD16"/>
    <mergeCell ref="B17:D17"/>
    <mergeCell ref="G17:J17"/>
    <mergeCell ref="Q17:T17"/>
    <mergeCell ref="AA17:AD17"/>
    <mergeCell ref="B14:D14"/>
    <mergeCell ref="G14:J14"/>
    <mergeCell ref="Q14:T14"/>
    <mergeCell ref="AA14:AD14"/>
    <mergeCell ref="B15:D15"/>
    <mergeCell ref="G15:J15"/>
    <mergeCell ref="Q15:T15"/>
    <mergeCell ref="AA15:AD15"/>
    <mergeCell ref="B12:D12"/>
    <mergeCell ref="G12:J12"/>
    <mergeCell ref="Q12:T12"/>
    <mergeCell ref="AA12:AD12"/>
    <mergeCell ref="B13:D13"/>
    <mergeCell ref="G13:J13"/>
    <mergeCell ref="Q13:T13"/>
    <mergeCell ref="AA13:AD13"/>
    <mergeCell ref="B10:D10"/>
    <mergeCell ref="G10:J10"/>
    <mergeCell ref="Q10:T10"/>
    <mergeCell ref="AA10:AD10"/>
    <mergeCell ref="B11:D11"/>
    <mergeCell ref="G11:J11"/>
    <mergeCell ref="Q11:T11"/>
    <mergeCell ref="AA11:AD11"/>
    <mergeCell ref="U9:V9"/>
    <mergeCell ref="W9:X9"/>
    <mergeCell ref="Z9:AA9"/>
    <mergeCell ref="AB9:AC9"/>
    <mergeCell ref="AE9:AF9"/>
    <mergeCell ref="AG9:AH9"/>
    <mergeCell ref="F2:P4"/>
    <mergeCell ref="Q2:T4"/>
    <mergeCell ref="F7:L8"/>
    <mergeCell ref="B9:D9"/>
    <mergeCell ref="F9:G9"/>
    <mergeCell ref="H9:I9"/>
    <mergeCell ref="K9:L9"/>
    <mergeCell ref="M9:N9"/>
    <mergeCell ref="P9:Q9"/>
    <mergeCell ref="R9:S9"/>
  </mergeCells>
  <conditionalFormatting sqref="H9:I9">
    <cfRule type="cellIs" dxfId="413" priority="273" operator="equal">
      <formula>"JOINT"</formula>
    </cfRule>
    <cfRule type="cellIs" dxfId="412" priority="351" operator="equal">
      <formula>"VODAFONE"</formula>
    </cfRule>
    <cfRule type="cellIs" dxfId="411" priority="352" operator="equal">
      <formula>"OPTUS"</formula>
    </cfRule>
  </conditionalFormatting>
  <conditionalFormatting sqref="I67:M67">
    <cfRule type="cellIs" dxfId="410" priority="348" operator="equal">
      <formula>"NA"</formula>
    </cfRule>
    <cfRule type="cellIs" dxfId="409" priority="349" operator="equal">
      <formula>"Disabled"</formula>
    </cfRule>
    <cfRule type="cellIs" dxfId="408" priority="350" operator="equal">
      <formula>"Enabled"</formula>
    </cfRule>
  </conditionalFormatting>
  <conditionalFormatting sqref="J74:J75">
    <cfRule type="cellIs" dxfId="407" priority="347" operator="notEqual">
      <formula>""</formula>
    </cfRule>
  </conditionalFormatting>
  <conditionalFormatting sqref="I54">
    <cfRule type="cellIs" dxfId="406" priority="343" operator="equal">
      <formula>"SOLAR"</formula>
    </cfRule>
    <cfRule type="cellIs" dxfId="405" priority="344" operator="equal">
      <formula>"L3"</formula>
    </cfRule>
    <cfRule type="cellIs" dxfId="404" priority="345" operator="equal">
      <formula>"L2"</formula>
    </cfRule>
    <cfRule type="cellIs" dxfId="403" priority="346" operator="equal">
      <formula>"L1"</formula>
    </cfRule>
  </conditionalFormatting>
  <conditionalFormatting sqref="I54">
    <cfRule type="cellIs" dxfId="402" priority="341" operator="equal">
      <formula>"NA"</formula>
    </cfRule>
    <cfRule type="cellIs" dxfId="401" priority="342" operator="equal">
      <formula>"CPU"</formula>
    </cfRule>
  </conditionalFormatting>
  <conditionalFormatting sqref="J54:M54">
    <cfRule type="cellIs" dxfId="400" priority="337" operator="equal">
      <formula>"SOLAR"</formula>
    </cfRule>
    <cfRule type="cellIs" dxfId="399" priority="338" operator="equal">
      <formula>"L3"</formula>
    </cfRule>
    <cfRule type="cellIs" dxfId="398" priority="339" operator="equal">
      <formula>"L2"</formula>
    </cfRule>
    <cfRule type="cellIs" dxfId="397" priority="340" operator="equal">
      <formula>"L1"</formula>
    </cfRule>
  </conditionalFormatting>
  <conditionalFormatting sqref="J54:M54">
    <cfRule type="cellIs" dxfId="396" priority="335" operator="equal">
      <formula>"NA"</formula>
    </cfRule>
    <cfRule type="cellIs" dxfId="395" priority="336" operator="equal">
      <formula>"CPU"</formula>
    </cfRule>
  </conditionalFormatting>
  <conditionalFormatting sqref="I55:I57">
    <cfRule type="cellIs" dxfId="394" priority="331" operator="equal">
      <formula>"SOLAR"</formula>
    </cfRule>
    <cfRule type="cellIs" dxfId="393" priority="332" operator="equal">
      <formula>"L3"</formula>
    </cfRule>
    <cfRule type="cellIs" dxfId="392" priority="333" operator="equal">
      <formula>"L2"</formula>
    </cfRule>
    <cfRule type="cellIs" dxfId="391" priority="334" operator="equal">
      <formula>"L1"</formula>
    </cfRule>
  </conditionalFormatting>
  <conditionalFormatting sqref="I55:I57">
    <cfRule type="cellIs" dxfId="390" priority="329" operator="equal">
      <formula>"NA"</formula>
    </cfRule>
    <cfRule type="cellIs" dxfId="389" priority="330" operator="equal">
      <formula>"CPU"</formula>
    </cfRule>
  </conditionalFormatting>
  <conditionalFormatting sqref="J55:M57">
    <cfRule type="cellIs" dxfId="388" priority="325" operator="equal">
      <formula>"SOLAR"</formula>
    </cfRule>
    <cfRule type="cellIs" dxfId="387" priority="326" operator="equal">
      <formula>"L3"</formula>
    </cfRule>
    <cfRule type="cellIs" dxfId="386" priority="327" operator="equal">
      <formula>"L2"</formula>
    </cfRule>
    <cfRule type="cellIs" dxfId="385" priority="328" operator="equal">
      <formula>"L1"</formula>
    </cfRule>
  </conditionalFormatting>
  <conditionalFormatting sqref="J55:M57">
    <cfRule type="cellIs" dxfId="384" priority="323" operator="equal">
      <formula>"NA"</formula>
    </cfRule>
    <cfRule type="cellIs" dxfId="383" priority="324" operator="equal">
      <formula>"CPU"</formula>
    </cfRule>
  </conditionalFormatting>
  <conditionalFormatting sqref="I68">
    <cfRule type="cellIs" dxfId="382" priority="320" operator="equal">
      <formula>"NA"</formula>
    </cfRule>
    <cfRule type="cellIs" dxfId="381" priority="321" operator="equal">
      <formula>"Disabled"</formula>
    </cfRule>
    <cfRule type="cellIs" dxfId="380" priority="322" operator="equal">
      <formula>"Enabled"</formula>
    </cfRule>
  </conditionalFormatting>
  <conditionalFormatting sqref="J68">
    <cfRule type="cellIs" dxfId="379" priority="317" operator="equal">
      <formula>"NA"</formula>
    </cfRule>
    <cfRule type="cellIs" dxfId="378" priority="318" operator="equal">
      <formula>"Disabled"</formula>
    </cfRule>
    <cfRule type="cellIs" dxfId="377" priority="319" operator="equal">
      <formula>"Enabled"</formula>
    </cfRule>
  </conditionalFormatting>
  <conditionalFormatting sqref="K68">
    <cfRule type="cellIs" dxfId="376" priority="314" operator="equal">
      <formula>"NA"</formula>
    </cfRule>
    <cfRule type="cellIs" dxfId="375" priority="315" operator="equal">
      <formula>"Disabled"</formula>
    </cfRule>
    <cfRule type="cellIs" dxfId="374" priority="316" operator="equal">
      <formula>"Enabled"</formula>
    </cfRule>
  </conditionalFormatting>
  <conditionalFormatting sqref="L68">
    <cfRule type="cellIs" dxfId="373" priority="311" operator="equal">
      <formula>"NA"</formula>
    </cfRule>
    <cfRule type="cellIs" dxfId="372" priority="312" operator="equal">
      <formula>"Disabled"</formula>
    </cfRule>
    <cfRule type="cellIs" dxfId="371" priority="313" operator="equal">
      <formula>"Enabled"</formula>
    </cfRule>
  </conditionalFormatting>
  <conditionalFormatting sqref="I69">
    <cfRule type="cellIs" dxfId="370" priority="308" operator="equal">
      <formula>"NA"</formula>
    </cfRule>
    <cfRule type="cellIs" dxfId="369" priority="309" operator="equal">
      <formula>"Disabled"</formula>
    </cfRule>
    <cfRule type="cellIs" dxfId="368" priority="310" operator="equal">
      <formula>"Enabled"</formula>
    </cfRule>
  </conditionalFormatting>
  <conditionalFormatting sqref="I70">
    <cfRule type="cellIs" dxfId="367" priority="305" operator="equal">
      <formula>"NA"</formula>
    </cfRule>
    <cfRule type="cellIs" dxfId="366" priority="306" operator="equal">
      <formula>"Disabled"</formula>
    </cfRule>
    <cfRule type="cellIs" dxfId="365" priority="307" operator="equal">
      <formula>"Enabled"</formula>
    </cfRule>
  </conditionalFormatting>
  <conditionalFormatting sqref="J70">
    <cfRule type="cellIs" dxfId="364" priority="302" operator="equal">
      <formula>"NA"</formula>
    </cfRule>
    <cfRule type="cellIs" dxfId="363" priority="303" operator="equal">
      <formula>"Disabled"</formula>
    </cfRule>
    <cfRule type="cellIs" dxfId="362" priority="304" operator="equal">
      <formula>"Enabled"</formula>
    </cfRule>
  </conditionalFormatting>
  <conditionalFormatting sqref="J69">
    <cfRule type="cellIs" dxfId="361" priority="299" operator="equal">
      <formula>"NA"</formula>
    </cfRule>
    <cfRule type="cellIs" dxfId="360" priority="300" operator="equal">
      <formula>"Disabled"</formula>
    </cfRule>
    <cfRule type="cellIs" dxfId="359" priority="301" operator="equal">
      <formula>"Enabled"</formula>
    </cfRule>
  </conditionalFormatting>
  <conditionalFormatting sqref="K69">
    <cfRule type="cellIs" dxfId="358" priority="296" operator="equal">
      <formula>"NA"</formula>
    </cfRule>
    <cfRule type="cellIs" dxfId="357" priority="297" operator="equal">
      <formula>"Disabled"</formula>
    </cfRule>
    <cfRule type="cellIs" dxfId="356" priority="298" operator="equal">
      <formula>"Enabled"</formula>
    </cfRule>
  </conditionalFormatting>
  <conditionalFormatting sqref="K70">
    <cfRule type="cellIs" dxfId="355" priority="293" operator="equal">
      <formula>"NA"</formula>
    </cfRule>
    <cfRule type="cellIs" dxfId="354" priority="294" operator="equal">
      <formula>"Disabled"</formula>
    </cfRule>
    <cfRule type="cellIs" dxfId="353" priority="295" operator="equal">
      <formula>"Enabled"</formula>
    </cfRule>
  </conditionalFormatting>
  <conditionalFormatting sqref="L70">
    <cfRule type="cellIs" dxfId="352" priority="290" operator="equal">
      <formula>"NA"</formula>
    </cfRule>
    <cfRule type="cellIs" dxfId="351" priority="291" operator="equal">
      <formula>"Disabled"</formula>
    </cfRule>
    <cfRule type="cellIs" dxfId="350" priority="292" operator="equal">
      <formula>"Enabled"</formula>
    </cfRule>
  </conditionalFormatting>
  <conditionalFormatting sqref="L69">
    <cfRule type="cellIs" dxfId="349" priority="287" operator="equal">
      <formula>"NA"</formula>
    </cfRule>
    <cfRule type="cellIs" dxfId="348" priority="288" operator="equal">
      <formula>"Disabled"</formula>
    </cfRule>
    <cfRule type="cellIs" dxfId="347" priority="289" operator="equal">
      <formula>"Enabled"</formula>
    </cfRule>
  </conditionalFormatting>
  <conditionalFormatting sqref="M69">
    <cfRule type="cellIs" dxfId="346" priority="284" operator="equal">
      <formula>"NA"</formula>
    </cfRule>
    <cfRule type="cellIs" dxfId="345" priority="285" operator="equal">
      <formula>"Disabled"</formula>
    </cfRule>
    <cfRule type="cellIs" dxfId="344" priority="286" operator="equal">
      <formula>"Enabled"</formula>
    </cfRule>
  </conditionalFormatting>
  <conditionalFormatting sqref="M70">
    <cfRule type="cellIs" dxfId="343" priority="281" operator="equal">
      <formula>"NA"</formula>
    </cfRule>
    <cfRule type="cellIs" dxfId="342" priority="282" operator="equal">
      <formula>"Disabled"</formula>
    </cfRule>
    <cfRule type="cellIs" dxfId="341" priority="283" operator="equal">
      <formula>"Enabled"</formula>
    </cfRule>
  </conditionalFormatting>
  <conditionalFormatting sqref="M68">
    <cfRule type="cellIs" dxfId="340" priority="278" operator="equal">
      <formula>"NA"</formula>
    </cfRule>
    <cfRule type="cellIs" dxfId="339" priority="279" operator="equal">
      <formula>"Disabled"</formula>
    </cfRule>
    <cfRule type="cellIs" dxfId="338" priority="280" operator="equal">
      <formula>"Enabled"</formula>
    </cfRule>
  </conditionalFormatting>
  <conditionalFormatting sqref="F117:F120 F110:F113 F61:F64">
    <cfRule type="cellIs" dxfId="337" priority="274" operator="equal">
      <formula>"ERR1"</formula>
    </cfRule>
    <cfRule type="cellIs" dxfId="336" priority="275" operator="equal">
      <formula>"ERR2"</formula>
    </cfRule>
    <cfRule type="cellIs" dxfId="335" priority="276" operator="equal">
      <formula>"ERR"</formula>
    </cfRule>
    <cfRule type="cellIs" dxfId="334" priority="277" operator="equal">
      <formula>"OK"</formula>
    </cfRule>
  </conditionalFormatting>
  <conditionalFormatting sqref="S54">
    <cfRule type="cellIs" dxfId="333" priority="269" operator="equal">
      <formula>"SOLAR"</formula>
    </cfRule>
    <cfRule type="cellIs" dxfId="332" priority="270" operator="equal">
      <formula>"L3"</formula>
    </cfRule>
    <cfRule type="cellIs" dxfId="331" priority="271" operator="equal">
      <formula>"L2"</formula>
    </cfRule>
    <cfRule type="cellIs" dxfId="330" priority="272" operator="equal">
      <formula>"L1"</formula>
    </cfRule>
  </conditionalFormatting>
  <conditionalFormatting sqref="S54">
    <cfRule type="cellIs" dxfId="329" priority="267" operator="equal">
      <formula>"NA"</formula>
    </cfRule>
    <cfRule type="cellIs" dxfId="328" priority="268" operator="equal">
      <formula>"CPU"</formula>
    </cfRule>
  </conditionalFormatting>
  <conditionalFormatting sqref="T54:W54">
    <cfRule type="cellIs" dxfId="327" priority="263" operator="equal">
      <formula>"SOLAR"</formula>
    </cfRule>
    <cfRule type="cellIs" dxfId="326" priority="264" operator="equal">
      <formula>"L3"</formula>
    </cfRule>
    <cfRule type="cellIs" dxfId="325" priority="265" operator="equal">
      <formula>"L2"</formula>
    </cfRule>
    <cfRule type="cellIs" dxfId="324" priority="266" operator="equal">
      <formula>"L1"</formula>
    </cfRule>
  </conditionalFormatting>
  <conditionalFormatting sqref="T54:W54">
    <cfRule type="cellIs" dxfId="323" priority="261" operator="equal">
      <formula>"NA"</formula>
    </cfRule>
    <cfRule type="cellIs" dxfId="322" priority="262" operator="equal">
      <formula>"CPU"</formula>
    </cfRule>
  </conditionalFormatting>
  <conditionalFormatting sqref="S55:S57">
    <cfRule type="cellIs" dxfId="321" priority="257" operator="equal">
      <formula>"SOLAR"</formula>
    </cfRule>
    <cfRule type="cellIs" dxfId="320" priority="258" operator="equal">
      <formula>"L3"</formula>
    </cfRule>
    <cfRule type="cellIs" dxfId="319" priority="259" operator="equal">
      <formula>"L2"</formula>
    </cfRule>
    <cfRule type="cellIs" dxfId="318" priority="260" operator="equal">
      <formula>"L1"</formula>
    </cfRule>
  </conditionalFormatting>
  <conditionalFormatting sqref="S55:S57">
    <cfRule type="cellIs" dxfId="317" priority="255" operator="equal">
      <formula>"NA"</formula>
    </cfRule>
    <cfRule type="cellIs" dxfId="316" priority="256" operator="equal">
      <formula>"CPU"</formula>
    </cfRule>
  </conditionalFormatting>
  <conditionalFormatting sqref="T55:W57">
    <cfRule type="cellIs" dxfId="315" priority="251" operator="equal">
      <formula>"SOLAR"</formula>
    </cfRule>
    <cfRule type="cellIs" dxfId="314" priority="252" operator="equal">
      <formula>"L3"</formula>
    </cfRule>
    <cfRule type="cellIs" dxfId="313" priority="253" operator="equal">
      <formula>"L2"</formula>
    </cfRule>
    <cfRule type="cellIs" dxfId="312" priority="254" operator="equal">
      <formula>"L1"</formula>
    </cfRule>
  </conditionalFormatting>
  <conditionalFormatting sqref="T55:W57">
    <cfRule type="cellIs" dxfId="311" priority="249" operator="equal">
      <formula>"NA"</formula>
    </cfRule>
    <cfRule type="cellIs" dxfId="310" priority="250" operator="equal">
      <formula>"CPU"</formula>
    </cfRule>
  </conditionalFormatting>
  <conditionalFormatting sqref="S67:W67">
    <cfRule type="cellIs" dxfId="309" priority="246" operator="equal">
      <formula>"NA"</formula>
    </cfRule>
    <cfRule type="cellIs" dxfId="308" priority="247" operator="equal">
      <formula>"Disabled"</formula>
    </cfRule>
    <cfRule type="cellIs" dxfId="307" priority="248" operator="equal">
      <formula>"Enabled"</formula>
    </cfRule>
  </conditionalFormatting>
  <conditionalFormatting sqref="S68">
    <cfRule type="cellIs" dxfId="306" priority="243" operator="equal">
      <formula>"NA"</formula>
    </cfRule>
    <cfRule type="cellIs" dxfId="305" priority="244" operator="equal">
      <formula>"Disabled"</formula>
    </cfRule>
    <cfRule type="cellIs" dxfId="304" priority="245" operator="equal">
      <formula>"Enabled"</formula>
    </cfRule>
  </conditionalFormatting>
  <conditionalFormatting sqref="T68">
    <cfRule type="cellIs" dxfId="303" priority="240" operator="equal">
      <formula>"NA"</formula>
    </cfRule>
    <cfRule type="cellIs" dxfId="302" priority="241" operator="equal">
      <formula>"Disabled"</formula>
    </cfRule>
    <cfRule type="cellIs" dxfId="301" priority="242" operator="equal">
      <formula>"Enabled"</formula>
    </cfRule>
  </conditionalFormatting>
  <conditionalFormatting sqref="U68">
    <cfRule type="cellIs" dxfId="300" priority="237" operator="equal">
      <formula>"NA"</formula>
    </cfRule>
    <cfRule type="cellIs" dxfId="299" priority="238" operator="equal">
      <formula>"Disabled"</formula>
    </cfRule>
    <cfRule type="cellIs" dxfId="298" priority="239" operator="equal">
      <formula>"Enabled"</formula>
    </cfRule>
  </conditionalFormatting>
  <conditionalFormatting sqref="V68">
    <cfRule type="cellIs" dxfId="297" priority="234" operator="equal">
      <formula>"NA"</formula>
    </cfRule>
    <cfRule type="cellIs" dxfId="296" priority="235" operator="equal">
      <formula>"Disabled"</formula>
    </cfRule>
    <cfRule type="cellIs" dxfId="295" priority="236" operator="equal">
      <formula>"Enabled"</formula>
    </cfRule>
  </conditionalFormatting>
  <conditionalFormatting sqref="S69">
    <cfRule type="cellIs" dxfId="294" priority="231" operator="equal">
      <formula>"NA"</formula>
    </cfRule>
    <cfRule type="cellIs" dxfId="293" priority="232" operator="equal">
      <formula>"Disabled"</formula>
    </cfRule>
    <cfRule type="cellIs" dxfId="292" priority="233" operator="equal">
      <formula>"Enabled"</formula>
    </cfRule>
  </conditionalFormatting>
  <conditionalFormatting sqref="S70">
    <cfRule type="cellIs" dxfId="291" priority="228" operator="equal">
      <formula>"NA"</formula>
    </cfRule>
    <cfRule type="cellIs" dxfId="290" priority="229" operator="equal">
      <formula>"Disabled"</formula>
    </cfRule>
    <cfRule type="cellIs" dxfId="289" priority="230" operator="equal">
      <formula>"Enabled"</formula>
    </cfRule>
  </conditionalFormatting>
  <conditionalFormatting sqref="T70">
    <cfRule type="cellIs" dxfId="288" priority="225" operator="equal">
      <formula>"NA"</formula>
    </cfRule>
    <cfRule type="cellIs" dxfId="287" priority="226" operator="equal">
      <formula>"Disabled"</formula>
    </cfRule>
    <cfRule type="cellIs" dxfId="286" priority="227" operator="equal">
      <formula>"Enabled"</formula>
    </cfRule>
  </conditionalFormatting>
  <conditionalFormatting sqref="T69">
    <cfRule type="cellIs" dxfId="285" priority="222" operator="equal">
      <formula>"NA"</formula>
    </cfRule>
    <cfRule type="cellIs" dxfId="284" priority="223" operator="equal">
      <formula>"Disabled"</formula>
    </cfRule>
    <cfRule type="cellIs" dxfId="283" priority="224" operator="equal">
      <formula>"Enabled"</formula>
    </cfRule>
  </conditionalFormatting>
  <conditionalFormatting sqref="U69">
    <cfRule type="cellIs" dxfId="282" priority="219" operator="equal">
      <formula>"NA"</formula>
    </cfRule>
    <cfRule type="cellIs" dxfId="281" priority="220" operator="equal">
      <formula>"Disabled"</formula>
    </cfRule>
    <cfRule type="cellIs" dxfId="280" priority="221" operator="equal">
      <formula>"Enabled"</formula>
    </cfRule>
  </conditionalFormatting>
  <conditionalFormatting sqref="U70">
    <cfRule type="cellIs" dxfId="279" priority="216" operator="equal">
      <formula>"NA"</formula>
    </cfRule>
    <cfRule type="cellIs" dxfId="278" priority="217" operator="equal">
      <formula>"Disabled"</formula>
    </cfRule>
    <cfRule type="cellIs" dxfId="277" priority="218" operator="equal">
      <formula>"Enabled"</formula>
    </cfRule>
  </conditionalFormatting>
  <conditionalFormatting sqref="V70">
    <cfRule type="cellIs" dxfId="276" priority="213" operator="equal">
      <formula>"NA"</formula>
    </cfRule>
    <cfRule type="cellIs" dxfId="275" priority="214" operator="equal">
      <formula>"Disabled"</formula>
    </cfRule>
    <cfRule type="cellIs" dxfId="274" priority="215" operator="equal">
      <formula>"Enabled"</formula>
    </cfRule>
  </conditionalFormatting>
  <conditionalFormatting sqref="V69">
    <cfRule type="cellIs" dxfId="273" priority="210" operator="equal">
      <formula>"NA"</formula>
    </cfRule>
    <cfRule type="cellIs" dxfId="272" priority="211" operator="equal">
      <formula>"Disabled"</formula>
    </cfRule>
    <cfRule type="cellIs" dxfId="271" priority="212" operator="equal">
      <formula>"Enabled"</formula>
    </cfRule>
  </conditionalFormatting>
  <conditionalFormatting sqref="W69">
    <cfRule type="cellIs" dxfId="270" priority="207" operator="equal">
      <formula>"NA"</formula>
    </cfRule>
    <cfRule type="cellIs" dxfId="269" priority="208" operator="equal">
      <formula>"Disabled"</formula>
    </cfRule>
    <cfRule type="cellIs" dxfId="268" priority="209" operator="equal">
      <formula>"Enabled"</formula>
    </cfRule>
  </conditionalFormatting>
  <conditionalFormatting sqref="W70">
    <cfRule type="cellIs" dxfId="267" priority="204" operator="equal">
      <formula>"NA"</formula>
    </cfRule>
    <cfRule type="cellIs" dxfId="266" priority="205" operator="equal">
      <formula>"Disabled"</formula>
    </cfRule>
    <cfRule type="cellIs" dxfId="265" priority="206" operator="equal">
      <formula>"Enabled"</formula>
    </cfRule>
  </conditionalFormatting>
  <conditionalFormatting sqref="W68">
    <cfRule type="cellIs" dxfId="264" priority="201" operator="equal">
      <formula>"NA"</formula>
    </cfRule>
    <cfRule type="cellIs" dxfId="263" priority="202" operator="equal">
      <formula>"Disabled"</formula>
    </cfRule>
    <cfRule type="cellIs" dxfId="262" priority="203" operator="equal">
      <formula>"Enabled"</formula>
    </cfRule>
  </conditionalFormatting>
  <conditionalFormatting sqref="P61:P64">
    <cfRule type="cellIs" dxfId="261" priority="197" operator="equal">
      <formula>"ERR1"</formula>
    </cfRule>
    <cfRule type="cellIs" dxfId="260" priority="198" operator="equal">
      <formula>"ERR2"</formula>
    </cfRule>
    <cfRule type="cellIs" dxfId="259" priority="199" operator="equal">
      <formula>"ERR"</formula>
    </cfRule>
    <cfRule type="cellIs" dxfId="258" priority="200" operator="equal">
      <formula>"OK"</formula>
    </cfRule>
  </conditionalFormatting>
  <conditionalFormatting sqref="AC54">
    <cfRule type="cellIs" dxfId="257" priority="193" operator="equal">
      <formula>"SOLAR"</formula>
    </cfRule>
    <cfRule type="cellIs" dxfId="256" priority="194" operator="equal">
      <formula>"L3"</formula>
    </cfRule>
    <cfRule type="cellIs" dxfId="255" priority="195" operator="equal">
      <formula>"L2"</formula>
    </cfRule>
    <cfRule type="cellIs" dxfId="254" priority="196" operator="equal">
      <formula>"L1"</formula>
    </cfRule>
  </conditionalFormatting>
  <conditionalFormatting sqref="AC54">
    <cfRule type="cellIs" dxfId="253" priority="191" operator="equal">
      <formula>"NA"</formula>
    </cfRule>
    <cfRule type="cellIs" dxfId="252" priority="192" operator="equal">
      <formula>"CPU"</formula>
    </cfRule>
  </conditionalFormatting>
  <conditionalFormatting sqref="AD54:AG54">
    <cfRule type="cellIs" dxfId="251" priority="187" operator="equal">
      <formula>"SOLAR"</formula>
    </cfRule>
    <cfRule type="cellIs" dxfId="250" priority="188" operator="equal">
      <formula>"L3"</formula>
    </cfRule>
    <cfRule type="cellIs" dxfId="249" priority="189" operator="equal">
      <formula>"L2"</formula>
    </cfRule>
    <cfRule type="cellIs" dxfId="248" priority="190" operator="equal">
      <formula>"L1"</formula>
    </cfRule>
  </conditionalFormatting>
  <conditionalFormatting sqref="AD54:AG54">
    <cfRule type="cellIs" dxfId="247" priority="185" operator="equal">
      <formula>"NA"</formula>
    </cfRule>
    <cfRule type="cellIs" dxfId="246" priority="186" operator="equal">
      <formula>"CPU"</formula>
    </cfRule>
  </conditionalFormatting>
  <conditionalFormatting sqref="AC55:AC57">
    <cfRule type="cellIs" dxfId="245" priority="181" operator="equal">
      <formula>"SOLAR"</formula>
    </cfRule>
    <cfRule type="cellIs" dxfId="244" priority="182" operator="equal">
      <formula>"L3"</formula>
    </cfRule>
    <cfRule type="cellIs" dxfId="243" priority="183" operator="equal">
      <formula>"L2"</formula>
    </cfRule>
    <cfRule type="cellIs" dxfId="242" priority="184" operator="equal">
      <formula>"L1"</formula>
    </cfRule>
  </conditionalFormatting>
  <conditionalFormatting sqref="AC55:AC57">
    <cfRule type="cellIs" dxfId="241" priority="179" operator="equal">
      <formula>"NA"</formula>
    </cfRule>
    <cfRule type="cellIs" dxfId="240" priority="180" operator="equal">
      <formula>"CPU"</formula>
    </cfRule>
  </conditionalFormatting>
  <conditionalFormatting sqref="AD55:AG57">
    <cfRule type="cellIs" dxfId="239" priority="175" operator="equal">
      <formula>"SOLAR"</formula>
    </cfRule>
    <cfRule type="cellIs" dxfId="238" priority="176" operator="equal">
      <formula>"L3"</formula>
    </cfRule>
    <cfRule type="cellIs" dxfId="237" priority="177" operator="equal">
      <formula>"L2"</formula>
    </cfRule>
    <cfRule type="cellIs" dxfId="236" priority="178" operator="equal">
      <formula>"L1"</formula>
    </cfRule>
  </conditionalFormatting>
  <conditionalFormatting sqref="AD55:AG57">
    <cfRule type="cellIs" dxfId="235" priority="173" operator="equal">
      <formula>"NA"</formula>
    </cfRule>
    <cfRule type="cellIs" dxfId="234" priority="174" operator="equal">
      <formula>"CPU"</formula>
    </cfRule>
  </conditionalFormatting>
  <conditionalFormatting sqref="AC67:AG67">
    <cfRule type="cellIs" dxfId="233" priority="170" operator="equal">
      <formula>"NA"</formula>
    </cfRule>
    <cfRule type="cellIs" dxfId="232" priority="171" operator="equal">
      <formula>"Disabled"</formula>
    </cfRule>
    <cfRule type="cellIs" dxfId="231" priority="172" operator="equal">
      <formula>"Enabled"</formula>
    </cfRule>
  </conditionalFormatting>
  <conditionalFormatting sqref="AC68">
    <cfRule type="cellIs" dxfId="230" priority="167" operator="equal">
      <formula>"NA"</formula>
    </cfRule>
    <cfRule type="cellIs" dxfId="229" priority="168" operator="equal">
      <formula>"Disabled"</formula>
    </cfRule>
    <cfRule type="cellIs" dxfId="228" priority="169" operator="equal">
      <formula>"Enabled"</formula>
    </cfRule>
  </conditionalFormatting>
  <conditionalFormatting sqref="AD68">
    <cfRule type="cellIs" dxfId="227" priority="164" operator="equal">
      <formula>"NA"</formula>
    </cfRule>
    <cfRule type="cellIs" dxfId="226" priority="165" operator="equal">
      <formula>"Disabled"</formula>
    </cfRule>
    <cfRule type="cellIs" dxfId="225" priority="166" operator="equal">
      <formula>"Enabled"</formula>
    </cfRule>
  </conditionalFormatting>
  <conditionalFormatting sqref="AE68">
    <cfRule type="cellIs" dxfId="224" priority="161" operator="equal">
      <formula>"NA"</formula>
    </cfRule>
    <cfRule type="cellIs" dxfId="223" priority="162" operator="equal">
      <formula>"Disabled"</formula>
    </cfRule>
    <cfRule type="cellIs" dxfId="222" priority="163" operator="equal">
      <formula>"Enabled"</formula>
    </cfRule>
  </conditionalFormatting>
  <conditionalFormatting sqref="AF68">
    <cfRule type="cellIs" dxfId="221" priority="158" operator="equal">
      <formula>"NA"</formula>
    </cfRule>
    <cfRule type="cellIs" dxfId="220" priority="159" operator="equal">
      <formula>"Disabled"</formula>
    </cfRule>
    <cfRule type="cellIs" dxfId="219" priority="160" operator="equal">
      <formula>"Enabled"</formula>
    </cfRule>
  </conditionalFormatting>
  <conditionalFormatting sqref="AC69">
    <cfRule type="cellIs" dxfId="218" priority="155" operator="equal">
      <formula>"NA"</formula>
    </cfRule>
    <cfRule type="cellIs" dxfId="217" priority="156" operator="equal">
      <formula>"Disabled"</formula>
    </cfRule>
    <cfRule type="cellIs" dxfId="216" priority="157" operator="equal">
      <formula>"Enabled"</formula>
    </cfRule>
  </conditionalFormatting>
  <conditionalFormatting sqref="AC70">
    <cfRule type="cellIs" dxfId="215" priority="152" operator="equal">
      <formula>"NA"</formula>
    </cfRule>
    <cfRule type="cellIs" dxfId="214" priority="153" operator="equal">
      <formula>"Disabled"</formula>
    </cfRule>
    <cfRule type="cellIs" dxfId="213" priority="154" operator="equal">
      <formula>"Enabled"</formula>
    </cfRule>
  </conditionalFormatting>
  <conditionalFormatting sqref="AD70">
    <cfRule type="cellIs" dxfId="212" priority="149" operator="equal">
      <formula>"NA"</formula>
    </cfRule>
    <cfRule type="cellIs" dxfId="211" priority="150" operator="equal">
      <formula>"Disabled"</formula>
    </cfRule>
    <cfRule type="cellIs" dxfId="210" priority="151" operator="equal">
      <formula>"Enabled"</formula>
    </cfRule>
  </conditionalFormatting>
  <conditionalFormatting sqref="AD69">
    <cfRule type="cellIs" dxfId="209" priority="146" operator="equal">
      <formula>"NA"</formula>
    </cfRule>
    <cfRule type="cellIs" dxfId="208" priority="147" operator="equal">
      <formula>"Disabled"</formula>
    </cfRule>
    <cfRule type="cellIs" dxfId="207" priority="148" operator="equal">
      <formula>"Enabled"</formula>
    </cfRule>
  </conditionalFormatting>
  <conditionalFormatting sqref="AE69">
    <cfRule type="cellIs" dxfId="206" priority="143" operator="equal">
      <formula>"NA"</formula>
    </cfRule>
    <cfRule type="cellIs" dxfId="205" priority="144" operator="equal">
      <formula>"Disabled"</formula>
    </cfRule>
    <cfRule type="cellIs" dxfId="204" priority="145" operator="equal">
      <formula>"Enabled"</formula>
    </cfRule>
  </conditionalFormatting>
  <conditionalFormatting sqref="AE70">
    <cfRule type="cellIs" dxfId="203" priority="140" operator="equal">
      <formula>"NA"</formula>
    </cfRule>
    <cfRule type="cellIs" dxfId="202" priority="141" operator="equal">
      <formula>"Disabled"</formula>
    </cfRule>
    <cfRule type="cellIs" dxfId="201" priority="142" operator="equal">
      <formula>"Enabled"</formula>
    </cfRule>
  </conditionalFormatting>
  <conditionalFormatting sqref="AF70">
    <cfRule type="cellIs" dxfId="200" priority="137" operator="equal">
      <formula>"NA"</formula>
    </cfRule>
    <cfRule type="cellIs" dxfId="199" priority="138" operator="equal">
      <formula>"Disabled"</formula>
    </cfRule>
    <cfRule type="cellIs" dxfId="198" priority="139" operator="equal">
      <formula>"Enabled"</formula>
    </cfRule>
  </conditionalFormatting>
  <conditionalFormatting sqref="AF69">
    <cfRule type="cellIs" dxfId="197" priority="134" operator="equal">
      <formula>"NA"</formula>
    </cfRule>
    <cfRule type="cellIs" dxfId="196" priority="135" operator="equal">
      <formula>"Disabled"</formula>
    </cfRule>
    <cfRule type="cellIs" dxfId="195" priority="136" operator="equal">
      <formula>"Enabled"</formula>
    </cfRule>
  </conditionalFormatting>
  <conditionalFormatting sqref="AG69">
    <cfRule type="cellIs" dxfId="194" priority="131" operator="equal">
      <formula>"NA"</formula>
    </cfRule>
    <cfRule type="cellIs" dxfId="193" priority="132" operator="equal">
      <formula>"Disabled"</formula>
    </cfRule>
    <cfRule type="cellIs" dxfId="192" priority="133" operator="equal">
      <formula>"Enabled"</formula>
    </cfRule>
  </conditionalFormatting>
  <conditionalFormatting sqref="AG70">
    <cfRule type="cellIs" dxfId="191" priority="128" operator="equal">
      <formula>"NA"</formula>
    </cfRule>
    <cfRule type="cellIs" dxfId="190" priority="129" operator="equal">
      <formula>"Disabled"</formula>
    </cfRule>
    <cfRule type="cellIs" dxfId="189" priority="130" operator="equal">
      <formula>"Enabled"</formula>
    </cfRule>
  </conditionalFormatting>
  <conditionalFormatting sqref="AG68">
    <cfRule type="cellIs" dxfId="188" priority="125" operator="equal">
      <formula>"NA"</formula>
    </cfRule>
    <cfRule type="cellIs" dxfId="187" priority="126" operator="equal">
      <formula>"Disabled"</formula>
    </cfRule>
    <cfRule type="cellIs" dxfId="186" priority="127" operator="equal">
      <formula>"Enabled"</formula>
    </cfRule>
  </conditionalFormatting>
  <conditionalFormatting sqref="Z61:Z64">
    <cfRule type="cellIs" dxfId="185" priority="121" operator="equal">
      <formula>"ERR1"</formula>
    </cfRule>
    <cfRule type="cellIs" dxfId="184" priority="122" operator="equal">
      <formula>"ERR2"</formula>
    </cfRule>
    <cfRule type="cellIs" dxfId="183" priority="123" operator="equal">
      <formula>"ERR"</formula>
    </cfRule>
    <cfRule type="cellIs" dxfId="182" priority="124" operator="equal">
      <formula>"OK"</formula>
    </cfRule>
  </conditionalFormatting>
  <conditionalFormatting sqref="W9:X9">
    <cfRule type="cellIs" dxfId="181" priority="119" operator="equal">
      <formula>"DISABLED"</formula>
    </cfRule>
    <cfRule type="cellIs" dxfId="180" priority="120" operator="equal">
      <formula>"ENABLED"</formula>
    </cfRule>
  </conditionalFormatting>
  <conditionalFormatting sqref="AG9:AH9">
    <cfRule type="cellIs" dxfId="179" priority="117" operator="equal">
      <formula>"DISABLED"</formula>
    </cfRule>
    <cfRule type="cellIs" dxfId="178" priority="118" operator="equal">
      <formula>"ENABLED"</formula>
    </cfRule>
  </conditionalFormatting>
  <conditionalFormatting sqref="R9:S9">
    <cfRule type="cellIs" dxfId="177" priority="114" operator="equal">
      <formula>"JOINT"</formula>
    </cfRule>
    <cfRule type="cellIs" dxfId="176" priority="115" operator="equal">
      <formula>"VODAFONE"</formula>
    </cfRule>
    <cfRule type="cellIs" dxfId="175" priority="116" operator="equal">
      <formula>"OPTUS"</formula>
    </cfRule>
  </conditionalFormatting>
  <conditionalFormatting sqref="AB9:AC9">
    <cfRule type="cellIs" dxfId="174" priority="111" operator="equal">
      <formula>"JOINT"</formula>
    </cfRule>
    <cfRule type="cellIs" dxfId="173" priority="112" operator="equal">
      <formula>"VODAFONE"</formula>
    </cfRule>
    <cfRule type="cellIs" dxfId="172" priority="113" operator="equal">
      <formula>"OPTUS"</formula>
    </cfRule>
  </conditionalFormatting>
  <conditionalFormatting sqref="F85">
    <cfRule type="cellIs" dxfId="171" priority="108" operator="greaterThan">
      <formula>90%</formula>
    </cfRule>
    <cfRule type="cellIs" dxfId="170" priority="109" operator="between">
      <formula>1%</formula>
      <formula>30%</formula>
    </cfRule>
    <cfRule type="cellIs" dxfId="169" priority="110" operator="between">
      <formula>30%</formula>
      <formula>90%</formula>
    </cfRule>
  </conditionalFormatting>
  <conditionalFormatting sqref="P84:P85">
    <cfRule type="cellIs" dxfId="168" priority="105" operator="greaterThan">
      <formula>90%</formula>
    </cfRule>
    <cfRule type="cellIs" dxfId="167" priority="106" operator="lessThan">
      <formula>30%</formula>
    </cfRule>
    <cfRule type="cellIs" dxfId="166" priority="107" operator="between">
      <formula>30%</formula>
      <formula>90%</formula>
    </cfRule>
  </conditionalFormatting>
  <conditionalFormatting sqref="Z84:Z85">
    <cfRule type="cellIs" dxfId="165" priority="102" operator="greaterThan">
      <formula>90%</formula>
    </cfRule>
    <cfRule type="cellIs" dxfId="164" priority="103" operator="lessThan">
      <formula>30%</formula>
    </cfRule>
    <cfRule type="cellIs" dxfId="163" priority="104" operator="between">
      <formula>30%</formula>
      <formula>90%</formula>
    </cfRule>
  </conditionalFormatting>
  <conditionalFormatting sqref="F83">
    <cfRule type="cellIs" dxfId="162" priority="98" operator="equal">
      <formula>"ERR1"</formula>
    </cfRule>
    <cfRule type="cellIs" dxfId="161" priority="99" operator="equal">
      <formula>"ERR2"</formula>
    </cfRule>
    <cfRule type="cellIs" dxfId="160" priority="100" operator="equal">
      <formula>"ERR"</formula>
    </cfRule>
    <cfRule type="cellIs" dxfId="159" priority="101" operator="equal">
      <formula>"OK"</formula>
    </cfRule>
  </conditionalFormatting>
  <conditionalFormatting sqref="P83">
    <cfRule type="cellIs" dxfId="158" priority="94" operator="equal">
      <formula>"ERR1"</formula>
    </cfRule>
    <cfRule type="cellIs" dxfId="157" priority="95" operator="equal">
      <formula>"ERR2"</formula>
    </cfRule>
    <cfRule type="cellIs" dxfId="156" priority="96" operator="equal">
      <formula>"ERR"</formula>
    </cfRule>
    <cfRule type="cellIs" dxfId="155" priority="97" operator="equal">
      <formula>"OK"</formula>
    </cfRule>
  </conditionalFormatting>
  <conditionalFormatting sqref="Z83">
    <cfRule type="cellIs" dxfId="154" priority="90" operator="equal">
      <formula>"ERR1"</formula>
    </cfRule>
    <cfRule type="cellIs" dxfId="153" priority="91" operator="equal">
      <formula>"ERR2"</formula>
    </cfRule>
    <cfRule type="cellIs" dxfId="152" priority="92" operator="equal">
      <formula>"ERR"</formula>
    </cfRule>
    <cfRule type="cellIs" dxfId="151" priority="93" operator="equal">
      <formula>"OK"</formula>
    </cfRule>
  </conditionalFormatting>
  <conditionalFormatting sqref="F106:F109">
    <cfRule type="cellIs" dxfId="150" priority="86" operator="equal">
      <formula>"ERR1"</formula>
    </cfRule>
    <cfRule type="cellIs" dxfId="149" priority="87" operator="equal">
      <formula>"ERR2"</formula>
    </cfRule>
    <cfRule type="cellIs" dxfId="148" priority="88" operator="equal">
      <formula>"ERR"</formula>
    </cfRule>
    <cfRule type="cellIs" dxfId="147" priority="89" operator="equal">
      <formula>"OK"</formula>
    </cfRule>
  </conditionalFormatting>
  <conditionalFormatting sqref="F11:F35">
    <cfRule type="cellIs" dxfId="146" priority="85" operator="equal">
      <formula>"SON"</formula>
    </cfRule>
  </conditionalFormatting>
  <conditionalFormatting sqref="P11:P35">
    <cfRule type="cellIs" dxfId="145" priority="84" operator="equal">
      <formula>"SON"</formula>
    </cfRule>
  </conditionalFormatting>
  <conditionalFormatting sqref="Z11:Z35">
    <cfRule type="cellIs" dxfId="144" priority="83" operator="equal">
      <formula>"SON"</formula>
    </cfRule>
  </conditionalFormatting>
  <conditionalFormatting sqref="G14:G35">
    <cfRule type="cellIs" dxfId="143" priority="82" operator="notEqual">
      <formula>""</formula>
    </cfRule>
  </conditionalFormatting>
  <conditionalFormatting sqref="K11:K35">
    <cfRule type="cellIs" dxfId="142" priority="81" operator="notEqual">
      <formula>""</formula>
    </cfRule>
  </conditionalFormatting>
  <conditionalFormatting sqref="L11:L35">
    <cfRule type="cellIs" dxfId="141" priority="80" operator="notEqual">
      <formula>""</formula>
    </cfRule>
  </conditionalFormatting>
  <conditionalFormatting sqref="Q11:Q35">
    <cfRule type="cellIs" dxfId="140" priority="79" operator="notEqual">
      <formula>""</formula>
    </cfRule>
  </conditionalFormatting>
  <conditionalFormatting sqref="AA11:AA35">
    <cfRule type="cellIs" dxfId="139" priority="78" operator="notEqual">
      <formula>""</formula>
    </cfRule>
  </conditionalFormatting>
  <conditionalFormatting sqref="U11:V35">
    <cfRule type="cellIs" dxfId="138" priority="77" operator="notEqual">
      <formula>""</formula>
    </cfRule>
  </conditionalFormatting>
  <conditionalFormatting sqref="AE11:AF35">
    <cfRule type="cellIs" dxfId="137" priority="76" operator="notEqual">
      <formula>""</formula>
    </cfRule>
  </conditionalFormatting>
  <conditionalFormatting sqref="L40:L45">
    <cfRule type="cellIs" dxfId="136" priority="75" operator="notEqual">
      <formula>""</formula>
    </cfRule>
  </conditionalFormatting>
  <conditionalFormatting sqref="V40:V45">
    <cfRule type="cellIs" dxfId="135" priority="74" operator="notEqual">
      <formula>""</formula>
    </cfRule>
  </conditionalFormatting>
  <conditionalFormatting sqref="AF40:AF45">
    <cfRule type="cellIs" dxfId="134" priority="73" operator="notEqual">
      <formula>""</formula>
    </cfRule>
  </conditionalFormatting>
  <conditionalFormatting sqref="P40:P45">
    <cfRule type="cellIs" dxfId="133" priority="72" operator="notEqual">
      <formula>""</formula>
    </cfRule>
  </conditionalFormatting>
  <conditionalFormatting sqref="Z40:Z45">
    <cfRule type="cellIs" dxfId="132" priority="71" operator="notEqual">
      <formula>""</formula>
    </cfRule>
  </conditionalFormatting>
  <conditionalFormatting sqref="F40:F45">
    <cfRule type="cellIs" dxfId="131" priority="70" operator="notEqual">
      <formula>""</formula>
    </cfRule>
  </conditionalFormatting>
  <conditionalFormatting sqref="J63">
    <cfRule type="cellIs" dxfId="130" priority="69" operator="notEqual">
      <formula>""</formula>
    </cfRule>
  </conditionalFormatting>
  <conditionalFormatting sqref="J64">
    <cfRule type="cellIs" dxfId="129" priority="68" operator="notEqual">
      <formula>""</formula>
    </cfRule>
  </conditionalFormatting>
  <conditionalFormatting sqref="J61">
    <cfRule type="cellIs" dxfId="128" priority="67" operator="notEqual">
      <formula>""</formula>
    </cfRule>
  </conditionalFormatting>
  <conditionalFormatting sqref="J62">
    <cfRule type="cellIs" dxfId="127" priority="66" operator="notEqual">
      <formula>""</formula>
    </cfRule>
  </conditionalFormatting>
  <conditionalFormatting sqref="T61">
    <cfRule type="cellIs" dxfId="126" priority="65" operator="notEqual">
      <formula>""</formula>
    </cfRule>
  </conditionalFormatting>
  <conditionalFormatting sqref="T62">
    <cfRule type="cellIs" dxfId="125" priority="64" operator="notEqual">
      <formula>""</formula>
    </cfRule>
  </conditionalFormatting>
  <conditionalFormatting sqref="AD61">
    <cfRule type="cellIs" dxfId="124" priority="63" operator="notEqual">
      <formula>""</formula>
    </cfRule>
  </conditionalFormatting>
  <conditionalFormatting sqref="AD62">
    <cfRule type="cellIs" dxfId="123" priority="62" operator="notEqual">
      <formula>""</formula>
    </cfRule>
  </conditionalFormatting>
  <conditionalFormatting sqref="T63">
    <cfRule type="cellIs" dxfId="122" priority="61" operator="notEqual">
      <formula>""</formula>
    </cfRule>
  </conditionalFormatting>
  <conditionalFormatting sqref="T64">
    <cfRule type="cellIs" dxfId="121" priority="60" operator="notEqual">
      <formula>""</formula>
    </cfRule>
  </conditionalFormatting>
  <conditionalFormatting sqref="AD63">
    <cfRule type="cellIs" dxfId="120" priority="59" operator="notEqual">
      <formula>""</formula>
    </cfRule>
  </conditionalFormatting>
  <conditionalFormatting sqref="AD64">
    <cfRule type="cellIs" dxfId="119" priority="58" operator="notEqual">
      <formula>""</formula>
    </cfRule>
  </conditionalFormatting>
  <conditionalFormatting sqref="F84">
    <cfRule type="cellIs" priority="54" operator="equal">
      <formula>""</formula>
    </cfRule>
    <cfRule type="cellIs" dxfId="118" priority="55" operator="greaterThan">
      <formula>90%</formula>
    </cfRule>
    <cfRule type="cellIs" dxfId="117" priority="56" operator="lessThan">
      <formula>30%</formula>
    </cfRule>
    <cfRule type="cellIs" dxfId="116" priority="57" operator="between">
      <formula>30%</formula>
      <formula>90%</formula>
    </cfRule>
  </conditionalFormatting>
  <conditionalFormatting sqref="J73">
    <cfRule type="cellIs" dxfId="115" priority="53" operator="notEqual">
      <formula>""</formula>
    </cfRule>
  </conditionalFormatting>
  <conditionalFormatting sqref="T74:T75">
    <cfRule type="cellIs" dxfId="114" priority="52" operator="notEqual">
      <formula>""</formula>
    </cfRule>
  </conditionalFormatting>
  <conditionalFormatting sqref="T73">
    <cfRule type="cellIs" dxfId="113" priority="51" operator="notEqual">
      <formula>""</formula>
    </cfRule>
  </conditionalFormatting>
  <conditionalFormatting sqref="AD74:AD75">
    <cfRule type="cellIs" dxfId="112" priority="50" operator="notEqual">
      <formula>""</formula>
    </cfRule>
  </conditionalFormatting>
  <conditionalFormatting sqref="AD73">
    <cfRule type="cellIs" dxfId="111" priority="49" operator="notEqual">
      <formula>""</formula>
    </cfRule>
  </conditionalFormatting>
  <conditionalFormatting sqref="J106">
    <cfRule type="cellIs" dxfId="110" priority="48" operator="notEqual">
      <formula>""</formula>
    </cfRule>
  </conditionalFormatting>
  <conditionalFormatting sqref="J109">
    <cfRule type="cellIs" dxfId="109" priority="47" operator="notEqual">
      <formula>""</formula>
    </cfRule>
  </conditionalFormatting>
  <conditionalFormatting sqref="J107">
    <cfRule type="cellIs" dxfId="108" priority="46" operator="notEqual">
      <formula>""</formula>
    </cfRule>
  </conditionalFormatting>
  <conditionalFormatting sqref="J108">
    <cfRule type="cellIs" dxfId="107" priority="45" operator="notEqual">
      <formula>""</formula>
    </cfRule>
  </conditionalFormatting>
  <conditionalFormatting sqref="J110">
    <cfRule type="cellIs" dxfId="106" priority="44" operator="notEqual">
      <formula>""</formula>
    </cfRule>
  </conditionalFormatting>
  <conditionalFormatting sqref="J111">
    <cfRule type="cellIs" dxfId="105" priority="43" operator="notEqual">
      <formula>""</formula>
    </cfRule>
  </conditionalFormatting>
  <conditionalFormatting sqref="J112">
    <cfRule type="cellIs" dxfId="104" priority="42" operator="notEqual">
      <formula>""</formula>
    </cfRule>
  </conditionalFormatting>
  <conditionalFormatting sqref="J113">
    <cfRule type="cellIs" dxfId="103" priority="41" operator="notEqual">
      <formula>""</formula>
    </cfRule>
  </conditionalFormatting>
  <conditionalFormatting sqref="J97:J98">
    <cfRule type="cellIs" dxfId="102" priority="2" operator="notEqual">
      <formula>""</formula>
    </cfRule>
  </conditionalFormatting>
  <conditionalFormatting sqref="G11:G13">
    <cfRule type="cellIs" dxfId="101" priority="1" operator="notEqual">
      <formula>""</formula>
    </cfRule>
  </conditionalFormatting>
  <dataValidations count="17">
    <dataValidation type="list" allowBlank="1" showInputMessage="1" showErrorMessage="1" sqref="J107" xr:uid="{6310C593-6878-42BC-A3C0-74E64AFB5E94}">
      <formula1>DLIST_COOLINGOPTIONS</formula1>
    </dataValidation>
    <dataValidation type="list" allowBlank="1" showInputMessage="1" showErrorMessage="1" sqref="J108" xr:uid="{CEBDD6FA-3632-4516-BA27-3436AA23171D}">
      <formula1>DLIST_CABINETSIZE</formula1>
    </dataValidation>
    <dataValidation type="list" allowBlank="1" showInputMessage="1" showErrorMessage="1" sqref="J109" xr:uid="{440ADE1D-B815-4405-96DE-4E6D8EC3E0B0}">
      <formula1>DLIST_SFAN</formula1>
    </dataValidation>
    <dataValidation type="list" allowBlank="1" showInputMessage="1" showErrorMessage="1" sqref="J110:J113" xr:uid="{AECF6861-AE8C-4B98-918C-80341C2A1A39}">
      <formula1>DLIST_ACUNITS</formula1>
    </dataValidation>
    <dataValidation type="list" allowBlank="1" showInputMessage="1" showErrorMessage="1" sqref="J106" xr:uid="{50102CDF-16CC-4A40-84F7-30A575B8AA2B}">
      <formula1>DLIST_ENCLOSURE</formula1>
    </dataValidation>
    <dataValidation type="list" allowBlank="1" showInputMessage="1" showErrorMessage="1" sqref="W9:X9 AG9:AH9" xr:uid="{E89CEA91-147F-4330-A5D6-3B3A7552FC63}">
      <formula1>DLIST_PSUSTATUS</formula1>
    </dataValidation>
    <dataValidation type="list" allowBlank="1" showInputMessage="1" showErrorMessage="1" sqref="H9:I9 R9:S9 AB9:AC9" xr:uid="{71C38BB5-413E-4FDD-B00F-D8E385798DC6}">
      <formula1>DLIST_OPERATOR</formula1>
    </dataValidation>
    <dataValidation type="list" allowBlank="1" showInputMessage="1" showErrorMessage="1" sqref="J75 T75 AD75" xr:uid="{A397762E-E458-4E4C-B76C-1B6148111EDC}">
      <formula1>DLIST_YN</formula1>
    </dataValidation>
    <dataValidation type="list" allowBlank="1" showInputMessage="1" showErrorMessage="1" sqref="J74 T74 AD74" xr:uid="{F68D672F-C0CD-452C-B7C5-15391D1A1568}">
      <formula1>DLIST_NUMBER</formula1>
    </dataValidation>
    <dataValidation type="list" allowBlank="1" showInputMessage="1" showErrorMessage="1" sqref="Z40:Z45 P40:P45 F40:F45" xr:uid="{BD385F77-D79A-4C6F-BD9A-56D3EFC8695D}">
      <formula1>SELECT_TXEQ</formula1>
    </dataValidation>
    <dataValidation type="list" allowBlank="1" showInputMessage="1" showErrorMessage="1" sqref="K11:K35 AE11:AE35 U11:U35" xr:uid="{A52C7824-975F-4C34-B40F-A9C8E2734F93}">
      <formula1>DLIST_LOC</formula1>
    </dataValidation>
    <dataValidation type="list" allowBlank="1" showInputMessage="1" showErrorMessage="1" sqref="Q11:T35 AA11:AD35 G11:G35" xr:uid="{85E050BF-6477-46F9-9831-F2B36B847A42}">
      <formula1>SELECT_RANEQ</formula1>
    </dataValidation>
    <dataValidation type="list" allowBlank="1" showInputMessage="1" showErrorMessage="1" sqref="T73 J73 AD73 J98" xr:uid="{80B89944-1C88-4D27-BEBC-CF4E2C908CF9}">
      <formula1>DLIST_BATTALIAS</formula1>
    </dataValidation>
    <dataValidation type="list" allowBlank="1" showInputMessage="1" showErrorMessage="1" sqref="J63 T63 AD63" xr:uid="{3C70E208-EC2A-41CC-88FD-442DA7B4E4B3}">
      <formula1>DLIST_CBSIZE</formula1>
    </dataValidation>
    <dataValidation type="list" allowBlank="1" showInputMessage="1" showErrorMessage="1" sqref="T61 AD61 J61" xr:uid="{2E3497FD-1E85-4B80-803D-3E63E3D10E23}">
      <formula1>DLIST_PSUALIAS</formula1>
    </dataValidation>
    <dataValidation type="list" allowBlank="1" showInputMessage="1" showErrorMessage="1" sqref="T62 J62 AD62" xr:uid="{24F9066F-C777-4E64-BAEF-D6F55AE25780}">
      <formula1>DLIST_RECTALIAS</formula1>
    </dataValidation>
    <dataValidation type="list" allowBlank="1" showInputMessage="1" showErrorMessage="1" sqref="J97:K97" xr:uid="{5297BE60-518F-4B61-AF66-4DF91D4560BA}">
      <formula1>DLIST_CPXALIAS</formula1>
    </dataValidation>
  </dataValidations>
  <hyperlinks>
    <hyperlink ref="B10" location="'DASH'!A1" display="DASHBOARD" xr:uid="{B1F81C54-789A-4034-A652-53DC234AC004}"/>
    <hyperlink ref="B11" location="'DES-GL'!A1" display="DESIGN GUIDELINES" xr:uid="{D720D4E6-DD4A-4DEF-9B3A-3DCEC5F7F828}"/>
    <hyperlink ref="B13" location="'EXT-MAINS-DT'!A1" display="EXISTING POWER DESIGN" xr:uid="{2F56A346-F2D9-4FE1-A51D-EE1091DF7933}"/>
    <hyperlink ref="B14" location="'EXT-CALC'!A1" display="EXISTING DEMAND" xr:uid="{0BB25917-0D11-41F6-99BE-C01C7767E100}"/>
    <hyperlink ref="B16" location="'CALC'!A1" display="POWER CALCULATOR" xr:uid="{1D73FBF6-DA5D-43AB-8094-5402712D259E}"/>
    <hyperlink ref="B17" location="'PLBC-CALC'!A1" display="PLBC CALCULATOR" xr:uid="{2E68DCAD-9D2E-46A0-B52A-AA3381AAB14D}"/>
    <hyperlink ref="B18" location="'VDC'!A1" display="VD CALCULATOR" xr:uid="{3A240FFA-CE58-49AF-A9A5-B477C6E25E9B}"/>
    <hyperlink ref="B20" location="'PRP-SOL'!A1" display="PROPOSED POWER DESIGN" xr:uid="{32F7F2EA-9EFE-4CEB-9145-C3070D7BE6E8}"/>
    <hyperlink ref="B25" location="'DC'!A1" display="DOCUMENT CONTROL" xr:uid="{FEF7F90C-0462-4422-8B7B-BD6E0A0A878E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ReturntoTop">
                <anchor moveWithCells="1">
                  <from>
                    <xdr:col>17</xdr:col>
                    <xdr:colOff>342900</xdr:colOff>
                    <xdr:row>149</xdr:row>
                    <xdr:rowOff>38100</xdr:rowOff>
                  </from>
                  <to>
                    <xdr:col>19</xdr:col>
                    <xdr:colOff>342900</xdr:colOff>
                    <xdr:row>150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6</xdr:row>
                    <xdr:rowOff>114300</xdr:rowOff>
                  </from>
                  <to>
                    <xdr:col>4</xdr:col>
                    <xdr:colOff>297180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6</xdr:row>
                    <xdr:rowOff>114300</xdr:rowOff>
                  </from>
                  <to>
                    <xdr:col>4</xdr:col>
                    <xdr:colOff>556260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51</xdr:row>
                    <xdr:rowOff>114300</xdr:rowOff>
                  </from>
                  <to>
                    <xdr:col>4</xdr:col>
                    <xdr:colOff>297180</xdr:colOff>
                    <xdr:row>52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51</xdr:row>
                    <xdr:rowOff>114300</xdr:rowOff>
                  </from>
                  <to>
                    <xdr:col>4</xdr:col>
                    <xdr:colOff>556260</xdr:colOff>
                    <xdr:row>52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76</xdr:row>
                    <xdr:rowOff>114300</xdr:rowOff>
                  </from>
                  <to>
                    <xdr:col>4</xdr:col>
                    <xdr:colOff>297180</xdr:colOff>
                    <xdr:row>77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76</xdr:row>
                    <xdr:rowOff>114300</xdr:rowOff>
                  </from>
                  <to>
                    <xdr:col>4</xdr:col>
                    <xdr:colOff>556260</xdr:colOff>
                    <xdr:row>77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102</xdr:row>
                    <xdr:rowOff>114300</xdr:rowOff>
                  </from>
                  <to>
                    <xdr:col>4</xdr:col>
                    <xdr:colOff>297180</xdr:colOff>
                    <xdr:row>103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102</xdr:row>
                    <xdr:rowOff>114300</xdr:rowOff>
                  </from>
                  <to>
                    <xdr:col>4</xdr:col>
                    <xdr:colOff>556260</xdr:colOff>
                    <xdr:row>103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124</xdr:row>
                    <xdr:rowOff>114300</xdr:rowOff>
                  </from>
                  <to>
                    <xdr:col>4</xdr:col>
                    <xdr:colOff>297180</xdr:colOff>
                    <xdr:row>125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124</xdr:row>
                    <xdr:rowOff>114300</xdr:rowOff>
                  </from>
                  <to>
                    <xdr:col>4</xdr:col>
                    <xdr:colOff>556260</xdr:colOff>
                    <xdr:row>125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05C3FC-81DE-4F18-9355-A5376F721FF5}">
          <x14:formula1>
            <xm:f>CFGPWR!$L$10:$L$14</xm:f>
          </x14:formula1>
          <xm:sqref>I67:M70 S67:W70 AC67:AG70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37CA-4B04-47CF-93CC-E0E6E78127A2}">
  <sheetPr codeName="Sheet14">
    <tabColor theme="1" tint="0.34998626667073579"/>
  </sheetPr>
  <dimension ref="B1:T93"/>
  <sheetViews>
    <sheetView showGridLines="0" topLeftCell="B2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9.28515625" style="4"/>
    <col min="7" max="7" width="9.28515625" style="5"/>
    <col min="8" max="20" width="9.28515625" style="6"/>
  </cols>
  <sheetData>
    <row r="1" spans="2:20" ht="16.5" hidden="1" customHeight="1"/>
    <row r="2" spans="2:20" ht="16.5" customHeight="1">
      <c r="F2" s="287" t="s">
        <v>550</v>
      </c>
      <c r="G2" s="423"/>
      <c r="H2" s="423"/>
      <c r="I2" s="423"/>
      <c r="J2" s="423"/>
      <c r="K2" s="423"/>
      <c r="L2" s="423"/>
      <c r="M2" s="423"/>
      <c r="N2" s="423"/>
    </row>
    <row r="3" spans="2:20" ht="16.5" customHeight="1">
      <c r="F3" s="423"/>
      <c r="G3" s="423"/>
      <c r="H3" s="423"/>
      <c r="I3" s="423"/>
      <c r="J3" s="423"/>
      <c r="K3" s="423"/>
      <c r="L3" s="423"/>
      <c r="M3" s="423"/>
      <c r="N3" s="423"/>
    </row>
    <row r="4" spans="2:20" ht="16.5" customHeight="1">
      <c r="F4" s="424"/>
      <c r="G4" s="424"/>
      <c r="H4" s="424"/>
      <c r="I4" s="424"/>
      <c r="J4" s="424"/>
      <c r="K4" s="424"/>
      <c r="L4" s="424"/>
      <c r="M4" s="424"/>
      <c r="N4" s="424"/>
    </row>
    <row r="5" spans="2:20" ht="16.5" customHeight="1">
      <c r="F5" s="425"/>
      <c r="G5" s="425"/>
    </row>
    <row r="6" spans="2:20" ht="16.5" customHeight="1">
      <c r="F6" s="426"/>
      <c r="G6" s="426"/>
    </row>
    <row r="7" spans="2:20" ht="16.5" customHeight="1">
      <c r="C7" s="2" t="s">
        <v>152</v>
      </c>
      <c r="D7" s="12">
        <f>DCVer</f>
        <v>12.7</v>
      </c>
      <c r="F7" s="427" t="s">
        <v>551</v>
      </c>
      <c r="G7" s="427"/>
      <c r="H7" s="427"/>
      <c r="I7" s="427"/>
    </row>
    <row r="8" spans="2:20" ht="16.5" customHeight="1">
      <c r="F8" s="427"/>
      <c r="G8" s="427"/>
      <c r="H8" s="427"/>
      <c r="I8" s="427"/>
    </row>
    <row r="9" spans="2:20">
      <c r="B9" s="289"/>
      <c r="C9" s="289"/>
      <c r="D9" s="289"/>
      <c r="F9" s="9" t="s">
        <v>552</v>
      </c>
      <c r="G9" s="10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</row>
    <row r="10" spans="2:20" ht="16.5" customHeight="1">
      <c r="B10" s="285" t="s">
        <v>151</v>
      </c>
      <c r="C10" s="291"/>
      <c r="D10" s="291"/>
    </row>
    <row r="11" spans="2:20" ht="16.5" customHeight="1">
      <c r="B11" s="285" t="s">
        <v>155</v>
      </c>
      <c r="C11" s="285"/>
      <c r="D11" s="285"/>
    </row>
    <row r="12" spans="2:20" ht="16.5" customHeight="1">
      <c r="B12" s="285"/>
      <c r="C12" s="291"/>
      <c r="D12" s="291"/>
      <c r="F12" s="4" t="s">
        <v>553</v>
      </c>
    </row>
    <row r="13" spans="2:20" ht="16.5" customHeight="1">
      <c r="B13" s="285" t="s">
        <v>159</v>
      </c>
      <c r="C13" s="291"/>
      <c r="D13" s="291"/>
    </row>
    <row r="14" spans="2:20" ht="16.5" customHeight="1">
      <c r="B14" s="285" t="s">
        <v>162</v>
      </c>
      <c r="C14" s="291"/>
      <c r="D14" s="291"/>
    </row>
    <row r="15" spans="2:20" ht="16.5" customHeight="1">
      <c r="B15" s="285"/>
      <c r="C15" s="285"/>
      <c r="D15" s="285"/>
    </row>
    <row r="16" spans="2:20" ht="16.5" customHeight="1">
      <c r="B16" s="285" t="s">
        <v>167</v>
      </c>
      <c r="C16" s="428"/>
      <c r="D16" s="428"/>
    </row>
    <row r="17" spans="2:4" ht="16.5" customHeight="1">
      <c r="B17" s="285" t="s">
        <v>170</v>
      </c>
      <c r="C17" s="428"/>
      <c r="D17" s="428"/>
    </row>
    <row r="18" spans="2:4" ht="16.5" customHeight="1">
      <c r="B18" s="285" t="s">
        <v>173</v>
      </c>
      <c r="C18" s="285"/>
      <c r="D18" s="285"/>
    </row>
    <row r="19" spans="2:4" ht="16.5" customHeight="1">
      <c r="B19" s="285"/>
      <c r="C19" s="285"/>
      <c r="D19" s="285"/>
    </row>
    <row r="20" spans="2:4" ht="16.5" customHeight="1">
      <c r="B20" s="285" t="s">
        <v>176</v>
      </c>
      <c r="C20" s="285"/>
      <c r="D20" s="285"/>
    </row>
    <row r="21" spans="2:4" ht="16.5" customHeight="1">
      <c r="B21" s="285"/>
      <c r="C21" s="285"/>
      <c r="D21" s="285"/>
    </row>
    <row r="22" spans="2:4" ht="16.5" customHeight="1">
      <c r="B22" s="285"/>
      <c r="C22" s="285"/>
      <c r="D22" s="285"/>
    </row>
    <row r="23" spans="2:4" ht="16.5" customHeight="1">
      <c r="B23" s="285"/>
      <c r="C23" s="285"/>
      <c r="D23" s="285"/>
    </row>
    <row r="24" spans="2:4" ht="16.5" customHeight="1">
      <c r="B24" s="285"/>
      <c r="C24" s="285"/>
      <c r="D24" s="285"/>
    </row>
    <row r="25" spans="2:4" ht="16.5" customHeight="1">
      <c r="B25" s="285" t="s">
        <v>182</v>
      </c>
      <c r="C25" s="285"/>
      <c r="D25" s="285"/>
    </row>
    <row r="26" spans="2:4" ht="16.5" customHeight="1">
      <c r="B26" s="285"/>
      <c r="C26" s="285"/>
      <c r="D26" s="285"/>
    </row>
    <row r="27" spans="2:4" ht="16.5" customHeight="1">
      <c r="B27" s="285"/>
      <c r="C27" s="285"/>
      <c r="D27" s="285"/>
    </row>
    <row r="28" spans="2:4" ht="16.5" customHeight="1">
      <c r="B28" s="293"/>
      <c r="C28" s="293"/>
      <c r="D28" s="293"/>
    </row>
    <row r="29" spans="2:4" ht="16.5" customHeight="1">
      <c r="B29" s="293"/>
      <c r="C29" s="293"/>
      <c r="D29" s="293"/>
    </row>
    <row r="30" spans="2:4" ht="16.5" customHeight="1">
      <c r="B30" s="293"/>
      <c r="C30" s="293"/>
      <c r="D30" s="293"/>
    </row>
    <row r="31" spans="2:4" ht="16.5" customHeight="1">
      <c r="B31" s="293"/>
      <c r="C31" s="293"/>
      <c r="D31" s="293"/>
    </row>
    <row r="32" spans="2:4" ht="16.5" customHeight="1">
      <c r="B32" s="289"/>
      <c r="C32" s="289"/>
      <c r="D32" s="289"/>
    </row>
    <row r="33" spans="2:4" ht="16.5" customHeight="1">
      <c r="B33" s="289"/>
      <c r="C33" s="289"/>
      <c r="D33" s="289"/>
    </row>
    <row r="34" spans="2:4" ht="16.5" customHeight="1">
      <c r="B34" s="289"/>
      <c r="C34" s="289"/>
      <c r="D34" s="289"/>
    </row>
    <row r="35" spans="2:4" ht="16.5" customHeight="1">
      <c r="B35" s="289"/>
      <c r="C35" s="289"/>
      <c r="D35" s="289"/>
    </row>
    <row r="36" spans="2:4" ht="16.5" customHeight="1">
      <c r="B36" s="289"/>
      <c r="C36" s="289"/>
      <c r="D36" s="289"/>
    </row>
    <row r="37" spans="2:4" ht="16.5" customHeight="1">
      <c r="B37" s="289"/>
      <c r="C37" s="289"/>
      <c r="D37" s="289"/>
    </row>
    <row r="38" spans="2:4" ht="16.5" customHeight="1">
      <c r="B38" s="289"/>
      <c r="C38" s="289"/>
      <c r="D38" s="289"/>
    </row>
    <row r="39" spans="2:4" ht="16.5" customHeight="1">
      <c r="B39" s="289"/>
      <c r="C39" s="289"/>
      <c r="D39" s="289"/>
    </row>
    <row r="40" spans="2:4" ht="16.5" customHeight="1">
      <c r="B40" s="289"/>
      <c r="C40" s="289"/>
      <c r="D40" s="289"/>
    </row>
    <row r="41" spans="2:4" ht="16.5" customHeight="1">
      <c r="B41" s="289"/>
      <c r="C41" s="289"/>
      <c r="D41" s="289"/>
    </row>
    <row r="42" spans="2:4" ht="16.5" customHeight="1">
      <c r="B42" s="289"/>
      <c r="C42" s="289"/>
      <c r="D42" s="289"/>
    </row>
    <row r="43" spans="2:4" ht="16.5" customHeight="1">
      <c r="B43" s="289"/>
      <c r="C43" s="289"/>
      <c r="D43" s="289"/>
    </row>
    <row r="44" spans="2:4" ht="16.5" customHeight="1">
      <c r="B44" s="289"/>
      <c r="C44" s="289"/>
      <c r="D44" s="289"/>
    </row>
    <row r="45" spans="2:4" ht="16.5" customHeight="1">
      <c r="B45" s="289"/>
      <c r="C45" s="289"/>
      <c r="D45" s="289"/>
    </row>
    <row r="46" spans="2:4" ht="16.5" customHeight="1">
      <c r="B46" s="289"/>
      <c r="C46" s="289"/>
      <c r="D46" s="289"/>
    </row>
    <row r="47" spans="2:4" ht="16.5" customHeight="1">
      <c r="B47" s="289"/>
      <c r="C47" s="289"/>
      <c r="D47" s="289"/>
    </row>
    <row r="48" spans="2:4" ht="16.5" customHeight="1">
      <c r="B48" s="289"/>
      <c r="C48" s="289"/>
      <c r="D48" s="289"/>
    </row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</sheetData>
  <mergeCells count="43">
    <mergeCell ref="B36:D36"/>
    <mergeCell ref="B37:D37"/>
    <mergeCell ref="B34:D34"/>
    <mergeCell ref="B35:D35"/>
    <mergeCell ref="B42:D42"/>
    <mergeCell ref="B43:D43"/>
    <mergeCell ref="B40:D40"/>
    <mergeCell ref="B41:D41"/>
    <mergeCell ref="B38:D38"/>
    <mergeCell ref="B39:D39"/>
    <mergeCell ref="B48:D48"/>
    <mergeCell ref="B46:D46"/>
    <mergeCell ref="B47:D47"/>
    <mergeCell ref="B44:D44"/>
    <mergeCell ref="B45:D45"/>
    <mergeCell ref="B32:D32"/>
    <mergeCell ref="B33:D33"/>
    <mergeCell ref="B30:D30"/>
    <mergeCell ref="B31:D31"/>
    <mergeCell ref="B28:D28"/>
    <mergeCell ref="B29:D29"/>
    <mergeCell ref="B26:D26"/>
    <mergeCell ref="B27:D27"/>
    <mergeCell ref="B24:D24"/>
    <mergeCell ref="B25:D25"/>
    <mergeCell ref="B22:D22"/>
    <mergeCell ref="B23:D23"/>
    <mergeCell ref="B20:D20"/>
    <mergeCell ref="B21:D21"/>
    <mergeCell ref="B18:D18"/>
    <mergeCell ref="B19:D19"/>
    <mergeCell ref="B16:D16"/>
    <mergeCell ref="B17:D17"/>
    <mergeCell ref="B14:D14"/>
    <mergeCell ref="B15:D15"/>
    <mergeCell ref="B13:D13"/>
    <mergeCell ref="F2:N4"/>
    <mergeCell ref="F5:G6"/>
    <mergeCell ref="B9:D9"/>
    <mergeCell ref="B10:D10"/>
    <mergeCell ref="B12:D12"/>
    <mergeCell ref="B11:D11"/>
    <mergeCell ref="F7:I8"/>
  </mergeCells>
  <hyperlinks>
    <hyperlink ref="B10:D10" location="DASH!A1" display="DASHBOARD" xr:uid="{5C32FC1E-A888-44BD-B0D5-838BA7A8F4B1}"/>
    <hyperlink ref="B12:D12" location="HFDCC!A1" display="HFDC &amp; COAXIAL CABLE" xr:uid="{84B67146-A408-4EAF-B10B-2F8CDF99DF20}"/>
    <hyperlink ref="B10" location="'DASH'!A1" display="DASHBOARD" xr:uid="{DF24C2AD-CCDD-44F8-AD0E-2F1AEB3598BE}"/>
    <hyperlink ref="B11" location="'DES-GL'!A1" display="DESIGN GUIDELINES" xr:uid="{486EA50D-6A89-4BC2-8B0D-30C5A1CC9FDE}"/>
    <hyperlink ref="B13" location="'EXT-MAINS-DT'!A1" display="EXISTING POWER DESIGN" xr:uid="{876C0762-23D6-4A8D-A9BE-6BDB16A0A0C5}"/>
    <hyperlink ref="B14" location="'EXT-CALC'!A1" display="EXISTING DEMAND" xr:uid="{AE2776CC-CA89-43CD-A65D-F8F35AF05FA5}"/>
    <hyperlink ref="B16" location="'CALC'!A1" display="POWER CALCULATOR" xr:uid="{B196C0D6-FEB2-4E46-AA50-DDAE372C2AC7}"/>
    <hyperlink ref="B17" location="'PLBC-CALC'!A1" display="PLBC CALCULATOR" xr:uid="{9CC5DEFA-7F91-4943-9057-D2A380E1F54E}"/>
    <hyperlink ref="B18" location="'VDC'!A1" display="VD CALCULATOR" xr:uid="{CC20C9DC-4E70-4798-8F4D-A8C303F96061}"/>
    <hyperlink ref="B20" location="'PRP-SOL'!A1" display="PROPOSED POWER DESIGN" xr:uid="{F3A8D9E6-70FB-4CDF-9694-F330756F75F7}"/>
    <hyperlink ref="B25" location="'DC'!A1" display="DOCUMENT CONTROL" xr:uid="{E8641F49-8F9C-45A6-9A0F-6C07ED84AFA7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admin_password">
          <controlPr defaultSize="0" autoLine="0" r:id="rId5">
            <anchor moveWithCells="1">
              <from>
                <xdr:col>5</xdr:col>
                <xdr:colOff>22860</xdr:colOff>
                <xdr:row>12</xdr:row>
                <xdr:rowOff>22860</xdr:rowOff>
              </from>
              <to>
                <xdr:col>7</xdr:col>
                <xdr:colOff>7620</xdr:colOff>
                <xdr:row>13</xdr:row>
                <xdr:rowOff>60960</xdr:rowOff>
              </to>
            </anchor>
          </controlPr>
        </control>
      </mc:Choice>
      <mc:Fallback>
        <control shapeId="5121" r:id="rId4" name="admin_password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ADM_Login">
            <anchor moveWithCells="1">
              <from>
                <xdr:col>7</xdr:col>
                <xdr:colOff>175260</xdr:colOff>
                <xdr:row>12</xdr:row>
                <xdr:rowOff>22860</xdr:rowOff>
              </from>
              <to>
                <xdr:col>8</xdr:col>
                <xdr:colOff>289560</xdr:colOff>
                <xdr:row>13</xdr:row>
                <xdr:rowOff>38100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C5DAE-3654-41FC-9C7A-9091655045B2}">
  <sheetPr codeName="Sheet15">
    <tabColor theme="1" tint="0.34998626667073579"/>
  </sheetPr>
  <dimension ref="A1:T200"/>
  <sheetViews>
    <sheetView showGridLines="0" topLeftCell="B2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9.28515625" style="4"/>
    <col min="7" max="7" width="9.28515625" style="5"/>
    <col min="8" max="8" width="26.7109375" style="6" customWidth="1"/>
    <col min="9" max="20" width="9.28515625" style="6"/>
  </cols>
  <sheetData>
    <row r="1" spans="1:20" ht="16.5" hidden="1" customHeight="1">
      <c r="A1">
        <v>1</v>
      </c>
    </row>
    <row r="2" spans="1:20" ht="16.5" customHeight="1">
      <c r="F2" s="287" t="s">
        <v>550</v>
      </c>
      <c r="G2" s="423"/>
      <c r="H2" s="423"/>
      <c r="I2" s="423"/>
      <c r="J2" s="423"/>
      <c r="K2" s="423"/>
      <c r="L2" s="423"/>
      <c r="M2" s="423"/>
      <c r="N2" s="423"/>
    </row>
    <row r="3" spans="1:20" ht="16.5" customHeight="1">
      <c r="F3" s="423"/>
      <c r="G3" s="423"/>
      <c r="H3" s="423"/>
      <c r="I3" s="423"/>
      <c r="J3" s="423"/>
      <c r="K3" s="423"/>
      <c r="L3" s="423"/>
      <c r="M3" s="423"/>
      <c r="N3" s="423"/>
    </row>
    <row r="4" spans="1:20" ht="16.5" customHeight="1">
      <c r="F4" s="424"/>
      <c r="G4" s="424"/>
      <c r="H4" s="424"/>
      <c r="I4" s="424"/>
      <c r="J4" s="424"/>
      <c r="K4" s="424"/>
      <c r="L4" s="424"/>
      <c r="M4" s="424"/>
      <c r="N4" s="424"/>
    </row>
    <row r="5" spans="1:20" ht="16.5" customHeight="1">
      <c r="F5" s="425"/>
      <c r="G5" s="425"/>
    </row>
    <row r="6" spans="1:20" ht="16.5" customHeight="1">
      <c r="F6" s="426"/>
      <c r="G6" s="426"/>
    </row>
    <row r="7" spans="1:20" ht="16.5" customHeight="1">
      <c r="C7" s="2" t="s">
        <v>152</v>
      </c>
      <c r="D7" s="12">
        <f>DCVer</f>
        <v>12.7</v>
      </c>
      <c r="F7" s="427" t="s">
        <v>551</v>
      </c>
      <c r="G7" s="427"/>
      <c r="H7" s="427"/>
      <c r="I7" s="427"/>
    </row>
    <row r="8" spans="1:20" ht="16.5" customHeight="1">
      <c r="F8" s="427"/>
      <c r="G8" s="427"/>
      <c r="H8" s="427"/>
      <c r="I8" s="427"/>
    </row>
    <row r="9" spans="1:20" ht="16.5" customHeight="1">
      <c r="B9" s="285"/>
      <c r="C9" s="285"/>
      <c r="D9" s="285"/>
      <c r="F9" s="9"/>
      <c r="G9" s="10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</row>
    <row r="10" spans="1:20" ht="16.5" customHeight="1">
      <c r="B10" s="285" t="s">
        <v>151</v>
      </c>
      <c r="C10" s="285"/>
      <c r="D10" s="285"/>
    </row>
    <row r="11" spans="1:20" ht="16.5" customHeight="1">
      <c r="B11" s="285" t="s">
        <v>155</v>
      </c>
      <c r="C11" s="285"/>
      <c r="D11" s="285"/>
    </row>
    <row r="12" spans="1:20" ht="16.5" customHeight="1">
      <c r="B12" s="285"/>
      <c r="C12" s="285"/>
      <c r="D12" s="285"/>
    </row>
    <row r="13" spans="1:20" ht="16.5" customHeight="1">
      <c r="B13" s="285" t="s">
        <v>159</v>
      </c>
      <c r="C13" s="285"/>
      <c r="D13" s="285"/>
      <c r="F13" s="427" t="s">
        <v>554</v>
      </c>
      <c r="G13" s="427"/>
      <c r="H13" s="427"/>
      <c r="I13" s="427"/>
    </row>
    <row r="14" spans="1:20" ht="16.5" customHeight="1">
      <c r="B14" s="285" t="s">
        <v>162</v>
      </c>
      <c r="C14" s="285"/>
      <c r="D14" s="285"/>
      <c r="F14" s="427"/>
      <c r="G14" s="427"/>
      <c r="H14" s="427"/>
      <c r="I14" s="427"/>
    </row>
    <row r="15" spans="1:20" ht="16.5" customHeight="1">
      <c r="B15" s="285"/>
      <c r="C15" s="285"/>
      <c r="D15" s="285"/>
      <c r="F15" s="15" t="s">
        <v>555</v>
      </c>
      <c r="J15" s="14" t="s">
        <v>556</v>
      </c>
    </row>
    <row r="16" spans="1:20" ht="16.5" customHeight="1">
      <c r="B16" s="285" t="s">
        <v>167</v>
      </c>
      <c r="C16" s="285"/>
      <c r="D16" s="285"/>
      <c r="F16" s="76" t="s">
        <v>557</v>
      </c>
      <c r="G16"/>
      <c r="H16"/>
      <c r="I16"/>
      <c r="J16" t="s">
        <v>558</v>
      </c>
      <c r="K16"/>
    </row>
    <row r="17" spans="2:11" ht="16.5" customHeight="1">
      <c r="B17" s="285" t="s">
        <v>170</v>
      </c>
      <c r="C17" s="285"/>
      <c r="D17" s="285"/>
      <c r="F17" s="76" t="s">
        <v>559</v>
      </c>
      <c r="G17"/>
      <c r="H17"/>
      <c r="I17"/>
      <c r="J17" t="s">
        <v>560</v>
      </c>
      <c r="K17"/>
    </row>
    <row r="18" spans="2:11" ht="16.5" customHeight="1">
      <c r="B18" s="285" t="s">
        <v>173</v>
      </c>
      <c r="C18" s="285"/>
      <c r="D18" s="285"/>
      <c r="F18" s="76" t="s">
        <v>561</v>
      </c>
      <c r="G18"/>
      <c r="H18"/>
      <c r="I18"/>
      <c r="J18" t="s">
        <v>560</v>
      </c>
      <c r="K18"/>
    </row>
    <row r="19" spans="2:11" ht="16.5" customHeight="1">
      <c r="B19" s="285"/>
      <c r="C19" s="285"/>
      <c r="D19" s="285"/>
      <c r="F19" s="76" t="s">
        <v>562</v>
      </c>
      <c r="G19"/>
      <c r="H19"/>
      <c r="I19"/>
      <c r="J19" t="s">
        <v>560</v>
      </c>
      <c r="K19"/>
    </row>
    <row r="20" spans="2:11" ht="16.5" customHeight="1">
      <c r="B20" s="285" t="s">
        <v>176</v>
      </c>
      <c r="C20" s="285"/>
      <c r="D20" s="285"/>
      <c r="F20" s="76" t="s">
        <v>563</v>
      </c>
      <c r="G20"/>
      <c r="H20"/>
      <c r="I20"/>
      <c r="J20" t="s">
        <v>564</v>
      </c>
      <c r="K20"/>
    </row>
    <row r="21" spans="2:11" ht="16.5" customHeight="1">
      <c r="B21" s="285"/>
      <c r="C21" s="285"/>
      <c r="D21" s="285"/>
      <c r="F21" s="76" t="s">
        <v>565</v>
      </c>
      <c r="G21"/>
      <c r="H21"/>
      <c r="I21"/>
      <c r="J21" t="s">
        <v>566</v>
      </c>
      <c r="K21"/>
    </row>
    <row r="22" spans="2:11" ht="16.5" customHeight="1">
      <c r="B22" s="285"/>
      <c r="C22" s="285"/>
      <c r="D22" s="285"/>
      <c r="F22" s="76" t="s">
        <v>567</v>
      </c>
      <c r="G22"/>
      <c r="H22"/>
      <c r="I22"/>
      <c r="J22" t="s">
        <v>568</v>
      </c>
      <c r="K22"/>
    </row>
    <row r="23" spans="2:11" ht="16.5" customHeight="1">
      <c r="B23" s="429"/>
      <c r="C23" s="429"/>
      <c r="D23" s="429"/>
      <c r="F23" s="76" t="s">
        <v>569</v>
      </c>
      <c r="G23"/>
      <c r="H23"/>
      <c r="I23"/>
      <c r="J23" t="s">
        <v>570</v>
      </c>
      <c r="K23"/>
    </row>
    <row r="24" spans="2:11" ht="16.5" customHeight="1">
      <c r="B24" s="285"/>
      <c r="C24" s="285"/>
      <c r="D24" s="285"/>
      <c r="F24" s="76" t="s">
        <v>571</v>
      </c>
      <c r="G24"/>
      <c r="H24"/>
      <c r="I24"/>
      <c r="J24" t="s">
        <v>572</v>
      </c>
      <c r="K24"/>
    </row>
    <row r="25" spans="2:11" ht="16.5" customHeight="1">
      <c r="B25" s="285" t="s">
        <v>182</v>
      </c>
      <c r="C25" s="290"/>
      <c r="D25" s="290"/>
      <c r="F25" s="76" t="s">
        <v>573</v>
      </c>
      <c r="G25"/>
      <c r="H25"/>
      <c r="I25"/>
      <c r="J25" t="s">
        <v>574</v>
      </c>
      <c r="K25"/>
    </row>
    <row r="26" spans="2:11" ht="16.5" customHeight="1">
      <c r="B26" s="285"/>
      <c r="C26" s="285"/>
      <c r="D26" s="285"/>
      <c r="F26" s="430" t="s">
        <v>575</v>
      </c>
      <c r="G26" s="431"/>
      <c r="H26" s="431"/>
      <c r="J26" s="6" t="s">
        <v>576</v>
      </c>
    </row>
    <row r="27" spans="2:11" ht="16.5" customHeight="1">
      <c r="B27" s="285"/>
      <c r="C27" s="285"/>
      <c r="D27" s="285"/>
      <c r="F27" s="430" t="s">
        <v>577</v>
      </c>
      <c r="G27" s="431"/>
      <c r="H27" s="431"/>
      <c r="J27" s="6" t="s">
        <v>578</v>
      </c>
    </row>
    <row r="28" spans="2:11" ht="16.5" customHeight="1">
      <c r="B28" s="293"/>
      <c r="C28" s="293"/>
      <c r="D28" s="293"/>
      <c r="F28" s="430" t="s">
        <v>579</v>
      </c>
      <c r="G28" s="431"/>
      <c r="H28" s="431"/>
      <c r="J28" s="6" t="s">
        <v>579</v>
      </c>
    </row>
    <row r="29" spans="2:11" ht="16.5" customHeight="1">
      <c r="B29" s="293"/>
      <c r="C29" s="293"/>
      <c r="D29" s="293"/>
      <c r="F29" s="430" t="s">
        <v>580</v>
      </c>
      <c r="G29" s="431"/>
      <c r="H29" s="431"/>
      <c r="J29" s="6" t="s">
        <v>580</v>
      </c>
    </row>
    <row r="30" spans="2:11" ht="16.5" customHeight="1">
      <c r="B30" s="293"/>
      <c r="C30" s="293"/>
      <c r="D30" s="293"/>
      <c r="F30" s="430" t="s">
        <v>581</v>
      </c>
      <c r="G30" s="431"/>
      <c r="H30" s="431"/>
      <c r="J30" s="6" t="s">
        <v>582</v>
      </c>
    </row>
    <row r="31" spans="2:11" ht="16.5" customHeight="1">
      <c r="B31" s="293"/>
      <c r="C31" s="293"/>
      <c r="D31" s="293"/>
      <c r="F31" s="430" t="s">
        <v>583</v>
      </c>
      <c r="G31" s="431"/>
      <c r="H31" s="431"/>
      <c r="J31" s="6" t="s">
        <v>584</v>
      </c>
    </row>
    <row r="32" spans="2:11" ht="16.5" customHeight="1">
      <c r="B32" s="289"/>
      <c r="C32" s="289"/>
      <c r="D32" s="289"/>
      <c r="F32" s="430" t="s">
        <v>585</v>
      </c>
      <c r="G32" s="431"/>
      <c r="H32" s="431"/>
      <c r="J32" s="6" t="s">
        <v>584</v>
      </c>
    </row>
    <row r="33" spans="2:10" ht="16.5" customHeight="1">
      <c r="B33" s="289"/>
      <c r="C33" s="289"/>
      <c r="D33" s="289"/>
      <c r="F33" s="430" t="s">
        <v>586</v>
      </c>
      <c r="G33" s="431"/>
      <c r="H33" s="431"/>
      <c r="J33" s="6" t="s">
        <v>584</v>
      </c>
    </row>
    <row r="34" spans="2:10" ht="16.5" customHeight="1">
      <c r="B34" s="289"/>
      <c r="C34" s="289"/>
      <c r="D34" s="289"/>
      <c r="F34" s="430" t="s">
        <v>587</v>
      </c>
      <c r="G34" s="431"/>
      <c r="H34" s="431"/>
      <c r="J34" s="6" t="s">
        <v>584</v>
      </c>
    </row>
    <row r="35" spans="2:10" ht="16.5" customHeight="1">
      <c r="B35" s="289"/>
      <c r="C35" s="289"/>
      <c r="D35" s="289"/>
      <c r="F35" s="430" t="s">
        <v>587</v>
      </c>
      <c r="G35" s="431"/>
      <c r="H35" s="431"/>
      <c r="J35" s="6" t="s">
        <v>584</v>
      </c>
    </row>
    <row r="36" spans="2:10" ht="16.5" customHeight="1">
      <c r="B36" s="289"/>
      <c r="C36" s="289"/>
      <c r="D36" s="289"/>
      <c r="F36" s="430" t="s">
        <v>588</v>
      </c>
      <c r="G36" s="431"/>
      <c r="H36" s="431"/>
      <c r="J36" s="6" t="s">
        <v>589</v>
      </c>
    </row>
    <row r="37" spans="2:10" ht="16.5" customHeight="1">
      <c r="B37" s="289"/>
      <c r="C37" s="289"/>
      <c r="D37" s="289"/>
      <c r="F37" s="430" t="s">
        <v>590</v>
      </c>
      <c r="G37" s="431"/>
      <c r="H37" s="431"/>
      <c r="J37" s="6" t="s">
        <v>591</v>
      </c>
    </row>
    <row r="38" spans="2:10" ht="16.5" customHeight="1">
      <c r="B38" s="289"/>
      <c r="C38" s="289"/>
      <c r="D38" s="289"/>
      <c r="F38" s="432"/>
      <c r="G38" s="431"/>
      <c r="H38" s="431"/>
    </row>
    <row r="39" spans="2:10" ht="16.5" customHeight="1">
      <c r="B39" s="289"/>
      <c r="C39" s="289"/>
      <c r="D39" s="289"/>
      <c r="F39" s="432"/>
      <c r="G39" s="431"/>
      <c r="H39" s="431"/>
    </row>
    <row r="40" spans="2:10" ht="16.5" customHeight="1">
      <c r="B40" s="289"/>
      <c r="C40" s="289"/>
      <c r="D40" s="289"/>
      <c r="F40" s="432"/>
      <c r="G40" s="431"/>
      <c r="H40" s="431"/>
    </row>
    <row r="41" spans="2:10" ht="16.5" customHeight="1">
      <c r="B41" s="289"/>
      <c r="C41" s="289"/>
      <c r="D41" s="289"/>
      <c r="F41" s="431"/>
      <c r="G41" s="431"/>
      <c r="H41" s="431"/>
    </row>
    <row r="42" spans="2:10" ht="16.5" customHeight="1">
      <c r="B42" s="289"/>
      <c r="C42" s="289"/>
      <c r="D42" s="289"/>
      <c r="F42" s="431"/>
      <c r="G42" s="431"/>
      <c r="H42" s="431"/>
    </row>
    <row r="43" spans="2:10" ht="16.5" customHeight="1">
      <c r="B43" s="289"/>
      <c r="C43" s="289"/>
      <c r="D43" s="289"/>
    </row>
    <row r="44" spans="2:10" ht="16.5" customHeight="1">
      <c r="B44" s="289"/>
      <c r="C44" s="289"/>
      <c r="D44" s="289"/>
    </row>
    <row r="45" spans="2:10" ht="16.5" customHeight="1">
      <c r="B45" s="289"/>
      <c r="C45" s="289"/>
      <c r="D45" s="289"/>
    </row>
    <row r="46" spans="2:10" ht="16.5" customHeight="1">
      <c r="B46" s="289"/>
      <c r="C46" s="289"/>
      <c r="D46" s="289"/>
    </row>
    <row r="47" spans="2:10" ht="16.5" customHeight="1">
      <c r="B47" s="289"/>
      <c r="C47" s="289"/>
      <c r="D47" s="289"/>
    </row>
    <row r="48" spans="2:10" ht="16.5" customHeight="1">
      <c r="B48" s="289"/>
      <c r="C48" s="289"/>
      <c r="D48" s="289"/>
    </row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</sheetData>
  <mergeCells count="61">
    <mergeCell ref="F41:H41"/>
    <mergeCell ref="F42:H42"/>
    <mergeCell ref="F36:H36"/>
    <mergeCell ref="F37:H37"/>
    <mergeCell ref="F38:H38"/>
    <mergeCell ref="F39:H39"/>
    <mergeCell ref="F40:H40"/>
    <mergeCell ref="F31:H31"/>
    <mergeCell ref="F32:H32"/>
    <mergeCell ref="F33:H33"/>
    <mergeCell ref="F34:H34"/>
    <mergeCell ref="F35:H35"/>
    <mergeCell ref="F26:H26"/>
    <mergeCell ref="F27:H27"/>
    <mergeCell ref="F28:H28"/>
    <mergeCell ref="F29:H29"/>
    <mergeCell ref="F30:H30"/>
    <mergeCell ref="B48:D48"/>
    <mergeCell ref="F13:I14"/>
    <mergeCell ref="B42:D42"/>
    <mergeCell ref="B43:D43"/>
    <mergeCell ref="B44:D44"/>
    <mergeCell ref="B45:D45"/>
    <mergeCell ref="B46:D46"/>
    <mergeCell ref="B47:D47"/>
    <mergeCell ref="B36:D36"/>
    <mergeCell ref="B37:D37"/>
    <mergeCell ref="B38:D38"/>
    <mergeCell ref="B39:D39"/>
    <mergeCell ref="B40:D40"/>
    <mergeCell ref="B41:D41"/>
    <mergeCell ref="B30:D30"/>
    <mergeCell ref="B31:D31"/>
    <mergeCell ref="B32:D32"/>
    <mergeCell ref="B33:D33"/>
    <mergeCell ref="B34:D34"/>
    <mergeCell ref="B35:D35"/>
    <mergeCell ref="B26:D26"/>
    <mergeCell ref="B27:D27"/>
    <mergeCell ref="B28:D28"/>
    <mergeCell ref="B29:D29"/>
    <mergeCell ref="B11:D11"/>
    <mergeCell ref="F2:N4"/>
    <mergeCell ref="F5:G6"/>
    <mergeCell ref="F7:I8"/>
    <mergeCell ref="B9:D9"/>
    <mergeCell ref="B10:D10"/>
    <mergeCell ref="B25:D25"/>
    <mergeCell ref="B23:D23"/>
    <mergeCell ref="B12:D12"/>
    <mergeCell ref="B13:D13"/>
    <mergeCell ref="B14:D14"/>
    <mergeCell ref="B15:D15"/>
    <mergeCell ref="B16:D16"/>
    <mergeCell ref="B22:D22"/>
    <mergeCell ref="B17:D17"/>
    <mergeCell ref="B18:D18"/>
    <mergeCell ref="B19:D19"/>
    <mergeCell ref="B20:D20"/>
    <mergeCell ref="B21:D21"/>
    <mergeCell ref="B24:D24"/>
  </mergeCells>
  <hyperlinks>
    <hyperlink ref="F16" location="'CFGSMC'!A1" display="SIDE MENU CONFIG" xr:uid="{A95EA143-451A-4377-83E0-9270AA2D51A9}"/>
    <hyperlink ref="F17" location="'CFGMAINS'!A1" display="AC MAINS DETAILS DROP DOWN LIST" xr:uid="{C32CA619-2B6C-446C-94DD-BF20F250A727}"/>
    <hyperlink ref="F18" location="'CFGVDC'!A1" display="VDC CONFIG" xr:uid="{60BCB1E7-F10D-4CE6-843E-10493C61C9D7}"/>
    <hyperlink ref="F19" location="'CFGPWR'!A1" display="CALCULATOR DROP DOWN LIST" xr:uid="{24D22121-75CA-4536-9967-96C4914E6363}"/>
    <hyperlink ref="F20" location="'CFGDEFAULTS'!A1" display="DEFAULT VALUES CONFIG" xr:uid="{8D6E3E8B-8CE2-4095-90EF-2E36D3378538}"/>
    <hyperlink ref="F21" location="'CFGRECT'!A1" display="RECTIFIER CONFIG STANDARDS" xr:uid="{982D5703-DE36-4579-96AD-7FAD8784AC91}"/>
    <hyperlink ref="F22" location="'DBRANEQ'!A1" display="RAN EQUIPMENT POWER DB" xr:uid="{3547A94A-856E-4DB1-ADCB-9386E525BEA0}"/>
    <hyperlink ref="F23" location="'DBTXEQ'!A1" display="TRANSMISSION EQUIPMENT POWER DB" xr:uid="{5CA4A03C-071F-4DBB-B8EF-C382BC3F7B39}"/>
    <hyperlink ref="F24" location="'DBBATT'!A1" display="BATTERY DB" xr:uid="{95490BD2-6C2D-4D5C-8D7A-1B204762D9C1}"/>
    <hyperlink ref="F25" location="'DBPSU'!A1" display="PSU DB" xr:uid="{49B9F35C-6E7A-464C-A5CB-9691B6D6DE4D}"/>
    <hyperlink ref="F26" location="'DBCOOLING'!A1" display="COOLING SOLUTIONS DB" xr:uid="{69C0EF5D-86A8-4D7C-9467-97986B45F041}"/>
    <hyperlink ref="F27" location="'DBCPX'!A1" display="CPX DB" xr:uid="{E4DF5477-B6C3-4D4B-A54C-BE4A9A01F8E2}"/>
    <hyperlink ref="F28" location="'DBT30'!A1" display="AS3008/2010 TABLE 30" xr:uid="{73E2C491-8457-4EE0-BFA3-819A4D4D29F3}"/>
    <hyperlink ref="F29" location="'DBT35'!A1" display="AS3008/2010 TABLE 35" xr:uid="{246DF1BA-D022-462B-9282-A9A2466AB868}"/>
    <hyperlink ref="F30" location="'DBRECT'!A1" display="RECTIFIER DB" xr:uid="{25A09B67-2166-4BB0-8D03-CD1376C898A7}"/>
    <hyperlink ref="F31" location="'WSPSUEXT'!A1" display="AC SUMMARY WORKSHEET (EXISTING DEMAND)" xr:uid="{3417C82D-BDC2-4246-BC80-AC8F263CD30E}"/>
    <hyperlink ref="F32" location="'WSPSU'!A1" display="AC SUMMARY WORKSHEET" xr:uid="{71079FA2-4C9F-4EBD-9DA9-37F3C369A6D5}"/>
    <hyperlink ref="F33" location="'WSBBT'!A1" display="BATTERY BACKUP WORKSHEET" xr:uid="{D0657FCE-CA21-42A2-805B-8E7452A2209C}"/>
    <hyperlink ref="F34" location="'WSVERIFY'!A1" display="PROPOSED DESIGN VERIFICATION" xr:uid="{C72ADFA3-F62E-4073-BF7C-87A136AD38FA}"/>
    <hyperlink ref="F35" location="'WSPLBC'!A1" display="PROPOSED DESIGN VERIFICATION" xr:uid="{DBE682BF-5AA3-4D52-B0D2-C2A51C1315A4}"/>
    <hyperlink ref="F36" location="'WSDLISTEQ'!A1" display="DYNAMIC EQUIPMENT LIST WORKSHEET" xr:uid="{112A1B23-D987-47D9-98F1-4FFA263E3054}"/>
    <hyperlink ref="F37" location="'WSDLISTFAN'!A1" display="DYNAMIC LIST COOLING OPTION WORKSHEET" xr:uid="{FE609DE2-F3CC-4AA4-986D-73B33E313AF1}"/>
    <hyperlink ref="B10" location="'DASH'!A1" display="DASHBOARD" xr:uid="{323629A5-18B5-41E5-BD08-BC8998CBCADB}"/>
    <hyperlink ref="B11" location="'DES-GL'!A1" display="DESIGN GUIDELINES" xr:uid="{A387961E-7817-4F7F-BC0D-C2641163B4C5}"/>
    <hyperlink ref="B13" location="'EXT-MAINS-DT'!A1" display="EXISTING POWER DESIGN" xr:uid="{4FC1328C-2041-4CAC-8E68-FF5F066B31BC}"/>
    <hyperlink ref="B14" location="'EXT-CALC'!A1" display="EXISTING DEMAND" xr:uid="{9D15C6C7-4C33-4662-8B20-71C1E795AB44}"/>
    <hyperlink ref="B16" location="'CALC'!A1" display="POWER CALCULATOR" xr:uid="{0C9E3357-FF2D-42A6-B413-908C4EA14A9F}"/>
    <hyperlink ref="B17" location="'PLBC-CALC'!A1" display="PLBC CALCULATOR" xr:uid="{CCCD28D7-8651-40F1-85E3-802D06712AC1}"/>
    <hyperlink ref="B18" location="'VDC'!A1" display="VD CALCULATOR" xr:uid="{828C69C3-FDB2-4508-9C14-93238BE93B6B}"/>
    <hyperlink ref="B20" location="'PRP-SOL'!A1" display="PROPOSED POWER DESIGN" xr:uid="{DDB9F5AA-80EF-4B1F-8245-2FF29954DA31}"/>
    <hyperlink ref="B25" location="'DC'!A1" display="DOCUMENT CONTROL" xr:uid="{C4B2CE24-0496-4157-B23A-2CDA4BE499AC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ADM_Logout">
                <anchor moveWithCells="1">
                  <from>
                    <xdr:col>5</xdr:col>
                    <xdr:colOff>38100</xdr:colOff>
                    <xdr:row>8</xdr:row>
                    <xdr:rowOff>175260</xdr:rowOff>
                  </from>
                  <to>
                    <xdr:col>6</xdr:col>
                    <xdr:colOff>152400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4C631-2200-42C2-A43D-016ACC3F21C2}">
  <sheetPr codeName="Sheet52">
    <tabColor rgb="FF00A3AD"/>
  </sheetPr>
  <dimension ref="B1:AG114"/>
  <sheetViews>
    <sheetView showGridLines="0" topLeftCell="B22" zoomScaleNormal="100" workbookViewId="0">
      <selection activeCell="K18" sqref="K18"/>
    </sheetView>
  </sheetViews>
  <sheetFormatPr defaultRowHeight="14.45"/>
  <cols>
    <col min="1" max="1" width="0" hidden="1" customWidth="1"/>
    <col min="2" max="4" width="9.28515625" style="1"/>
    <col min="6" max="6" width="5" customWidth="1"/>
    <col min="8" max="8" width="9.28515625" customWidth="1"/>
    <col min="9" max="9" width="9.5703125" bestFit="1" customWidth="1"/>
    <col min="11" max="11" width="9.28515625" customWidth="1"/>
    <col min="12" max="12" width="4.85546875" customWidth="1"/>
    <col min="13" max="14" width="9.28515625" customWidth="1"/>
    <col min="18" max="18" width="5" customWidth="1"/>
  </cols>
  <sheetData>
    <row r="1" spans="2:20" ht="16.5" hidden="1" customHeight="1"/>
    <row r="2" spans="2:20" ht="16.5" customHeight="1">
      <c r="F2" s="287" t="s">
        <v>170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6"/>
      <c r="R2" s="286"/>
      <c r="S2" s="286"/>
      <c r="T2" s="286"/>
    </row>
    <row r="3" spans="2:20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6"/>
      <c r="R3" s="286"/>
      <c r="S3" s="286"/>
      <c r="T3" s="286"/>
    </row>
    <row r="4" spans="2:20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6"/>
      <c r="R4" s="286"/>
      <c r="S4" s="286"/>
      <c r="T4" s="286"/>
    </row>
    <row r="5" spans="2:20" ht="16.5" customHeight="1">
      <c r="F5" s="219" t="s">
        <v>592</v>
      </c>
    </row>
    <row r="6" spans="2:20" ht="16.5" customHeight="1"/>
    <row r="7" spans="2:20" ht="16.5" customHeight="1">
      <c r="C7" s="2" t="s">
        <v>152</v>
      </c>
      <c r="D7" s="12">
        <f>DCVer</f>
        <v>12.7</v>
      </c>
      <c r="F7" s="292" t="s">
        <v>593</v>
      </c>
      <c r="G7" s="292"/>
      <c r="H7" s="292"/>
      <c r="I7" s="292"/>
      <c r="J7" s="292"/>
      <c r="K7" s="292"/>
      <c r="L7" s="292"/>
    </row>
    <row r="8" spans="2:20" ht="16.5" customHeight="1">
      <c r="F8" s="292"/>
      <c r="G8" s="292"/>
      <c r="H8" s="292"/>
      <c r="I8" s="292"/>
      <c r="J8" s="292"/>
      <c r="K8" s="292"/>
      <c r="L8" s="292"/>
    </row>
    <row r="9" spans="2:20" ht="16.5" customHeight="1">
      <c r="B9" s="285"/>
      <c r="C9" s="285"/>
      <c r="D9" s="285"/>
      <c r="F9" s="32" t="s">
        <v>509</v>
      </c>
      <c r="G9" s="6"/>
      <c r="H9" s="6"/>
      <c r="I9" s="6"/>
      <c r="J9" s="6"/>
      <c r="K9" s="6"/>
      <c r="L9" s="6"/>
      <c r="M9" s="6"/>
    </row>
    <row r="10" spans="2:20" ht="16.5" customHeight="1">
      <c r="B10" s="285" t="s">
        <v>151</v>
      </c>
      <c r="C10" s="285"/>
      <c r="D10" s="285"/>
      <c r="F10" s="71" t="str">
        <f>IF(J10="Yes","E","D")</f>
        <v>D</v>
      </c>
      <c r="G10" s="397" t="s">
        <v>510</v>
      </c>
      <c r="H10" s="397"/>
      <c r="I10" s="397"/>
      <c r="J10" s="200" t="s">
        <v>172</v>
      </c>
      <c r="K10" s="16" t="s">
        <v>158</v>
      </c>
      <c r="L10" s="6"/>
      <c r="M10" s="6"/>
    </row>
    <row r="11" spans="2:20" ht="16.5" customHeight="1">
      <c r="B11" s="285" t="s">
        <v>155</v>
      </c>
      <c r="C11" s="285"/>
      <c r="D11" s="285"/>
      <c r="M11" s="117" t="s">
        <v>495</v>
      </c>
    </row>
    <row r="12" spans="2:20" ht="16.5" customHeight="1">
      <c r="B12" s="285"/>
      <c r="C12" s="285"/>
      <c r="D12" s="285"/>
      <c r="F12" s="51" t="str" cm="1">
        <f t="array" ref="F12">IF(J12&gt;MIN(IF(CALC!L149:L154&gt;0,CALC!L149:L154)),"ERR","OK")</f>
        <v>OK</v>
      </c>
      <c r="G12" s="397" t="s">
        <v>594</v>
      </c>
      <c r="H12" s="397"/>
      <c r="I12" s="397"/>
      <c r="J12" s="200"/>
      <c r="K12" s="16"/>
      <c r="L12" s="83" t="s">
        <v>191</v>
      </c>
      <c r="M12" s="84" t="s">
        <v>595</v>
      </c>
    </row>
    <row r="13" spans="2:20" ht="16.5" customHeight="1">
      <c r="B13" s="285" t="s">
        <v>159</v>
      </c>
      <c r="C13" s="285"/>
      <c r="D13" s="285"/>
      <c r="F13" s="51"/>
      <c r="G13" s="397" t="s">
        <v>596</v>
      </c>
      <c r="H13" s="397"/>
      <c r="I13" s="397"/>
      <c r="J13" s="200"/>
      <c r="K13" s="16" t="s">
        <v>158</v>
      </c>
    </row>
    <row r="14" spans="2:20" ht="16.5" customHeight="1">
      <c r="B14" s="285" t="s">
        <v>162</v>
      </c>
      <c r="C14" s="285"/>
      <c r="D14" s="285"/>
      <c r="G14" s="146"/>
      <c r="H14" s="146"/>
      <c r="I14" s="146"/>
      <c r="J14" s="145"/>
    </row>
    <row r="15" spans="2:20" ht="16.5" customHeight="1">
      <c r="B15" s="285"/>
      <c r="C15" s="285"/>
      <c r="D15" s="285"/>
      <c r="F15" s="32" t="s">
        <v>597</v>
      </c>
      <c r="G15" s="146"/>
      <c r="H15" s="146"/>
      <c r="I15" s="146"/>
      <c r="J15" s="145"/>
      <c r="M15" s="117" t="s">
        <v>598</v>
      </c>
    </row>
    <row r="16" spans="2:20" ht="16.5" customHeight="1">
      <c r="B16" s="285" t="s">
        <v>167</v>
      </c>
      <c r="C16" s="285"/>
      <c r="D16" s="285"/>
      <c r="F16" s="51"/>
      <c r="G16" s="397" t="s">
        <v>599</v>
      </c>
      <c r="H16" s="397"/>
      <c r="I16" s="397"/>
      <c r="J16" s="200">
        <v>0</v>
      </c>
      <c r="L16" s="83" t="s">
        <v>191</v>
      </c>
      <c r="M16" s="118">
        <v>0</v>
      </c>
    </row>
    <row r="17" spans="2:30" ht="16.5" customHeight="1">
      <c r="B17" s="290" t="s">
        <v>170</v>
      </c>
      <c r="C17" s="285"/>
      <c r="D17" s="285"/>
      <c r="F17" s="51"/>
      <c r="G17" s="397" t="s">
        <v>600</v>
      </c>
      <c r="H17" s="397"/>
      <c r="I17" s="397"/>
      <c r="J17" s="200">
        <v>8</v>
      </c>
      <c r="L17" s="83" t="s">
        <v>191</v>
      </c>
      <c r="M17" s="118">
        <v>8</v>
      </c>
    </row>
    <row r="18" spans="2:30" ht="16.5" customHeight="1">
      <c r="B18" s="285" t="s">
        <v>173</v>
      </c>
      <c r="C18" s="285"/>
      <c r="D18" s="285"/>
      <c r="F18" s="51"/>
      <c r="G18" s="397" t="s">
        <v>601</v>
      </c>
      <c r="H18" s="397"/>
      <c r="I18" s="397"/>
      <c r="J18" s="200">
        <v>420</v>
      </c>
      <c r="L18" s="83" t="s">
        <v>191</v>
      </c>
      <c r="M18" s="118">
        <v>420</v>
      </c>
    </row>
    <row r="19" spans="2:30" ht="16.5" customHeight="1">
      <c r="B19" s="285"/>
      <c r="C19" s="285"/>
      <c r="D19" s="285"/>
      <c r="F19" s="51"/>
      <c r="G19" s="397" t="s">
        <v>602</v>
      </c>
      <c r="H19" s="397"/>
      <c r="I19" s="397"/>
      <c r="J19" s="200">
        <v>0.6</v>
      </c>
      <c r="L19" s="83" t="s">
        <v>191</v>
      </c>
      <c r="M19" s="118">
        <v>0.6</v>
      </c>
    </row>
    <row r="20" spans="2:30" ht="16.5" customHeight="1">
      <c r="B20" s="285" t="s">
        <v>176</v>
      </c>
      <c r="C20" s="285"/>
      <c r="D20" s="285"/>
      <c r="F20" s="35"/>
    </row>
    <row r="21" spans="2:30" ht="16.5" customHeight="1">
      <c r="B21" s="18"/>
      <c r="C21" s="18"/>
      <c r="D21" s="18"/>
      <c r="F21" s="433" t="s">
        <v>603</v>
      </c>
      <c r="G21" s="433"/>
      <c r="H21" s="433"/>
      <c r="I21" s="433"/>
      <c r="J21" s="433"/>
      <c r="M21" s="86" t="s">
        <v>604</v>
      </c>
    </row>
    <row r="22" spans="2:30" ht="16.5" customHeight="1">
      <c r="B22" s="18"/>
      <c r="C22" s="18"/>
      <c r="D22" s="18"/>
      <c r="F22" s="254"/>
      <c r="G22" s="441" t="s">
        <v>605</v>
      </c>
      <c r="H22" s="441"/>
      <c r="I22" s="440" t="s">
        <v>606</v>
      </c>
      <c r="J22" s="440"/>
      <c r="L22" s="252" t="s">
        <v>191</v>
      </c>
      <c r="M22" s="251" t="s">
        <v>607</v>
      </c>
    </row>
    <row r="23" spans="2:30" ht="16.5" customHeight="1">
      <c r="B23" s="18"/>
      <c r="C23" s="18"/>
      <c r="D23" s="18"/>
      <c r="F23" s="51"/>
      <c r="G23" s="434" t="s">
        <v>608</v>
      </c>
      <c r="H23" s="435"/>
      <c r="I23" s="436"/>
      <c r="J23" s="437"/>
      <c r="L23" s="252" t="s">
        <v>191</v>
      </c>
      <c r="M23" s="253" t="s">
        <v>609</v>
      </c>
    </row>
    <row r="24" spans="2:30" ht="16.5" customHeight="1">
      <c r="B24" s="18"/>
      <c r="C24" s="18"/>
      <c r="D24" s="18"/>
      <c r="F24" s="51"/>
      <c r="G24" s="434" t="s">
        <v>610</v>
      </c>
      <c r="H24" s="435"/>
      <c r="I24" s="438" t="s">
        <v>172</v>
      </c>
      <c r="J24" s="439"/>
      <c r="L24" s="252" t="s">
        <v>191</v>
      </c>
      <c r="M24" s="251" t="s">
        <v>611</v>
      </c>
    </row>
    <row r="25" spans="2:30" ht="16.5" customHeight="1">
      <c r="B25" s="18" t="s">
        <v>182</v>
      </c>
      <c r="C25" s="18"/>
      <c r="D25" s="18"/>
      <c r="F25" s="35"/>
    </row>
    <row r="26" spans="2:30" ht="16.5" customHeight="1">
      <c r="B26" s="285"/>
      <c r="C26" s="285"/>
      <c r="D26" s="285"/>
      <c r="F26" s="35"/>
    </row>
    <row r="27" spans="2:30" ht="16.5" customHeight="1">
      <c r="B27" s="285"/>
      <c r="C27" s="285"/>
      <c r="D27" s="285"/>
      <c r="G27" s="442" t="s">
        <v>348</v>
      </c>
      <c r="H27" s="442"/>
      <c r="I27" s="442"/>
      <c r="J27" s="442"/>
      <c r="K27" s="442"/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2"/>
      <c r="W27" s="442"/>
      <c r="X27" s="442"/>
      <c r="Y27" s="442"/>
      <c r="Z27" s="442"/>
      <c r="AA27" s="442"/>
      <c r="AB27" s="442"/>
      <c r="AC27" s="442"/>
      <c r="AD27" s="442"/>
    </row>
    <row r="28" spans="2:30" ht="16.5" customHeight="1">
      <c r="B28" s="285"/>
      <c r="C28" s="285"/>
      <c r="D28" s="285"/>
    </row>
    <row r="29" spans="2:30" ht="16.5" customHeight="1">
      <c r="B29" s="285"/>
      <c r="C29" s="285"/>
      <c r="D29" s="285"/>
      <c r="F29" s="292" t="s">
        <v>612</v>
      </c>
      <c r="G29" s="292"/>
      <c r="H29" s="292"/>
      <c r="I29" s="292"/>
      <c r="J29" s="292"/>
      <c r="K29" s="292"/>
      <c r="L29" s="292"/>
    </row>
    <row r="30" spans="2:30" ht="16.5" customHeight="1">
      <c r="B30" s="285"/>
      <c r="C30" s="285"/>
      <c r="D30" s="285"/>
      <c r="F30" s="292"/>
      <c r="G30" s="292"/>
      <c r="H30" s="292"/>
      <c r="I30" s="292"/>
      <c r="J30" s="292"/>
      <c r="K30" s="292"/>
      <c r="L30" s="292"/>
      <c r="M30" s="6"/>
    </row>
    <row r="31" spans="2:30" ht="16.5" customHeight="1">
      <c r="B31" s="285"/>
      <c r="C31" s="285"/>
      <c r="D31" s="285"/>
      <c r="F31" s="32" t="s">
        <v>613</v>
      </c>
      <c r="M31" s="117" t="s">
        <v>495</v>
      </c>
    </row>
    <row r="32" spans="2:30" ht="16.5" customHeight="1">
      <c r="B32" s="293"/>
      <c r="C32" s="293"/>
      <c r="D32" s="293"/>
      <c r="F32" s="51"/>
      <c r="G32" s="295" t="s">
        <v>614</v>
      </c>
      <c r="H32" s="295"/>
      <c r="I32" s="295"/>
      <c r="J32" s="199">
        <v>0</v>
      </c>
      <c r="K32" s="16" t="s">
        <v>158</v>
      </c>
      <c r="L32" s="83" t="s">
        <v>191</v>
      </c>
      <c r="M32" s="84" t="s">
        <v>615</v>
      </c>
    </row>
    <row r="33" spans="2:30" ht="16.5" customHeight="1">
      <c r="B33" s="13"/>
      <c r="C33" s="13"/>
      <c r="D33" s="13"/>
      <c r="F33" s="51"/>
      <c r="G33" s="295" t="s">
        <v>362</v>
      </c>
      <c r="H33" s="295"/>
      <c r="I33" s="295"/>
      <c r="J33" s="199">
        <v>3</v>
      </c>
      <c r="K33" s="16" t="s">
        <v>158</v>
      </c>
      <c r="L33" s="83" t="s">
        <v>191</v>
      </c>
      <c r="M33" s="84" t="s">
        <v>616</v>
      </c>
      <c r="P33" s="83"/>
      <c r="Q33" s="111"/>
      <c r="R33" s="84"/>
    </row>
    <row r="34" spans="2:30" ht="16.5" customHeight="1">
      <c r="B34" s="13"/>
      <c r="C34" s="13"/>
      <c r="D34" s="13"/>
      <c r="F34" s="112"/>
      <c r="I34" s="235"/>
      <c r="L34" s="83" t="s">
        <v>191</v>
      </c>
      <c r="M34" s="84" t="s">
        <v>617</v>
      </c>
    </row>
    <row r="35" spans="2:30" ht="16.5" customHeight="1">
      <c r="B35" s="13"/>
      <c r="C35" s="13"/>
      <c r="D35" s="13"/>
      <c r="F35" s="112"/>
    </row>
    <row r="36" spans="2:30" ht="16.5" customHeight="1">
      <c r="B36" s="13"/>
      <c r="C36" s="13"/>
      <c r="D36" s="13"/>
      <c r="G36" s="442" t="s">
        <v>348</v>
      </c>
      <c r="H36" s="442"/>
      <c r="I36" s="442"/>
      <c r="J36" s="442"/>
      <c r="K36" s="442"/>
      <c r="L36" s="442"/>
      <c r="M36" s="442"/>
      <c r="N36" s="442"/>
      <c r="O36" s="442"/>
      <c r="P36" s="442"/>
      <c r="Q36" s="442"/>
      <c r="R36" s="442"/>
      <c r="S36" s="442"/>
      <c r="T36" s="442"/>
      <c r="U36" s="442"/>
      <c r="V36" s="442"/>
      <c r="W36" s="442"/>
      <c r="X36" s="442"/>
      <c r="Y36" s="442"/>
      <c r="Z36" s="442"/>
      <c r="AA36" s="442"/>
      <c r="AB36" s="442"/>
      <c r="AC36" s="442"/>
      <c r="AD36" s="442"/>
    </row>
    <row r="37" spans="2:30" ht="16.5" customHeight="1">
      <c r="B37" s="13"/>
      <c r="C37" s="13"/>
      <c r="D37" s="13"/>
    </row>
    <row r="38" spans="2:30" ht="16.5" customHeight="1">
      <c r="B38" s="13"/>
      <c r="C38" s="13"/>
      <c r="D38" s="13"/>
      <c r="F38" s="292" t="s">
        <v>618</v>
      </c>
      <c r="G38" s="292"/>
      <c r="H38" s="292"/>
      <c r="I38" s="292"/>
      <c r="J38" s="292"/>
      <c r="K38" s="292"/>
      <c r="L38" s="292"/>
    </row>
    <row r="39" spans="2:30" ht="16.5" customHeight="1">
      <c r="B39" s="13"/>
      <c r="C39" s="13"/>
      <c r="D39" s="13"/>
      <c r="F39" s="292"/>
      <c r="G39" s="292"/>
      <c r="H39" s="292"/>
      <c r="I39" s="292"/>
      <c r="J39" s="292"/>
      <c r="K39" s="292"/>
      <c r="L39" s="292"/>
    </row>
    <row r="40" spans="2:30" ht="16.5" customHeight="1">
      <c r="B40" s="13"/>
      <c r="C40" s="13"/>
      <c r="D40" s="13"/>
      <c r="F40" s="32" t="s">
        <v>619</v>
      </c>
      <c r="G40" s="25"/>
      <c r="H40" s="25"/>
      <c r="I40" s="25"/>
      <c r="J40" s="25"/>
      <c r="K40" s="25"/>
      <c r="M40" s="117" t="s">
        <v>495</v>
      </c>
      <c r="X40" s="117" t="s">
        <v>598</v>
      </c>
    </row>
    <row r="41" spans="2:30" ht="16.5" customHeight="1">
      <c r="B41" s="13"/>
      <c r="C41" s="13"/>
      <c r="D41" s="13"/>
      <c r="F41" s="443" t="str">
        <f>IF(G42&lt;&gt;100%,"ERR","OK")</f>
        <v>OK</v>
      </c>
      <c r="G41" s="196" t="s">
        <v>620</v>
      </c>
      <c r="H41" s="138" t="s">
        <v>621</v>
      </c>
      <c r="I41" s="138" t="s">
        <v>622</v>
      </c>
      <c r="J41" s="138" t="s">
        <v>623</v>
      </c>
      <c r="L41" s="83" t="s">
        <v>191</v>
      </c>
      <c r="M41" s="84" t="s">
        <v>624</v>
      </c>
      <c r="X41" s="225" t="s">
        <v>625</v>
      </c>
    </row>
    <row r="42" spans="2:30" ht="16.5" customHeight="1">
      <c r="B42" s="13"/>
      <c r="C42" s="13"/>
      <c r="D42" s="13"/>
      <c r="F42" s="443"/>
      <c r="G42" s="196">
        <f>SUM(H42,I42,J42)</f>
        <v>1</v>
      </c>
      <c r="H42" s="197">
        <v>0.5</v>
      </c>
      <c r="I42" s="197">
        <v>0.5</v>
      </c>
      <c r="J42" s="197">
        <v>0</v>
      </c>
      <c r="K42" s="25"/>
      <c r="L42" s="25"/>
      <c r="M42" s="84" t="s">
        <v>626</v>
      </c>
      <c r="W42" s="83" t="s">
        <v>191</v>
      </c>
      <c r="X42" s="118" t="s">
        <v>627</v>
      </c>
    </row>
    <row r="43" spans="2:30" ht="16.5" customHeight="1">
      <c r="B43" s="13"/>
      <c r="C43" s="13"/>
      <c r="D43" s="13"/>
      <c r="G43" s="25"/>
      <c r="H43" s="25"/>
      <c r="I43" s="25"/>
      <c r="J43" s="25"/>
      <c r="L43" s="83" t="s">
        <v>191</v>
      </c>
      <c r="M43" s="84" t="s">
        <v>628</v>
      </c>
      <c r="W43" s="83" t="s">
        <v>191</v>
      </c>
      <c r="X43" s="118" t="s">
        <v>629</v>
      </c>
    </row>
    <row r="44" spans="2:30" ht="16.5" customHeight="1">
      <c r="B44" s="13"/>
      <c r="C44" s="13"/>
      <c r="D44" s="13"/>
      <c r="F44" s="32" t="s">
        <v>630</v>
      </c>
      <c r="G44" s="25"/>
      <c r="H44" s="25"/>
      <c r="I44" s="25"/>
      <c r="J44" s="25"/>
      <c r="K44" s="25"/>
      <c r="W44" s="83" t="s">
        <v>191</v>
      </c>
      <c r="X44" s="118" t="s">
        <v>631</v>
      </c>
    </row>
    <row r="45" spans="2:30" ht="16.5" customHeight="1">
      <c r="B45" s="13"/>
      <c r="C45" s="13"/>
      <c r="D45" s="13"/>
      <c r="G45" s="344" t="s">
        <v>632</v>
      </c>
      <c r="H45" s="138" t="s">
        <v>621</v>
      </c>
      <c r="I45" s="138" t="s">
        <v>622</v>
      </c>
      <c r="J45" s="138" t="s">
        <v>623</v>
      </c>
      <c r="K45" s="25"/>
      <c r="L45" s="83" t="s">
        <v>191</v>
      </c>
      <c r="M45" s="84" t="s">
        <v>633</v>
      </c>
      <c r="P45" s="25"/>
    </row>
    <row r="46" spans="2:30" ht="16.5" customHeight="1">
      <c r="B46" s="13"/>
      <c r="C46" s="13"/>
      <c r="D46" s="13"/>
      <c r="G46" s="344"/>
      <c r="H46" s="198">
        <v>500</v>
      </c>
      <c r="I46" s="198">
        <v>500</v>
      </c>
      <c r="J46" s="198">
        <v>0</v>
      </c>
      <c r="L46" s="25"/>
      <c r="M46" s="84"/>
    </row>
    <row r="47" spans="2:30" ht="16.5" customHeight="1">
      <c r="B47" s="13"/>
      <c r="C47" s="13"/>
      <c r="D47" s="13"/>
      <c r="F47" s="25"/>
      <c r="G47" s="25"/>
      <c r="H47" s="25"/>
      <c r="I47" s="25"/>
      <c r="J47" s="25"/>
      <c r="K47" s="25"/>
      <c r="L47" s="25"/>
    </row>
    <row r="48" spans="2:30" ht="16.5" customHeight="1">
      <c r="B48" s="13"/>
      <c r="C48" s="13"/>
      <c r="D48" s="13"/>
      <c r="F48" s="32" t="s">
        <v>634</v>
      </c>
      <c r="G48" s="25"/>
      <c r="H48" s="25"/>
      <c r="I48" s="25"/>
      <c r="J48" s="25"/>
      <c r="K48" s="25"/>
    </row>
    <row r="49" spans="2:30" ht="16.5" customHeight="1">
      <c r="B49" s="13"/>
      <c r="C49" s="13"/>
      <c r="D49" s="13"/>
      <c r="F49" s="25"/>
      <c r="G49" s="344" t="s">
        <v>635</v>
      </c>
      <c r="H49" s="138" t="s">
        <v>636</v>
      </c>
      <c r="I49" s="138" t="s">
        <v>363</v>
      </c>
      <c r="J49" s="138" t="s">
        <v>364</v>
      </c>
      <c r="K49" s="25"/>
    </row>
    <row r="50" spans="2:30" ht="16.5" customHeight="1">
      <c r="B50" s="13"/>
      <c r="C50" s="13"/>
      <c r="D50" s="13"/>
      <c r="F50" s="25"/>
      <c r="G50" s="344"/>
      <c r="H50" s="198">
        <v>6</v>
      </c>
      <c r="I50" s="198">
        <v>12</v>
      </c>
      <c r="J50" s="198">
        <v>6</v>
      </c>
      <c r="K50" s="25"/>
    </row>
    <row r="51" spans="2:30" ht="16.5" customHeight="1">
      <c r="B51" s="13"/>
      <c r="C51" s="13"/>
      <c r="D51" s="13"/>
      <c r="F51" s="25"/>
      <c r="G51" s="110"/>
      <c r="H51" s="106"/>
      <c r="I51" s="106"/>
      <c r="J51" s="106"/>
      <c r="K51" s="25"/>
    </row>
    <row r="52" spans="2:30" ht="16.5" customHeight="1">
      <c r="B52" s="13"/>
      <c r="C52" s="13"/>
      <c r="D52" s="13"/>
      <c r="F52" s="32" t="s">
        <v>637</v>
      </c>
      <c r="G52" s="110"/>
      <c r="H52" s="106"/>
      <c r="I52" s="106"/>
      <c r="J52" s="106"/>
      <c r="K52" s="25"/>
      <c r="L52" s="83"/>
      <c r="M52" s="118"/>
      <c r="X52" s="224" t="s">
        <v>638</v>
      </c>
    </row>
    <row r="53" spans="2:30" ht="16.5" customHeight="1">
      <c r="B53" s="13"/>
      <c r="C53" s="13"/>
      <c r="D53" s="13"/>
      <c r="F53" s="25"/>
      <c r="G53" s="450" t="s">
        <v>639</v>
      </c>
      <c r="H53" s="138" t="s">
        <v>363</v>
      </c>
      <c r="I53" s="138" t="s">
        <v>364</v>
      </c>
      <c r="J53" s="138" t="s">
        <v>640</v>
      </c>
      <c r="K53" s="25"/>
      <c r="L53" s="83" t="s">
        <v>191</v>
      </c>
      <c r="M53" s="84" t="s">
        <v>641</v>
      </c>
      <c r="S53" s="188"/>
      <c r="W53" s="83" t="s">
        <v>191</v>
      </c>
      <c r="X53" s="118" t="s">
        <v>642</v>
      </c>
    </row>
    <row r="54" spans="2:30" ht="16.5" customHeight="1">
      <c r="B54" s="13"/>
      <c r="C54" s="13"/>
      <c r="D54" s="13"/>
      <c r="F54" s="25"/>
      <c r="G54" s="450"/>
      <c r="H54" s="197">
        <v>1</v>
      </c>
      <c r="I54" s="197">
        <v>1</v>
      </c>
      <c r="J54" s="197">
        <v>0.98</v>
      </c>
      <c r="K54" s="25"/>
      <c r="L54" s="25"/>
      <c r="M54" s="84" t="s">
        <v>643</v>
      </c>
      <c r="W54" s="83" t="s">
        <v>191</v>
      </c>
      <c r="X54" s="118" t="s">
        <v>644</v>
      </c>
    </row>
    <row r="55" spans="2:30" ht="16.5" customHeight="1">
      <c r="B55" s="13"/>
      <c r="C55" s="13"/>
      <c r="D55" s="13"/>
      <c r="F55" s="25"/>
      <c r="G55" s="110"/>
      <c r="H55" s="106"/>
      <c r="I55" s="106"/>
      <c r="J55" s="106"/>
      <c r="K55" s="25"/>
      <c r="L55" s="83" t="s">
        <v>191</v>
      </c>
      <c r="M55" s="84" t="s">
        <v>645</v>
      </c>
      <c r="W55" s="83" t="s">
        <v>191</v>
      </c>
      <c r="X55" s="118" t="s">
        <v>646</v>
      </c>
    </row>
    <row r="56" spans="2:30" ht="16.5" customHeight="1">
      <c r="B56" s="13"/>
      <c r="C56" s="13"/>
      <c r="D56" s="13"/>
      <c r="F56" s="25"/>
      <c r="G56" s="110"/>
      <c r="H56" s="106"/>
      <c r="I56" s="106"/>
      <c r="J56" s="106"/>
      <c r="K56" s="25"/>
      <c r="L56" s="25"/>
    </row>
    <row r="57" spans="2:30" ht="16.5" customHeight="1">
      <c r="B57" s="13"/>
      <c r="C57" s="13"/>
      <c r="D57" s="13"/>
      <c r="G57" s="442" t="s">
        <v>348</v>
      </c>
      <c r="H57" s="442"/>
      <c r="I57" s="442"/>
      <c r="J57" s="442"/>
      <c r="K57" s="442"/>
      <c r="L57" s="442"/>
      <c r="M57" s="442"/>
      <c r="N57" s="442"/>
      <c r="O57" s="442"/>
      <c r="P57" s="442"/>
      <c r="Q57" s="442"/>
      <c r="R57" s="442"/>
      <c r="S57" s="442"/>
      <c r="T57" s="442"/>
      <c r="U57" s="442"/>
      <c r="V57" s="442"/>
      <c r="W57" s="442"/>
      <c r="X57" s="442"/>
      <c r="Y57" s="442"/>
      <c r="Z57" s="442"/>
      <c r="AA57" s="442"/>
      <c r="AB57" s="442"/>
      <c r="AC57" s="442"/>
      <c r="AD57" s="442"/>
    </row>
    <row r="58" spans="2:30" ht="16.5" customHeight="1">
      <c r="B58" s="13"/>
      <c r="C58" s="13"/>
      <c r="D58" s="13"/>
      <c r="F58" s="25"/>
      <c r="G58" s="25"/>
      <c r="H58" s="25"/>
      <c r="I58" s="25"/>
      <c r="J58" s="25"/>
      <c r="K58" s="25"/>
      <c r="L58" s="25"/>
    </row>
    <row r="59" spans="2:30" ht="16.5" customHeight="1">
      <c r="B59" s="13"/>
      <c r="C59" s="13"/>
      <c r="D59" s="13"/>
      <c r="F59" s="292" t="s">
        <v>647</v>
      </c>
      <c r="G59" s="292"/>
      <c r="H59" s="292"/>
      <c r="I59" s="292"/>
      <c r="J59" s="292"/>
      <c r="K59" s="292"/>
      <c r="L59" s="292"/>
      <c r="O59" s="185"/>
    </row>
    <row r="60" spans="2:30" ht="16.5" customHeight="1">
      <c r="B60" s="13"/>
      <c r="C60" s="13"/>
      <c r="D60" s="13"/>
      <c r="F60" s="292"/>
      <c r="G60" s="292"/>
      <c r="H60" s="292"/>
      <c r="I60" s="292"/>
      <c r="J60" s="292"/>
      <c r="K60" s="292"/>
      <c r="L60" s="292"/>
    </row>
    <row r="61" spans="2:30" ht="16.5" customHeight="1">
      <c r="B61" s="13"/>
      <c r="C61" s="13"/>
      <c r="D61" s="13"/>
      <c r="F61" s="32" t="s">
        <v>648</v>
      </c>
      <c r="G61" s="25"/>
      <c r="H61" s="25"/>
      <c r="I61" s="25"/>
      <c r="J61" s="25"/>
      <c r="K61" s="25"/>
      <c r="L61" s="25"/>
    </row>
    <row r="62" spans="2:30" ht="16.5" customHeight="1">
      <c r="B62" s="13"/>
      <c r="C62" s="13"/>
      <c r="D62" s="13"/>
      <c r="F62" s="71" t="str">
        <f>IF(CALC!$M$9="ENABLED","E","D")</f>
        <v>E</v>
      </c>
      <c r="G62" s="449" t="s">
        <v>649</v>
      </c>
      <c r="H62" s="449"/>
      <c r="I62" s="449"/>
      <c r="J62" s="449"/>
      <c r="K62" s="139"/>
      <c r="L62" s="71" t="str">
        <f>IF(CALC!$W$9="ENABLED","E","D")</f>
        <v>E</v>
      </c>
      <c r="M62" s="449" t="s">
        <v>650</v>
      </c>
      <c r="N62" s="449"/>
      <c r="O62" s="449"/>
      <c r="P62" s="449"/>
      <c r="Q62" s="139"/>
      <c r="R62" s="71" t="str">
        <f>IF(CALC!$AG$9="ENABLED","E","D")</f>
        <v>D</v>
      </c>
      <c r="S62" s="449" t="s">
        <v>651</v>
      </c>
      <c r="T62" s="449"/>
      <c r="U62" s="449"/>
      <c r="V62" s="449"/>
      <c r="X62" s="86" t="s">
        <v>458</v>
      </c>
      <c r="Z62" s="39"/>
    </row>
    <row r="63" spans="2:30" ht="16.5" customHeight="1">
      <c r="B63" s="13"/>
      <c r="C63" s="13"/>
      <c r="D63" s="13"/>
      <c r="F63" s="140" t="s">
        <v>652</v>
      </c>
      <c r="G63" s="140" t="s">
        <v>512</v>
      </c>
      <c r="H63" s="138" t="s">
        <v>636</v>
      </c>
      <c r="I63" s="138" t="s">
        <v>363</v>
      </c>
      <c r="J63" s="138" t="s">
        <v>364</v>
      </c>
      <c r="K63" s="139"/>
      <c r="L63" s="140" t="s">
        <v>652</v>
      </c>
      <c r="M63" s="140" t="s">
        <v>512</v>
      </c>
      <c r="N63" s="138" t="s">
        <v>636</v>
      </c>
      <c r="O63" s="138" t="s">
        <v>363</v>
      </c>
      <c r="P63" s="138" t="s">
        <v>364</v>
      </c>
      <c r="Q63" s="139"/>
      <c r="R63" s="140" t="s">
        <v>652</v>
      </c>
      <c r="S63" s="140" t="s">
        <v>512</v>
      </c>
      <c r="T63" s="138" t="s">
        <v>636</v>
      </c>
      <c r="U63" s="138" t="s">
        <v>363</v>
      </c>
      <c r="V63" s="138" t="s">
        <v>364</v>
      </c>
      <c r="W63" s="83" t="s">
        <v>191</v>
      </c>
      <c r="X63" s="84" t="s">
        <v>653</v>
      </c>
      <c r="Z63" s="84"/>
    </row>
    <row r="64" spans="2:30" ht="16.5" customHeight="1">
      <c r="B64" s="13"/>
      <c r="C64" s="13"/>
      <c r="D64" s="13"/>
      <c r="F64" s="206">
        <f>IFERROR(IF(F62="E",G64/CALC!J82,0),0)</f>
        <v>0</v>
      </c>
      <c r="G64" s="207">
        <f>IF(((((J12*J13)*230*J54)-(J32*J33))*H42)&gt;CALC!J82,"NR",((((J12*J13)*230*J54)-(J32*J33))*H42))</f>
        <v>0</v>
      </c>
      <c r="H64" s="208">
        <f>I64*0.81</f>
        <v>5055.5339999999997</v>
      </c>
      <c r="I64" s="208">
        <f>CALC!J86*H54</f>
        <v>6241.4</v>
      </c>
      <c r="J64" s="208">
        <f>CALC!J87*I54</f>
        <v>11106.75</v>
      </c>
      <c r="K64" s="139"/>
      <c r="L64" s="206">
        <f>IFERROR(IF(L62="E",M64/CALC!T82,0),0)</f>
        <v>0</v>
      </c>
      <c r="M64" s="207">
        <f>IF(IF(L62="E",((J12*J13*230*J54)-(J32*J33))*I42,0)&gt;CALC!T82,"NR",IF(L62="E",((J12*J13*230*J54)-(J32*J33))*I42,0))</f>
        <v>0</v>
      </c>
      <c r="N64" s="208">
        <f>IF(L62="E",O64*0.81,0)</f>
        <v>6970.3739999999998</v>
      </c>
      <c r="O64" s="208">
        <f>IF(L62="E",CALC!T86*H54,0)</f>
        <v>8605.4</v>
      </c>
      <c r="P64" s="208">
        <f>IF(L62="E",CALC!T87*I54,0)</f>
        <v>10349.6</v>
      </c>
      <c r="Q64" s="209"/>
      <c r="R64" s="206">
        <f>IFERROR(IF(R62="E",S64/CALC!AD82,0),0)</f>
        <v>0</v>
      </c>
      <c r="S64" s="207">
        <f>IF(IF(R62="E",((J12*J13*230*J54)-(J32*J33))*J42,0)&gt;CALC!AD82,"NR",IF(R62="E",((J12*J13*230*J54)-(J32*J33))*J42,0))</f>
        <v>0</v>
      </c>
      <c r="T64" s="208">
        <f>IF(R62="E",U64*0.81,0)</f>
        <v>0</v>
      </c>
      <c r="U64" s="208">
        <f>IF(R62="E",CALC!AD86*H54,0)</f>
        <v>0</v>
      </c>
      <c r="V64" s="208">
        <f>IF(R62="E",CALC!AD87*I54,0)</f>
        <v>0</v>
      </c>
      <c r="W64" s="83" t="s">
        <v>191</v>
      </c>
      <c r="X64" s="84" t="s">
        <v>654</v>
      </c>
    </row>
    <row r="65" spans="2:26" ht="16.5" customHeight="1">
      <c r="B65" s="13"/>
      <c r="C65" s="13"/>
      <c r="D65" s="13"/>
      <c r="F65" s="234"/>
      <c r="G65" s="233"/>
      <c r="H65" s="214"/>
      <c r="I65" s="214"/>
      <c r="J65" s="214"/>
      <c r="K65" s="139"/>
      <c r="L65" s="231"/>
      <c r="M65" s="233"/>
      <c r="N65" s="214"/>
      <c r="O65" s="214"/>
      <c r="P65" s="214"/>
      <c r="Q65" s="209"/>
      <c r="R65" s="231"/>
      <c r="S65" s="232"/>
      <c r="T65" s="214"/>
      <c r="U65" s="214"/>
      <c r="V65" s="214"/>
      <c r="W65" s="83" t="s">
        <v>191</v>
      </c>
      <c r="X65" s="84" t="s">
        <v>655</v>
      </c>
    </row>
    <row r="66" spans="2:26" ht="16.5" customHeight="1">
      <c r="B66" s="13"/>
      <c r="C66" s="13"/>
      <c r="D66" s="13"/>
      <c r="F66" s="234"/>
      <c r="G66" s="233"/>
      <c r="H66" s="214"/>
      <c r="I66" s="214"/>
      <c r="J66" s="214"/>
      <c r="K66" s="139"/>
      <c r="L66" s="231"/>
      <c r="M66" s="233"/>
      <c r="N66" s="214"/>
      <c r="O66" s="214"/>
      <c r="P66" s="214"/>
      <c r="Q66" s="209"/>
      <c r="R66" s="231"/>
      <c r="S66" s="232"/>
      <c r="T66" s="214"/>
      <c r="U66" s="214"/>
      <c r="V66" s="214"/>
      <c r="W66" s="83"/>
      <c r="X66" s="84"/>
    </row>
    <row r="67" spans="2:26" ht="17.45">
      <c r="F67" s="25"/>
      <c r="G67" s="25"/>
      <c r="H67" s="25"/>
      <c r="I67" s="25"/>
      <c r="J67" s="25"/>
      <c r="K67" s="25"/>
      <c r="L67" s="212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83" t="s">
        <v>191</v>
      </c>
      <c r="X67" s="84" t="s">
        <v>656</v>
      </c>
      <c r="Y67" s="84"/>
      <c r="Z67" s="84"/>
    </row>
    <row r="68" spans="2:26">
      <c r="F68" s="141" t="s">
        <v>657</v>
      </c>
      <c r="G68" s="139"/>
      <c r="H68" s="139"/>
      <c r="I68" s="139"/>
      <c r="J68" s="139"/>
      <c r="K68" s="13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83" t="s">
        <v>191</v>
      </c>
      <c r="X68" s="84" t="s">
        <v>658</v>
      </c>
      <c r="Y68" s="84"/>
    </row>
    <row r="69" spans="2:26">
      <c r="F69" s="443" t="str">
        <f>IF(I70&lt;300,"ERR","OK")</f>
        <v>ERR</v>
      </c>
      <c r="G69" s="444">
        <f>IFERROR(H70/H46,"")</f>
        <v>2.7766875</v>
      </c>
      <c r="H69" s="138" t="s">
        <v>659</v>
      </c>
      <c r="I69" s="138" t="s">
        <v>660</v>
      </c>
      <c r="J69" s="209"/>
      <c r="K69" s="139"/>
      <c r="L69" s="443" t="str">
        <f>IF(L62="E",IF(O70&lt;300,"ERR","OK"),"")</f>
        <v>ERR</v>
      </c>
      <c r="M69" s="444">
        <f>IFERROR(N70/I46,"")</f>
        <v>2.6424510638297876</v>
      </c>
      <c r="N69" s="138" t="s">
        <v>659</v>
      </c>
      <c r="O69" s="138" t="s">
        <v>660</v>
      </c>
      <c r="P69" s="209"/>
      <c r="Q69" s="209"/>
      <c r="R69" s="443" t="str">
        <f>IF(R62="E",IF(U70&lt;300,"ERR","OK"),"")</f>
        <v/>
      </c>
      <c r="S69" s="444" t="str">
        <f>IFERROR(T70/J46,"")</f>
        <v/>
      </c>
      <c r="T69" s="138" t="s">
        <v>659</v>
      </c>
      <c r="U69" s="138" t="s">
        <v>660</v>
      </c>
      <c r="V69" s="209"/>
      <c r="X69" s="84" t="s">
        <v>661</v>
      </c>
      <c r="Z69" s="84"/>
    </row>
    <row r="70" spans="2:26">
      <c r="F70" s="443"/>
      <c r="G70" s="445"/>
      <c r="H70" s="208">
        <f>IF(G64&gt;J64,0,((J64-G64)*J50)/48)</f>
        <v>1388.34375</v>
      </c>
      <c r="I70" s="208">
        <f>IF(H46-H70&lt;0,0,H46-H70)</f>
        <v>0</v>
      </c>
      <c r="J70" s="186" t="s">
        <v>662</v>
      </c>
      <c r="K70" s="139"/>
      <c r="L70" s="443"/>
      <c r="M70" s="445"/>
      <c r="N70" s="208">
        <f>IF(M64&gt;P64,0,((P64-M64)*J50)/47)</f>
        <v>1321.2255319148937</v>
      </c>
      <c r="O70" s="208">
        <f>IF(I46-N70&lt;0,0,I46-N70)</f>
        <v>0</v>
      </c>
      <c r="P70" s="186" t="s">
        <v>662</v>
      </c>
      <c r="Q70" s="209"/>
      <c r="R70" s="443"/>
      <c r="S70" s="445"/>
      <c r="T70" s="208">
        <f>IF(S64&gt;V64,0,((V64-S64)*J50)/48)</f>
        <v>0</v>
      </c>
      <c r="U70" s="208">
        <f>IF(J46-T70&lt;0,0,J46-T70)</f>
        <v>0</v>
      </c>
      <c r="V70" s="186" t="s">
        <v>662</v>
      </c>
      <c r="W70" s="83" t="s">
        <v>191</v>
      </c>
      <c r="X70" s="84" t="s">
        <v>663</v>
      </c>
    </row>
    <row r="71" spans="2:26">
      <c r="F71" s="107"/>
      <c r="G71" s="109"/>
      <c r="H71" s="142"/>
      <c r="I71" s="143"/>
      <c r="J71" s="142"/>
      <c r="K71" s="139"/>
      <c r="L71" s="107"/>
      <c r="M71" s="213"/>
      <c r="N71" s="214"/>
      <c r="O71" s="215"/>
      <c r="P71" s="214"/>
      <c r="Q71" s="209"/>
      <c r="R71" s="107"/>
      <c r="S71" s="213"/>
      <c r="T71" s="214"/>
      <c r="U71" s="215"/>
      <c r="V71" s="214"/>
      <c r="W71" s="83" t="s">
        <v>191</v>
      </c>
      <c r="X71" s="84" t="s">
        <v>664</v>
      </c>
    </row>
    <row r="72" spans="2:26">
      <c r="F72" s="141" t="s">
        <v>665</v>
      </c>
      <c r="G72" s="109"/>
      <c r="H72" s="142"/>
      <c r="I72" s="143"/>
      <c r="J72" s="142"/>
      <c r="K72" s="13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</row>
    <row r="73" spans="2:26" ht="17.45">
      <c r="F73" s="25"/>
      <c r="G73" s="139"/>
      <c r="H73" s="138" t="s">
        <v>632</v>
      </c>
      <c r="I73" s="138" t="s">
        <v>666</v>
      </c>
      <c r="J73" s="139"/>
      <c r="K73" s="25"/>
      <c r="L73" s="209"/>
      <c r="M73" s="209"/>
      <c r="N73" s="138" t="s">
        <v>632</v>
      </c>
      <c r="O73" s="209"/>
      <c r="P73" s="209"/>
      <c r="Q73" s="209"/>
      <c r="R73" s="209"/>
      <c r="S73" s="209"/>
      <c r="T73" s="138" t="s">
        <v>632</v>
      </c>
      <c r="U73" s="209"/>
      <c r="V73" s="209"/>
      <c r="X73" s="117" t="s">
        <v>495</v>
      </c>
    </row>
    <row r="74" spans="2:26">
      <c r="F74" s="443" t="str">
        <f>IF(G64="NR","NR",IF(H76&gt;H70,"OK","ERR"))</f>
        <v>ERR</v>
      </c>
      <c r="G74" s="138" t="s">
        <v>667</v>
      </c>
      <c r="H74" s="210">
        <f>IF(G64="NR",0,IF((((G64-H64)*H50)+((G64-I64)*I50))/54&lt;0,0,(((G64-H64)*H50)+((G64-I64)*I50))/54))</f>
        <v>0</v>
      </c>
      <c r="I74" s="211">
        <f>IFERROR(H74/H76,0)</f>
        <v>0</v>
      </c>
      <c r="J74" s="139"/>
      <c r="K74" s="108"/>
      <c r="L74" s="71" t="str">
        <f>IF(L62="E",IF(M64="NR","NR",IF(N74&gt;N70,"OK","ERR")),"")</f>
        <v>ERR</v>
      </c>
      <c r="M74" s="138" t="s">
        <v>667</v>
      </c>
      <c r="N74" s="210">
        <f>IF(M64="NR",0,IF((((M64-N64)*H50)+((M64-O64)*I50))/54&lt;0,0,(((M64-N64)*H50)+((M64-O64)*I50))/54))</f>
        <v>0</v>
      </c>
      <c r="O74" s="209"/>
      <c r="P74" s="209"/>
      <c r="Q74" s="209"/>
      <c r="R74" s="71" t="str">
        <f>IF(R62="E",IF(S64="NR","NR",IF(T74&gt;T70,"OK","ERR")),"")</f>
        <v/>
      </c>
      <c r="S74" s="138" t="s">
        <v>667</v>
      </c>
      <c r="T74" s="210">
        <f>IF(S64="NR",0,IF((((S64-T64)*H50)+((S64-U64)*I50))/54&lt;0,0,(((S64-T64)*H50)+((S64-U64)*I50))/54))</f>
        <v>0</v>
      </c>
      <c r="U74" s="209"/>
      <c r="V74" s="209"/>
      <c r="W74" s="83" t="s">
        <v>191</v>
      </c>
      <c r="X74" s="84" t="s">
        <v>668</v>
      </c>
    </row>
    <row r="75" spans="2:26" ht="17.45">
      <c r="F75" s="443"/>
      <c r="G75" s="138" t="s">
        <v>542</v>
      </c>
      <c r="H75" s="210">
        <f>IF((J16*J17*J18*J19)/54&lt;0,0,(J16*J17*J18*J19)/54)</f>
        <v>0</v>
      </c>
      <c r="I75" s="211">
        <f>IFERROR(H75/H76,0)</f>
        <v>0</v>
      </c>
      <c r="J75" s="139"/>
      <c r="K75" s="25"/>
      <c r="L75" s="139"/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83" t="s">
        <v>191</v>
      </c>
      <c r="X75" s="84" t="s">
        <v>669</v>
      </c>
    </row>
    <row r="76" spans="2:26" ht="17.45">
      <c r="F76" s="443"/>
      <c r="G76" s="138" t="s">
        <v>670</v>
      </c>
      <c r="H76" s="210">
        <f>SUM(H74:H75)</f>
        <v>0</v>
      </c>
      <c r="I76" s="209"/>
      <c r="J76" s="139"/>
      <c r="K76" s="25"/>
      <c r="L76" s="139"/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83" t="s">
        <v>191</v>
      </c>
      <c r="X76" s="84" t="s">
        <v>671</v>
      </c>
    </row>
    <row r="77" spans="2:26" ht="17.45">
      <c r="F77" s="25"/>
      <c r="G77" s="139"/>
      <c r="H77" s="139"/>
      <c r="I77" s="139"/>
      <c r="J77" s="139"/>
      <c r="K77" s="25"/>
      <c r="L77" s="139"/>
      <c r="M77" s="139"/>
      <c r="N77" s="139"/>
      <c r="O77" s="139"/>
      <c r="P77" s="139"/>
      <c r="Q77" s="139"/>
      <c r="R77" s="139"/>
      <c r="S77" s="139"/>
      <c r="T77" s="139"/>
      <c r="U77" s="139"/>
      <c r="V77" s="139"/>
      <c r="W77" s="83" t="s">
        <v>191</v>
      </c>
      <c r="X77" s="84" t="s">
        <v>672</v>
      </c>
    </row>
    <row r="78" spans="2:26" ht="15" customHeight="1">
      <c r="F78" s="25"/>
      <c r="G78" s="446">
        <f>IF(H76=0,0,100%-((H70/H76)*100%))</f>
        <v>0</v>
      </c>
      <c r="H78" s="448" t="str">
        <f>IF(F62="E",IF(G78&lt;=0%,"NOT ENOUGH POWER",IF(G64="NR","","RECHARGE RISK INDICATOR")),"")</f>
        <v>NOT ENOUGH POWER</v>
      </c>
      <c r="I78" s="448"/>
      <c r="J78" s="25"/>
      <c r="K78" s="25"/>
      <c r="L78" s="139"/>
      <c r="M78" s="446">
        <f>IF(L62="D","",IF(N74=0,0,100%-((N70/N74)*100%)))</f>
        <v>0</v>
      </c>
      <c r="N78" s="447" t="str">
        <f>IF(L62="E",IF(M78&lt;=0%,"NOT ENOUGH POWER",IF(M64="NR","","RECHARGE RISK INDICATOR")),"")</f>
        <v>NOT ENOUGH POWER</v>
      </c>
      <c r="O78" s="447"/>
      <c r="P78" s="139"/>
      <c r="Q78" s="139"/>
      <c r="R78" s="139"/>
      <c r="S78" s="446" t="str">
        <f>IF(R62="D","",IF(T74=0,0,100%-((T70/T74)*100%)))</f>
        <v/>
      </c>
      <c r="T78" s="447" t="str">
        <f>IF(R62="E",IF(S78&lt;=0%,"NOT ENOUGH POWER",IF(S64="NR","","RECHARGE RISK INDICATOR")),"")</f>
        <v/>
      </c>
      <c r="U78" s="447"/>
      <c r="V78" s="139"/>
      <c r="X78" s="84" t="s">
        <v>673</v>
      </c>
    </row>
    <row r="79" spans="2:26" ht="17.45">
      <c r="F79" s="25"/>
      <c r="G79" s="446"/>
      <c r="H79" s="448"/>
      <c r="I79" s="448"/>
      <c r="J79" s="25"/>
      <c r="K79" s="25"/>
      <c r="L79" s="139"/>
      <c r="M79" s="446"/>
      <c r="N79" s="447"/>
      <c r="O79" s="447"/>
      <c r="P79" s="139"/>
      <c r="Q79" s="139"/>
      <c r="R79" s="139"/>
      <c r="S79" s="446"/>
      <c r="T79" s="447"/>
      <c r="U79" s="447"/>
      <c r="V79" s="139"/>
      <c r="X79" s="187"/>
    </row>
    <row r="80" spans="2:26" ht="17.45">
      <c r="F80" s="25"/>
      <c r="G80" s="25"/>
      <c r="H80" s="25"/>
      <c r="I80" s="25"/>
      <c r="J80" s="25"/>
      <c r="K80" s="25"/>
      <c r="L80" s="139"/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83" t="s">
        <v>191</v>
      </c>
      <c r="X80" s="84" t="s">
        <v>674</v>
      </c>
      <c r="Y80" s="84" t="s">
        <v>675</v>
      </c>
    </row>
    <row r="81" spans="6:33">
      <c r="F81" s="141" t="s">
        <v>676</v>
      </c>
      <c r="G81" s="139"/>
      <c r="H81" s="139"/>
      <c r="I81" s="139"/>
      <c r="J81" s="139"/>
      <c r="K81" s="139"/>
      <c r="W81" s="83" t="s">
        <v>191</v>
      </c>
      <c r="X81" s="84" t="s">
        <v>677</v>
      </c>
      <c r="Y81" s="84" t="s">
        <v>678</v>
      </c>
    </row>
    <row r="82" spans="6:33">
      <c r="F82" s="141"/>
      <c r="G82" s="397" t="s">
        <v>679</v>
      </c>
      <c r="H82" s="397"/>
      <c r="I82" s="397"/>
      <c r="J82" s="216">
        <f>J12</f>
        <v>0</v>
      </c>
      <c r="K82" s="139"/>
      <c r="W82" s="83" t="s">
        <v>191</v>
      </c>
      <c r="X82" s="84" t="s">
        <v>680</v>
      </c>
      <c r="Y82" s="84" t="s">
        <v>681</v>
      </c>
    </row>
    <row r="83" spans="6:33">
      <c r="F83" s="141"/>
      <c r="G83" s="148"/>
      <c r="H83" s="148"/>
      <c r="I83" s="148"/>
      <c r="J83" s="217"/>
      <c r="K83" s="139"/>
      <c r="M83" s="187"/>
    </row>
    <row r="84" spans="6:33">
      <c r="F84" s="443" t="str">
        <f>IF(J88&gt;J82,"ERR","OK")</f>
        <v>OK</v>
      </c>
      <c r="G84" s="397" t="s">
        <v>682</v>
      </c>
      <c r="H84" s="397"/>
      <c r="I84" s="397"/>
      <c r="J84" s="218" t="str">
        <f>IFERROR(IF(G64="NR",(CALC!J82/230)/J13,(G64/230)/J13),"")</f>
        <v/>
      </c>
      <c r="K84" s="139"/>
      <c r="M84" s="187"/>
    </row>
    <row r="85" spans="6:33">
      <c r="F85" s="443"/>
      <c r="G85" s="397" t="s">
        <v>683</v>
      </c>
      <c r="H85" s="397"/>
      <c r="I85" s="397"/>
      <c r="J85" s="218" t="str">
        <f>IFERROR(IF(M64="NR",(CALC!T82/230)/J13,(M64/230)/J13),"")</f>
        <v/>
      </c>
      <c r="K85" s="139"/>
    </row>
    <row r="86" spans="6:33">
      <c r="F86" s="443"/>
      <c r="G86" s="397" t="s">
        <v>684</v>
      </c>
      <c r="H86" s="397"/>
      <c r="I86" s="397"/>
      <c r="J86" s="218" t="str">
        <f>IFERROR(IF(S64="NR",(CALC!AD82/230)/J13,(S64/230)/J13),"")</f>
        <v/>
      </c>
      <c r="K86" s="139"/>
    </row>
    <row r="87" spans="6:33">
      <c r="F87" s="443"/>
      <c r="G87" s="397" t="s">
        <v>685</v>
      </c>
      <c r="H87" s="397"/>
      <c r="I87" s="397"/>
      <c r="J87" s="218">
        <f>IFERROR(((J32*J33)/230)/J33,"")</f>
        <v>0</v>
      </c>
      <c r="K87" s="139"/>
    </row>
    <row r="88" spans="6:33">
      <c r="F88" s="443"/>
      <c r="G88" s="397" t="s">
        <v>686</v>
      </c>
      <c r="H88" s="397"/>
      <c r="I88" s="397"/>
      <c r="J88" s="218">
        <f>IFERROR(SUM(J84:J87),"")</f>
        <v>0</v>
      </c>
      <c r="K88" s="139"/>
    </row>
    <row r="91" spans="6:33">
      <c r="G91" s="442" t="s">
        <v>348</v>
      </c>
      <c r="H91" s="442"/>
      <c r="I91" s="442"/>
      <c r="J91" s="442"/>
      <c r="K91" s="442"/>
      <c r="L91" s="442"/>
      <c r="M91" s="442"/>
      <c r="N91" s="442"/>
      <c r="O91" s="442"/>
      <c r="P91" s="442"/>
      <c r="Q91" s="442"/>
      <c r="R91" s="442"/>
      <c r="S91" s="442"/>
      <c r="T91" s="442"/>
      <c r="U91" s="442"/>
      <c r="V91" s="442"/>
      <c r="W91" s="442"/>
      <c r="X91" s="442"/>
      <c r="Y91" s="442"/>
      <c r="Z91" s="442"/>
      <c r="AA91" s="442"/>
      <c r="AB91" s="442"/>
      <c r="AC91" s="442"/>
      <c r="AD91" s="442"/>
      <c r="AG91" s="113"/>
    </row>
    <row r="93" spans="6:33">
      <c r="F93" s="292" t="s">
        <v>687</v>
      </c>
      <c r="G93" s="292"/>
      <c r="H93" s="292"/>
      <c r="I93" s="292"/>
      <c r="J93" s="292"/>
      <c r="K93" s="292"/>
      <c r="L93" s="292"/>
    </row>
    <row r="94" spans="6:33">
      <c r="F94" s="292"/>
      <c r="G94" s="292"/>
      <c r="H94" s="292"/>
      <c r="I94" s="292"/>
      <c r="J94" s="292"/>
      <c r="K94" s="292"/>
      <c r="L94" s="292"/>
      <c r="X94" s="117" t="s">
        <v>495</v>
      </c>
    </row>
    <row r="95" spans="6:33">
      <c r="F95" s="26"/>
      <c r="G95" s="401" t="s">
        <v>352</v>
      </c>
      <c r="H95" s="402"/>
      <c r="I95" s="403"/>
      <c r="J95" s="153" t="s">
        <v>512</v>
      </c>
      <c r="L95" s="26"/>
      <c r="M95" s="401" t="s">
        <v>356</v>
      </c>
      <c r="N95" s="402"/>
      <c r="O95" s="403"/>
      <c r="P95" s="153" t="s">
        <v>512</v>
      </c>
      <c r="R95" s="26"/>
      <c r="S95" s="401" t="s">
        <v>357</v>
      </c>
      <c r="T95" s="402"/>
      <c r="U95" s="403"/>
      <c r="V95" s="153" t="s">
        <v>512</v>
      </c>
      <c r="W95" s="83" t="s">
        <v>191</v>
      </c>
      <c r="X95" s="84" t="s">
        <v>688</v>
      </c>
    </row>
    <row r="96" spans="6:33">
      <c r="F96" s="26"/>
      <c r="G96" s="397" t="s">
        <v>689</v>
      </c>
      <c r="H96" s="397"/>
      <c r="I96" s="397"/>
      <c r="J96" s="218">
        <f>IF(G64="NR","NR",IF(ISNUMBER(SEARCH("VERTIV",CALC!J61))=TRUE,(G64/230)/CALC!H67,"NA"))</f>
        <v>0</v>
      </c>
      <c r="K96" s="139"/>
      <c r="L96" s="26"/>
      <c r="M96" s="397" t="s">
        <v>689</v>
      </c>
      <c r="N96" s="397"/>
      <c r="O96" s="397"/>
      <c r="P96" s="218" t="str">
        <f>IF(M64=0,"NR",IF(ISNUMBER(SEARCH("VERTIV",CALC!T61))=TRUE,(M64/230)/CALC!R67,"NA"))</f>
        <v>NR</v>
      </c>
      <c r="Q96" s="139"/>
      <c r="R96" s="26"/>
      <c r="S96" s="397" t="s">
        <v>689</v>
      </c>
      <c r="T96" s="397"/>
      <c r="U96" s="397"/>
      <c r="V96" s="218" t="str">
        <f>IF(S64=0,"NR",IF(ISNUMBER(SEARCH("VERTIV",CALC!AD61))=TRUE,(S64/230)/CALC!AB67,"NA"))</f>
        <v>NR</v>
      </c>
      <c r="W96" s="83"/>
      <c r="X96" s="84" t="s">
        <v>690</v>
      </c>
    </row>
    <row r="97" spans="6:32">
      <c r="F97" s="26"/>
      <c r="G97" s="397" t="s">
        <v>691</v>
      </c>
      <c r="H97" s="397"/>
      <c r="I97" s="397"/>
      <c r="J97" s="216" t="str">
        <f>IF(G78="NR","NR",IF(ISNUMBER(SEARCH("ELTEK",CALC!J61))=TRUE,G64/53.5,"NA"))</f>
        <v>NA</v>
      </c>
      <c r="K97" s="139"/>
      <c r="L97" s="26"/>
      <c r="M97" s="397" t="s">
        <v>691</v>
      </c>
      <c r="N97" s="397"/>
      <c r="O97" s="397"/>
      <c r="P97" s="216" t="str">
        <f>IF(M64=0,"NR",IF(ISNUMBER(SEARCH("ELTEK",CALC!T61))=TRUE,M64/53.5,"NA"))</f>
        <v>NR</v>
      </c>
      <c r="Q97" s="139"/>
      <c r="R97" s="26"/>
      <c r="S97" s="397" t="s">
        <v>691</v>
      </c>
      <c r="T97" s="397"/>
      <c r="U97" s="397"/>
      <c r="V97" s="216" t="str">
        <f>IF(S64=0,"NR",IF(ISNUMBER(SEARCH("ELTEK",CALC!AD61))=TRUE,S64/53.5,"NA"))</f>
        <v>NR</v>
      </c>
      <c r="X97" s="84" t="s">
        <v>692</v>
      </c>
    </row>
    <row r="98" spans="6:32">
      <c r="W98" s="83" t="s">
        <v>191</v>
      </c>
      <c r="X98" s="84" t="s">
        <v>693</v>
      </c>
    </row>
    <row r="99" spans="6:32">
      <c r="J99" s="139"/>
      <c r="K99" s="139"/>
      <c r="L99" s="139"/>
      <c r="Q99" s="139"/>
      <c r="R99" s="139"/>
    </row>
    <row r="100" spans="6:32">
      <c r="X100" s="86" t="s">
        <v>694</v>
      </c>
    </row>
    <row r="101" spans="6:32">
      <c r="W101" s="83" t="s">
        <v>191</v>
      </c>
      <c r="X101" s="84" t="s">
        <v>695</v>
      </c>
    </row>
    <row r="102" spans="6:32">
      <c r="W102" s="83" t="s">
        <v>191</v>
      </c>
      <c r="X102" s="84" t="s">
        <v>696</v>
      </c>
    </row>
    <row r="103" spans="6:32">
      <c r="F103" s="83"/>
      <c r="G103" s="84"/>
    </row>
    <row r="104" spans="6:32">
      <c r="F104" s="83"/>
      <c r="G104" s="84"/>
    </row>
    <row r="105" spans="6:32">
      <c r="G105" s="84"/>
    </row>
    <row r="106" spans="6:32">
      <c r="F106" s="83"/>
      <c r="G106" s="84"/>
      <c r="AF106" s="113"/>
    </row>
    <row r="112" spans="6:32">
      <c r="Q112" t="s">
        <v>347</v>
      </c>
    </row>
    <row r="113" spans="7:31">
      <c r="G113" s="442" t="s">
        <v>348</v>
      </c>
      <c r="H113" s="442"/>
      <c r="I113" s="442"/>
      <c r="J113" s="442"/>
      <c r="K113" s="442"/>
      <c r="L113" s="442"/>
      <c r="M113" s="442"/>
      <c r="N113" s="442"/>
      <c r="O113" s="442"/>
      <c r="P113" s="442"/>
      <c r="Q113" s="442"/>
      <c r="R113" s="442"/>
      <c r="S113" s="442"/>
      <c r="T113" s="442"/>
      <c r="U113" s="442"/>
      <c r="V113" s="442"/>
      <c r="W113" s="442"/>
      <c r="X113" s="442"/>
      <c r="Y113" s="442"/>
      <c r="Z113" s="442"/>
      <c r="AA113" s="442"/>
      <c r="AB113" s="442"/>
      <c r="AC113" s="442"/>
      <c r="AD113" s="442"/>
    </row>
    <row r="114" spans="7:31">
      <c r="AE114" s="113"/>
    </row>
  </sheetData>
  <mergeCells count="83">
    <mergeCell ref="G12:I12"/>
    <mergeCell ref="G13:I13"/>
    <mergeCell ref="G10:I10"/>
    <mergeCell ref="B20:D20"/>
    <mergeCell ref="B26:D26"/>
    <mergeCell ref="B12:D12"/>
    <mergeCell ref="B13:D13"/>
    <mergeCell ref="B14:D14"/>
    <mergeCell ref="B15:D15"/>
    <mergeCell ref="B16:D16"/>
    <mergeCell ref="G18:I18"/>
    <mergeCell ref="B17:D17"/>
    <mergeCell ref="B18:D18"/>
    <mergeCell ref="B19:D19"/>
    <mergeCell ref="G19:I19"/>
    <mergeCell ref="G16:I16"/>
    <mergeCell ref="F2:P4"/>
    <mergeCell ref="Q2:T4"/>
    <mergeCell ref="B9:D9"/>
    <mergeCell ref="B10:D10"/>
    <mergeCell ref="B11:D11"/>
    <mergeCell ref="F7:L8"/>
    <mergeCell ref="G53:G54"/>
    <mergeCell ref="G57:AD57"/>
    <mergeCell ref="B32:D32"/>
    <mergeCell ref="B27:D27"/>
    <mergeCell ref="B28:D28"/>
    <mergeCell ref="B29:D29"/>
    <mergeCell ref="B30:D30"/>
    <mergeCell ref="B31:D31"/>
    <mergeCell ref="S62:V62"/>
    <mergeCell ref="M62:P62"/>
    <mergeCell ref="L69:L70"/>
    <mergeCell ref="G69:G70"/>
    <mergeCell ref="G17:I17"/>
    <mergeCell ref="G62:J62"/>
    <mergeCell ref="F59:L60"/>
    <mergeCell ref="G32:I32"/>
    <mergeCell ref="G33:I33"/>
    <mergeCell ref="F38:L39"/>
    <mergeCell ref="G36:AD36"/>
    <mergeCell ref="G45:G46"/>
    <mergeCell ref="G27:AD27"/>
    <mergeCell ref="F41:F42"/>
    <mergeCell ref="G49:G50"/>
    <mergeCell ref="F29:L30"/>
    <mergeCell ref="T78:U79"/>
    <mergeCell ref="G84:I84"/>
    <mergeCell ref="G87:I87"/>
    <mergeCell ref="G82:I82"/>
    <mergeCell ref="N78:O79"/>
    <mergeCell ref="M78:M79"/>
    <mergeCell ref="G78:G79"/>
    <mergeCell ref="H78:I79"/>
    <mergeCell ref="F69:F70"/>
    <mergeCell ref="F84:F88"/>
    <mergeCell ref="S69:S70"/>
    <mergeCell ref="G85:I85"/>
    <mergeCell ref="G88:I88"/>
    <mergeCell ref="S78:S79"/>
    <mergeCell ref="M69:M70"/>
    <mergeCell ref="F74:F76"/>
    <mergeCell ref="G86:I86"/>
    <mergeCell ref="R69:R70"/>
    <mergeCell ref="G113:AD113"/>
    <mergeCell ref="G97:I97"/>
    <mergeCell ref="S96:U96"/>
    <mergeCell ref="G96:I96"/>
    <mergeCell ref="S97:U97"/>
    <mergeCell ref="S95:U95"/>
    <mergeCell ref="G91:AD91"/>
    <mergeCell ref="M95:O95"/>
    <mergeCell ref="M96:O96"/>
    <mergeCell ref="M97:O97"/>
    <mergeCell ref="F93:L94"/>
    <mergeCell ref="G95:I95"/>
    <mergeCell ref="F21:J21"/>
    <mergeCell ref="G23:H23"/>
    <mergeCell ref="G24:H24"/>
    <mergeCell ref="I23:J23"/>
    <mergeCell ref="I24:J24"/>
    <mergeCell ref="I22:J22"/>
    <mergeCell ref="G22:H22"/>
  </mergeCells>
  <conditionalFormatting sqref="F12:F13 F20:F26">
    <cfRule type="cellIs" dxfId="100" priority="116" operator="equal">
      <formula>"ERR1"</formula>
    </cfRule>
    <cfRule type="cellIs" dxfId="99" priority="117" operator="equal">
      <formula>"ERR2"</formula>
    </cfRule>
    <cfRule type="cellIs" dxfId="98" priority="118" operator="equal">
      <formula>"ERR"</formula>
    </cfRule>
    <cfRule type="cellIs" dxfId="97" priority="119" operator="equal">
      <formula>"OK"</formula>
    </cfRule>
  </conditionalFormatting>
  <conditionalFormatting sqref="F32:F33">
    <cfRule type="cellIs" dxfId="96" priority="112" operator="equal">
      <formula>"ERR1"</formula>
    </cfRule>
    <cfRule type="cellIs" dxfId="95" priority="113" operator="equal">
      <formula>"ERR2"</formula>
    </cfRule>
    <cfRule type="cellIs" dxfId="94" priority="114" operator="equal">
      <formula>"ERR"</formula>
    </cfRule>
    <cfRule type="cellIs" dxfId="93" priority="115" operator="equal">
      <formula>"OK"</formula>
    </cfRule>
  </conditionalFormatting>
  <conditionalFormatting sqref="F41">
    <cfRule type="cellIs" dxfId="92" priority="108" operator="equal">
      <formula>"ERR1"</formula>
    </cfRule>
    <cfRule type="cellIs" dxfId="91" priority="109" operator="equal">
      <formula>"ERR2"</formula>
    </cfRule>
    <cfRule type="cellIs" dxfId="90" priority="110" operator="equal">
      <formula>"ERR"</formula>
    </cfRule>
    <cfRule type="cellIs" dxfId="89" priority="111" operator="equal">
      <formula>"OK"</formula>
    </cfRule>
  </conditionalFormatting>
  <conditionalFormatting sqref="F62 R62 L62">
    <cfRule type="cellIs" dxfId="88" priority="104" operator="equal">
      <formula>"ERR1"</formula>
    </cfRule>
    <cfRule type="cellIs" dxfId="87" priority="105" operator="equal">
      <formula>"ERR2"</formula>
    </cfRule>
    <cfRule type="cellIs" dxfId="86" priority="106" operator="equal">
      <formula>"D"</formula>
    </cfRule>
    <cfRule type="cellIs" dxfId="85" priority="107" operator="equal">
      <formula>"E"</formula>
    </cfRule>
  </conditionalFormatting>
  <conditionalFormatting sqref="F16:F19">
    <cfRule type="cellIs" dxfId="84" priority="100" operator="equal">
      <formula>"ERR1"</formula>
    </cfRule>
    <cfRule type="cellIs" dxfId="83" priority="101" operator="equal">
      <formula>"ERR2"</formula>
    </cfRule>
    <cfRule type="cellIs" dxfId="82" priority="102" operator="equal">
      <formula>"ERR"</formula>
    </cfRule>
    <cfRule type="cellIs" dxfId="81" priority="103" operator="equal">
      <formula>"OK"</formula>
    </cfRule>
  </conditionalFormatting>
  <conditionalFormatting sqref="F69">
    <cfRule type="cellIs" dxfId="80" priority="91" operator="equal">
      <formula>"ERR1"</formula>
    </cfRule>
    <cfRule type="cellIs" dxfId="79" priority="92" operator="equal">
      <formula>"ERR2"</formula>
    </cfRule>
    <cfRule type="cellIs" dxfId="78" priority="93" operator="equal">
      <formula>"ERR"</formula>
    </cfRule>
    <cfRule type="cellIs" dxfId="77" priority="94" operator="equal">
      <formula>"OK"</formula>
    </cfRule>
  </conditionalFormatting>
  <conditionalFormatting sqref="L69">
    <cfRule type="cellIs" dxfId="76" priority="87" operator="equal">
      <formula>"ERR1"</formula>
    </cfRule>
    <cfRule type="cellIs" dxfId="75" priority="88" operator="equal">
      <formula>"ERR2"</formula>
    </cfRule>
    <cfRule type="cellIs" dxfId="74" priority="89" operator="equal">
      <formula>"ERR"</formula>
    </cfRule>
    <cfRule type="cellIs" dxfId="73" priority="90" operator="equal">
      <formula>"OK"</formula>
    </cfRule>
  </conditionalFormatting>
  <conditionalFormatting sqref="F74">
    <cfRule type="cellIs" dxfId="72" priority="79" operator="equal">
      <formula>"ERR1"</formula>
    </cfRule>
    <cfRule type="cellIs" dxfId="71" priority="80" operator="equal">
      <formula>"ERR2"</formula>
    </cfRule>
    <cfRule type="cellIs" dxfId="70" priority="81" operator="equal">
      <formula>"ERR"</formula>
    </cfRule>
    <cfRule type="cellIs" dxfId="69" priority="82" operator="equal">
      <formula>"OK"</formula>
    </cfRule>
  </conditionalFormatting>
  <conditionalFormatting sqref="L74">
    <cfRule type="cellIs" dxfId="68" priority="75" operator="equal">
      <formula>"ERR1"</formula>
    </cfRule>
    <cfRule type="cellIs" dxfId="67" priority="76" operator="equal">
      <formula>"ERR2"</formula>
    </cfRule>
    <cfRule type="cellIs" dxfId="66" priority="77" operator="equal">
      <formula>"ERR"</formula>
    </cfRule>
    <cfRule type="cellIs" dxfId="65" priority="78" operator="equal">
      <formula>"OK"</formula>
    </cfRule>
  </conditionalFormatting>
  <conditionalFormatting sqref="R74">
    <cfRule type="cellIs" dxfId="64" priority="67" operator="equal">
      <formula>"ERR1"</formula>
    </cfRule>
    <cfRule type="cellIs" dxfId="63" priority="68" operator="equal">
      <formula>"ERR2"</formula>
    </cfRule>
    <cfRule type="cellIs" dxfId="62" priority="69" operator="equal">
      <formula>"ERR"</formula>
    </cfRule>
    <cfRule type="cellIs" dxfId="61" priority="70" operator="equal">
      <formula>"OK"</formula>
    </cfRule>
  </conditionalFormatting>
  <conditionalFormatting sqref="G78:G79">
    <cfRule type="cellIs" dxfId="60" priority="65" operator="greaterThan">
      <formula>0%</formula>
    </cfRule>
    <cfRule type="cellIs" dxfId="59" priority="66" operator="lessThan">
      <formula>15%</formula>
    </cfRule>
  </conditionalFormatting>
  <conditionalFormatting sqref="F84">
    <cfRule type="cellIs" dxfId="58" priority="57" operator="equal">
      <formula>"ERR1"</formula>
    </cfRule>
    <cfRule type="cellIs" dxfId="57" priority="58" operator="equal">
      <formula>"ERR2"</formula>
    </cfRule>
    <cfRule type="cellIs" dxfId="56" priority="59" operator="equal">
      <formula>"ERR"</formula>
    </cfRule>
    <cfRule type="cellIs" dxfId="55" priority="60" operator="equal">
      <formula>"OK"</formula>
    </cfRule>
  </conditionalFormatting>
  <conditionalFormatting sqref="R69">
    <cfRule type="cellIs" dxfId="54" priority="53" operator="equal">
      <formula>"ERR1"</formula>
    </cfRule>
    <cfRule type="cellIs" dxfId="53" priority="54" operator="equal">
      <formula>"ERR2"</formula>
    </cfRule>
    <cfRule type="cellIs" dxfId="52" priority="55" operator="equal">
      <formula>"ERR"</formula>
    </cfRule>
    <cfRule type="cellIs" dxfId="51" priority="56" operator="equal">
      <formula>"OK"</formula>
    </cfRule>
  </conditionalFormatting>
  <conditionalFormatting sqref="S78:S79">
    <cfRule type="cellIs" dxfId="50" priority="3" operator="equal">
      <formula>""</formula>
    </cfRule>
    <cfRule type="cellIs" dxfId="49" priority="47" operator="greaterThan">
      <formula>0%</formula>
    </cfRule>
    <cfRule type="cellIs" dxfId="48" priority="48" operator="lessThan">
      <formula>15%</formula>
    </cfRule>
  </conditionalFormatting>
  <conditionalFormatting sqref="F10">
    <cfRule type="cellIs" dxfId="47" priority="32" operator="equal">
      <formula>"ERR1"</formula>
    </cfRule>
    <cfRule type="cellIs" dxfId="46" priority="33" operator="equal">
      <formula>"ERR2"</formula>
    </cfRule>
    <cfRule type="cellIs" dxfId="45" priority="34" operator="equal">
      <formula>"D"</formula>
    </cfRule>
    <cfRule type="cellIs" dxfId="44" priority="35" operator="equal">
      <formula>"E"</formula>
    </cfRule>
  </conditionalFormatting>
  <conditionalFormatting sqref="M78:M79">
    <cfRule type="cellIs" dxfId="43" priority="2" operator="equal">
      <formula>""</formula>
    </cfRule>
    <cfRule type="cellIs" dxfId="42" priority="24" operator="greaterThan">
      <formula>0%</formula>
    </cfRule>
    <cfRule type="cellIs" dxfId="41" priority="25" operator="lessThan">
      <formula>15%</formula>
    </cfRule>
  </conditionalFormatting>
  <conditionalFormatting sqref="F64:F66">
    <cfRule type="cellIs" dxfId="40" priority="11" operator="between">
      <formula>1%</formula>
      <formula>30%</formula>
    </cfRule>
    <cfRule type="cellIs" dxfId="39" priority="22" operator="greaterThan">
      <formula>90%</formula>
    </cfRule>
    <cfRule type="cellIs" dxfId="38" priority="23" operator="between">
      <formula>30%</formula>
      <formula>90%</formula>
    </cfRule>
  </conditionalFormatting>
  <conditionalFormatting sqref="L64:L66">
    <cfRule type="cellIs" dxfId="37" priority="8" operator="between">
      <formula>1%</formula>
      <formula>30%</formula>
    </cfRule>
    <cfRule type="cellIs" dxfId="36" priority="9" operator="greaterThan">
      <formula>90%</formula>
    </cfRule>
    <cfRule type="cellIs" dxfId="35" priority="10" operator="between">
      <formula>30%</formula>
      <formula>90%</formula>
    </cfRule>
  </conditionalFormatting>
  <conditionalFormatting sqref="R64:R66">
    <cfRule type="cellIs" dxfId="34" priority="5" operator="between">
      <formula>1%</formula>
      <formula>30%</formula>
    </cfRule>
    <cfRule type="cellIs" dxfId="33" priority="6" operator="greaterThan">
      <formula>90%</formula>
    </cfRule>
    <cfRule type="cellIs" dxfId="32" priority="7" operator="between">
      <formula>30%</formula>
      <formula>90%</formula>
    </cfRule>
  </conditionalFormatting>
  <conditionalFormatting sqref="S64:S66">
    <cfRule type="cellIs" dxfId="31" priority="4" operator="equal">
      <formula>0</formula>
    </cfRule>
  </conditionalFormatting>
  <conditionalFormatting sqref="I22:J24">
    <cfRule type="notContainsBlanks" dxfId="30" priority="1">
      <formula>LEN(TRIM(I22))&gt;0</formula>
    </cfRule>
  </conditionalFormatting>
  <dataValidations count="3">
    <dataValidation type="list" allowBlank="1" showInputMessage="1" showErrorMessage="1" sqref="J32" xr:uid="{0188AADB-C4CE-43DC-9A01-4AB3EDC7BD38}">
      <formula1>LIST_INRUSHCURRENT</formula1>
    </dataValidation>
    <dataValidation type="list" allowBlank="1" showInputMessage="1" showErrorMessage="1" sqref="J10" xr:uid="{A844D479-E873-4C33-A813-2BCE1850370E}">
      <formula1>DLIST_YN</formula1>
    </dataValidation>
    <dataValidation type="list" allowBlank="1" showInputMessage="1" showErrorMessage="1" sqref="I24:J24" xr:uid="{4F5DE925-9B24-4938-98BA-2E07A6526B5B}">
      <formula1>Yes</formula1>
    </dataValidation>
  </dataValidations>
  <hyperlinks>
    <hyperlink ref="B10" location="'DASH'!A1" display="DASHBOARD" xr:uid="{9FEE255B-31CB-401E-8BCE-EA284C312131}"/>
    <hyperlink ref="B11" location="'DES-GL'!A1" display="DESIGN GUIDELINES" xr:uid="{0DECB1F5-8741-4D37-B936-3894DABB3D60}"/>
    <hyperlink ref="B13" location="'EXT-MAINS-DT'!A1" display="EXISTING POWER DESIGN" xr:uid="{64D397D3-569A-4091-95E1-BC05CB76415C}"/>
    <hyperlink ref="B14" location="'EXT-CALC'!A1" display="EXISTING DEMAND" xr:uid="{7993D8A4-CBB1-45AE-A6D3-1CF00EC138E4}"/>
    <hyperlink ref="B16" location="'CALC'!A1" display="POWER CALCULATOR" xr:uid="{96FC6EF1-7C96-4C27-AB48-656D7BE8D5AE}"/>
    <hyperlink ref="B17" location="'PLBC-CALC'!A1" display="PLBC CALCULATOR" xr:uid="{85F4CAC8-D032-4E42-9657-64B1792352FB}"/>
    <hyperlink ref="B18" location="'VDC'!A1" display="VD CALCULATOR" xr:uid="{16DEEEF7-C28F-4CD9-B3B1-FA3F57670042}"/>
    <hyperlink ref="B20" location="'PRP-SOL'!A1" display="PROPOSED POWER DESIGN" xr:uid="{7EFD9DB5-4A75-4AEC-8D23-DFCE127925C3}"/>
    <hyperlink ref="B25" location="'DC'!A1" display="DOCUMENT CONTROL" xr:uid="{08FDDBE3-3A93-4189-81B7-B8E2373FD51A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0" r:id="rId4" name="Button 14">
              <controlPr defaultSize="0" print="0" autoFill="0" autoPict="0" macro="[0]!ReturntoTop">
                <anchor moveWithCells="1">
                  <from>
                    <xdr:col>15</xdr:col>
                    <xdr:colOff>403860</xdr:colOff>
                    <xdr:row>113</xdr:row>
                    <xdr:rowOff>38100</xdr:rowOff>
                  </from>
                  <to>
                    <xdr:col>17</xdr:col>
                    <xdr:colOff>289560</xdr:colOff>
                    <xdr:row>114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5" name="Button 51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6</xdr:row>
                    <xdr:rowOff>114300</xdr:rowOff>
                  </from>
                  <to>
                    <xdr:col>4</xdr:col>
                    <xdr:colOff>297180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6" name="Button 52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6</xdr:row>
                    <xdr:rowOff>114300</xdr:rowOff>
                  </from>
                  <to>
                    <xdr:col>4</xdr:col>
                    <xdr:colOff>556260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7" name="Button 53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37</xdr:row>
                    <xdr:rowOff>114300</xdr:rowOff>
                  </from>
                  <to>
                    <xdr:col>4</xdr:col>
                    <xdr:colOff>297180</xdr:colOff>
                    <xdr:row>38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8" name="Button 54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37</xdr:row>
                    <xdr:rowOff>114300</xdr:rowOff>
                  </from>
                  <to>
                    <xdr:col>4</xdr:col>
                    <xdr:colOff>556260</xdr:colOff>
                    <xdr:row>38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9" name="Button 55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58</xdr:row>
                    <xdr:rowOff>114300</xdr:rowOff>
                  </from>
                  <to>
                    <xdr:col>4</xdr:col>
                    <xdr:colOff>297180</xdr:colOff>
                    <xdr:row>59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10" name="Button 56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58</xdr:row>
                    <xdr:rowOff>114300</xdr:rowOff>
                  </from>
                  <to>
                    <xdr:col>4</xdr:col>
                    <xdr:colOff>556260</xdr:colOff>
                    <xdr:row>59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11" name="Button 57">
              <controlPr defaultSize="0" print="0" autoFill="0" autoPict="0" macro="[0]!ReturntoTop">
                <anchor moveWithCells="1">
                  <from>
                    <xdr:col>4</xdr:col>
                    <xdr:colOff>68580</xdr:colOff>
                    <xdr:row>92</xdr:row>
                    <xdr:rowOff>114300</xdr:rowOff>
                  </from>
                  <to>
                    <xdr:col>4</xdr:col>
                    <xdr:colOff>297180</xdr:colOff>
                    <xdr:row>93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12" name="Button 58">
              <controlPr defaultSize="0" print="0" autoFill="0" autoPict="0" macro="[0]!GotoBottom">
                <anchor moveWithCells="1">
                  <from>
                    <xdr:col>4</xdr:col>
                    <xdr:colOff>327660</xdr:colOff>
                    <xdr:row>92</xdr:row>
                    <xdr:rowOff>114300</xdr:rowOff>
                  </from>
                  <to>
                    <xdr:col>4</xdr:col>
                    <xdr:colOff>556260</xdr:colOff>
                    <xdr:row>93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" operator="containsText" id="{5705B3B9-33BE-459D-BE9E-E305A0DDAAAE}">
            <xm:f>NOT(ISERROR(SEARCH(CALC!$M$9="ENABLED",H41)))</xm:f>
            <xm:f>CALC!$M$9="ENABLED"</xm:f>
            <x14:dxf>
              <fill>
                <patternFill>
                  <bgColor theme="9" tint="0.79998168889431442"/>
                </patternFill>
              </fill>
            </x14:dxf>
          </x14:cfRule>
          <xm:sqref>H41</xm:sqref>
        </x14:conditionalFormatting>
        <x14:conditionalFormatting xmlns:xm="http://schemas.microsoft.com/office/excel/2006/main">
          <x14:cfRule type="containsText" priority="27" operator="containsText" id="{2CC5A7EE-1DD3-4DC2-A3C3-BF9294131F9F}">
            <xm:f>NOT(ISERROR(SEARCH(CALC!$M$9="ENABLED",H53)))</xm:f>
            <xm:f>CALC!$M$9="ENABLED"</xm:f>
            <x14:dxf>
              <fill>
                <patternFill>
                  <bgColor theme="9" tint="0.79998168889431442"/>
                </patternFill>
              </fill>
            </x14:dxf>
          </x14:cfRule>
          <xm:sqref>H53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08F9D6-CBD1-4198-8F44-71B0F17D9311}">
          <x14:formula1>
            <xm:f>CFGPWR!$I$10:$I$13</xm:f>
          </x14:formula1>
          <xm:sqref>J33</xm:sqref>
        </x14:dataValidation>
        <x14:dataValidation type="list" allowBlank="1" showInputMessage="1" showErrorMessage="1" xr:uid="{0D8C1EAC-F8B6-40E2-AF66-A1D5464D47DD}">
          <x14:formula1>
            <xm:f>CFGPWR!$I$10:$I$12</xm:f>
          </x14:formula1>
          <xm:sqref>J13</xm:sqref>
        </x14:dataValidation>
        <x14:dataValidation type="list" allowBlank="1" showInputMessage="1" showErrorMessage="1" xr:uid="{1B7DD268-B84E-4332-A0DA-1CDE6A7B71C9}">
          <x14:formula1>
            <xm:f>CFGPWR!$AA$10:$AA$11</xm:f>
          </x14:formula1>
          <xm:sqref>I22:J22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0452-689E-4FAB-906B-A5F5B0896FFC}">
  <sheetPr codeName="Sheet45">
    <tabColor rgb="FF00A3AD"/>
  </sheetPr>
  <dimension ref="B1:BD64"/>
  <sheetViews>
    <sheetView showGridLines="0" topLeftCell="B17" zoomScaleNormal="100" workbookViewId="0">
      <selection activeCell="B25" sqref="B25:D25"/>
    </sheetView>
  </sheetViews>
  <sheetFormatPr defaultRowHeight="14.45"/>
  <cols>
    <col min="1" max="1" width="0" hidden="1" customWidth="1"/>
    <col min="2" max="4" width="9.28515625" style="1"/>
    <col min="6" max="6" width="5" customWidth="1"/>
    <col min="9" max="9" width="7.28515625" customWidth="1"/>
    <col min="10" max="48" width="7.28515625" style="17" customWidth="1"/>
  </cols>
  <sheetData>
    <row r="1" spans="2:20" ht="16.5" hidden="1" customHeight="1"/>
    <row r="2" spans="2:20" ht="16.5" customHeight="1">
      <c r="F2" s="287" t="s">
        <v>173</v>
      </c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454"/>
      <c r="R2" s="454"/>
      <c r="S2" s="454"/>
      <c r="T2" s="454"/>
    </row>
    <row r="3" spans="2:20" ht="16.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454"/>
      <c r="R3" s="454"/>
      <c r="S3" s="454"/>
      <c r="T3" s="454"/>
    </row>
    <row r="4" spans="2:20" ht="16.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454"/>
      <c r="R4" s="454"/>
      <c r="S4" s="454"/>
      <c r="T4" s="454"/>
    </row>
    <row r="5" spans="2:20" ht="16.5" customHeight="1">
      <c r="F5" s="219" t="s">
        <v>697</v>
      </c>
    </row>
    <row r="6" spans="2:20" ht="16.5" customHeight="1"/>
    <row r="7" spans="2:20" ht="16.5" customHeight="1">
      <c r="C7" s="2" t="s">
        <v>152</v>
      </c>
      <c r="D7" s="12">
        <f>DCVer</f>
        <v>12.7</v>
      </c>
      <c r="F7" s="292" t="s">
        <v>698</v>
      </c>
      <c r="G7" s="292"/>
      <c r="H7" s="292"/>
      <c r="I7" s="292"/>
      <c r="J7" s="292"/>
      <c r="K7" s="292"/>
      <c r="L7" s="292"/>
    </row>
    <row r="8" spans="2:20" ht="16.5" customHeight="1">
      <c r="F8" s="292"/>
      <c r="G8" s="292"/>
      <c r="H8" s="292"/>
      <c r="I8" s="292"/>
      <c r="J8" s="292"/>
      <c r="K8" s="292"/>
      <c r="L8" s="292"/>
    </row>
    <row r="9" spans="2:20" ht="16.5" customHeight="1">
      <c r="B9" s="285"/>
      <c r="C9" s="285"/>
      <c r="D9" s="285"/>
      <c r="F9" s="32" t="s">
        <v>699</v>
      </c>
      <c r="M9"/>
      <c r="N9" s="117" t="s">
        <v>495</v>
      </c>
    </row>
    <row r="10" spans="2:20" ht="16.5" customHeight="1">
      <c r="B10" s="285" t="s">
        <v>151</v>
      </c>
      <c r="C10" s="285"/>
      <c r="D10" s="285"/>
      <c r="F10" s="51"/>
      <c r="G10" s="434" t="s">
        <v>700</v>
      </c>
      <c r="H10" s="435"/>
      <c r="I10" s="200">
        <v>75</v>
      </c>
      <c r="J10" s="136" t="s">
        <v>158</v>
      </c>
      <c r="M10" s="83" t="s">
        <v>191</v>
      </c>
      <c r="N10" s="84" t="s">
        <v>701</v>
      </c>
    </row>
    <row r="11" spans="2:20" ht="16.5" customHeight="1">
      <c r="B11" s="285" t="s">
        <v>155</v>
      </c>
      <c r="C11" s="285"/>
      <c r="D11" s="285"/>
      <c r="F11" s="51"/>
      <c r="G11" s="434" t="s">
        <v>702</v>
      </c>
      <c r="H11" s="435"/>
      <c r="I11" s="200">
        <v>6</v>
      </c>
      <c r="J11" s="136" t="s">
        <v>158</v>
      </c>
      <c r="M11" s="83" t="s">
        <v>191</v>
      </c>
      <c r="N11" s="84" t="s">
        <v>703</v>
      </c>
    </row>
    <row r="12" spans="2:20" ht="16.5" customHeight="1">
      <c r="B12" s="285"/>
      <c r="C12" s="285"/>
      <c r="D12" s="285"/>
      <c r="F12" s="51"/>
      <c r="G12" s="451" t="s">
        <v>704</v>
      </c>
      <c r="H12" s="452"/>
      <c r="I12" s="200">
        <v>40</v>
      </c>
      <c r="J12" s="136" t="s">
        <v>158</v>
      </c>
      <c r="M12" s="83" t="s">
        <v>191</v>
      </c>
      <c r="N12" s="84" t="s">
        <v>705</v>
      </c>
    </row>
    <row r="13" spans="2:20" ht="16.5" customHeight="1">
      <c r="B13" s="285" t="s">
        <v>159</v>
      </c>
      <c r="C13" s="285"/>
      <c r="D13" s="285"/>
      <c r="F13" s="51"/>
      <c r="G13" s="451" t="s">
        <v>706</v>
      </c>
      <c r="H13" s="452"/>
      <c r="I13" s="200">
        <v>893</v>
      </c>
    </row>
    <row r="14" spans="2:20" ht="16.5" customHeight="1">
      <c r="B14" s="285" t="s">
        <v>162</v>
      </c>
      <c r="C14" s="285"/>
      <c r="D14" s="285"/>
    </row>
    <row r="15" spans="2:20" ht="16.5" customHeight="1">
      <c r="B15" s="285"/>
      <c r="C15" s="285"/>
      <c r="D15" s="285"/>
    </row>
    <row r="16" spans="2:20" ht="16.5" customHeight="1">
      <c r="B16" s="285" t="s">
        <v>167</v>
      </c>
      <c r="C16" s="285"/>
      <c r="D16" s="285"/>
      <c r="F16" s="292" t="s">
        <v>707</v>
      </c>
      <c r="G16" s="292"/>
      <c r="H16" s="292"/>
      <c r="I16" s="292"/>
      <c r="J16" s="292"/>
    </row>
    <row r="17" spans="2:56" ht="16.5" customHeight="1">
      <c r="B17" s="285" t="s">
        <v>170</v>
      </c>
      <c r="C17" s="285"/>
      <c r="D17" s="285"/>
      <c r="F17" s="292"/>
      <c r="G17" s="292"/>
      <c r="H17" s="292"/>
      <c r="I17" s="292"/>
      <c r="J17" s="292"/>
    </row>
    <row r="18" spans="2:56" ht="16.5" customHeight="1">
      <c r="B18" s="290" t="s">
        <v>173</v>
      </c>
      <c r="C18" s="285"/>
      <c r="D18" s="285"/>
      <c r="F18" s="32" t="s">
        <v>708</v>
      </c>
    </row>
    <row r="19" spans="2:56" ht="16.5" customHeight="1">
      <c r="B19" s="285"/>
      <c r="C19" s="285"/>
      <c r="D19" s="285"/>
      <c r="F19" s="51"/>
      <c r="G19" s="451" t="s">
        <v>709</v>
      </c>
      <c r="H19" s="452"/>
      <c r="I19" s="138">
        <v>20</v>
      </c>
      <c r="J19" s="138">
        <v>25</v>
      </c>
      <c r="K19" s="138">
        <v>30</v>
      </c>
      <c r="L19" s="138">
        <v>35</v>
      </c>
      <c r="M19" s="138">
        <v>40</v>
      </c>
      <c r="N19" s="138">
        <v>45</v>
      </c>
      <c r="O19" s="138">
        <v>50</v>
      </c>
      <c r="P19" s="138">
        <v>55</v>
      </c>
      <c r="Q19" s="138">
        <v>60</v>
      </c>
      <c r="R19" s="138">
        <v>65</v>
      </c>
      <c r="S19" s="138">
        <v>70</v>
      </c>
      <c r="T19" s="138">
        <v>75</v>
      </c>
      <c r="U19" s="138">
        <v>80</v>
      </c>
      <c r="V19" s="138">
        <v>85</v>
      </c>
      <c r="W19" s="138">
        <v>90</v>
      </c>
      <c r="X19" s="138">
        <v>95</v>
      </c>
      <c r="Y19" s="138">
        <v>100</v>
      </c>
      <c r="Z19" s="138">
        <v>105</v>
      </c>
      <c r="AA19" s="138">
        <v>110</v>
      </c>
      <c r="AB19" s="138">
        <v>115</v>
      </c>
      <c r="AC19" s="138">
        <v>120</v>
      </c>
      <c r="AD19" s="138">
        <v>125</v>
      </c>
      <c r="AE19" s="138">
        <v>130</v>
      </c>
      <c r="AF19" s="138">
        <v>135</v>
      </c>
      <c r="AG19" s="138">
        <v>140</v>
      </c>
      <c r="AH19" s="138">
        <v>145</v>
      </c>
      <c r="AI19" s="138">
        <v>150</v>
      </c>
      <c r="AJ19" s="138">
        <v>155</v>
      </c>
      <c r="AK19" s="138">
        <v>160</v>
      </c>
      <c r="AL19" s="138">
        <v>165</v>
      </c>
      <c r="AM19" s="138">
        <v>170</v>
      </c>
      <c r="AN19" s="138">
        <v>175</v>
      </c>
      <c r="AO19" s="138">
        <v>180</v>
      </c>
      <c r="AP19" s="138">
        <v>185</v>
      </c>
      <c r="AQ19" s="138">
        <v>190</v>
      </c>
      <c r="AR19" s="138">
        <v>195</v>
      </c>
      <c r="AS19" s="138">
        <v>200</v>
      </c>
      <c r="AT19" s="138">
        <v>205</v>
      </c>
      <c r="AU19" s="138">
        <v>210</v>
      </c>
      <c r="AV19" s="138">
        <v>215</v>
      </c>
      <c r="AW19" s="138">
        <v>220</v>
      </c>
      <c r="AX19" s="138">
        <v>225</v>
      </c>
      <c r="AY19" s="138">
        <v>230</v>
      </c>
      <c r="AZ19" s="138">
        <v>235</v>
      </c>
      <c r="BA19" s="138">
        <v>240</v>
      </c>
      <c r="BB19" s="138">
        <v>245</v>
      </c>
      <c r="BC19" s="138">
        <v>250</v>
      </c>
      <c r="BD19" s="138">
        <v>255</v>
      </c>
    </row>
    <row r="20" spans="2:56" ht="16.5" customHeight="1">
      <c r="B20" s="285" t="s">
        <v>176</v>
      </c>
      <c r="C20" s="285"/>
      <c r="D20" s="285"/>
      <c r="F20" s="51"/>
      <c r="G20" s="451" t="s">
        <v>710</v>
      </c>
      <c r="H20" s="452"/>
      <c r="I20" s="178">
        <f>(($I$13/(CFGVDC!$G$10*1))*I19*(2*CFGVDC!$L$9))/1000</f>
        <v>2.9439560439560446</v>
      </c>
      <c r="J20" s="178">
        <f>(($I$13/(CFGVDC!$G$10*1))*J19*(2*CFGVDC!$L$9))/1000</f>
        <v>3.6799450549450547</v>
      </c>
      <c r="K20" s="178">
        <f>(($I$13/(CFGVDC!$G$10*1))*K19*(2*CFGVDC!$L$9))/1000</f>
        <v>4.4159340659340671</v>
      </c>
      <c r="L20" s="178">
        <f>(($I$13/(CFGVDC!$G$10*1))*L19*(2*CFGVDC!$L$9))/1000</f>
        <v>5.1519230769230777</v>
      </c>
      <c r="M20" s="178">
        <f>(($I$13/(CFGVDC!$G$10*1))*M19*(2*CFGVDC!$L$9))/1000</f>
        <v>5.8879120879120892</v>
      </c>
      <c r="N20" s="178">
        <f>(($I$13/(CFGVDC!$G$10*1))*N19*(2*CFGVDC!$L$9))/1000</f>
        <v>6.6239010989010989</v>
      </c>
      <c r="O20" s="178">
        <f>(($I$13/(CFGVDC!$G$10*1))*O19*(2*CFGVDC!$L$9))/1000</f>
        <v>7.3598901098901095</v>
      </c>
      <c r="P20" s="178">
        <f>(($I$13/(CFGVDC!$G$10*1))*P19*(2*CFGVDC!$L$9))/1000</f>
        <v>8.0958791208791201</v>
      </c>
      <c r="Q20" s="178">
        <f>(($I$13/(CFGVDC!$G$10*1))*Q19*(2*CFGVDC!$L$9))/1000</f>
        <v>8.8318681318681342</v>
      </c>
      <c r="R20" s="178">
        <f>(($I$13/(CFGVDC!$G$10*1))*R19*(2*CFGVDC!$L$9))/1000</f>
        <v>9.5678571428571431</v>
      </c>
      <c r="S20" s="178">
        <f>(($I$13/(CFGVDC!$G$10*1))*S19*(2*CFGVDC!$L$9))/1000</f>
        <v>10.303846153846155</v>
      </c>
      <c r="T20" s="178">
        <f>(($I$13/(CFGVDC!$G$10*1))*T19*(2*CFGVDC!$L$9))/1000</f>
        <v>11.039835164835166</v>
      </c>
      <c r="U20" s="178">
        <f>(($I$13/(CFGVDC!$G$10*1))*U19*(2*CFGVDC!$L$9))/1000</f>
        <v>11.775824175824178</v>
      </c>
      <c r="V20" s="178">
        <f>(($I$13/(CFGVDC!$G$10*1))*V19*(2*CFGVDC!$L$9))/1000</f>
        <v>12.511813186813187</v>
      </c>
      <c r="W20" s="178">
        <f>(($I$13/(CFGVDC!$G$10*1))*W19*(2*CFGVDC!$L$9))/1000</f>
        <v>13.247802197802198</v>
      </c>
      <c r="X20" s="178">
        <f>(($I$13/(CFGVDC!$G$10*1))*X19*(2*CFGVDC!$L$9))/1000</f>
        <v>13.98379120879121</v>
      </c>
      <c r="Y20" s="178">
        <f>(($I$13/(CFGVDC!$G$10*1))*Y19*(2*CFGVDC!$L$9))/1000</f>
        <v>14.719780219780219</v>
      </c>
      <c r="Z20" s="178">
        <f>(($I$13/(CFGVDC!$G$10*1))*Z19*(2*CFGVDC!$L$9))/1000</f>
        <v>15.455769230769233</v>
      </c>
      <c r="AA20" s="178">
        <f>(($I$13/(CFGVDC!$G$10*1))*AA19*(2*CFGVDC!$L$9))/1000</f>
        <v>16.19175824175824</v>
      </c>
      <c r="AB20" s="178">
        <f>(($I$13/(CFGVDC!$G$10*1))*AB19*(2*CFGVDC!$L$9))/1000</f>
        <v>16.927747252747253</v>
      </c>
      <c r="AC20" s="178">
        <f>(($I$13/(CFGVDC!$G$10*1))*AC19*(2*CFGVDC!$L$9))/1000</f>
        <v>17.663736263736268</v>
      </c>
      <c r="AD20" s="178">
        <f>(($I$13/(CFGVDC!$G$10*1))*AD19*(2*CFGVDC!$L$9))/1000</f>
        <v>18.399725274725274</v>
      </c>
      <c r="AE20" s="178">
        <f>(($I$13/(CFGVDC!$G$10*1))*AE19*(2*CFGVDC!$L$9))/1000</f>
        <v>19.135714285714286</v>
      </c>
      <c r="AF20" s="178">
        <f>(($I$13/(CFGVDC!$G$10*1))*AF19*(2*CFGVDC!$L$9))/1000</f>
        <v>19.871703296703298</v>
      </c>
      <c r="AG20" s="178">
        <f>(($I$13/(CFGVDC!$G$10*1))*AG19*(2*CFGVDC!$L$9))/1000</f>
        <v>20.607692307692311</v>
      </c>
      <c r="AH20" s="178">
        <f>(($I$13/(CFGVDC!$G$10*1))*AH19*(2*CFGVDC!$L$9))/1000</f>
        <v>21.34368131868132</v>
      </c>
      <c r="AI20" s="178">
        <f>(($I$13/(CFGVDC!$G$10*1))*AI19*(2*CFGVDC!$L$9))/1000</f>
        <v>22.079670329670332</v>
      </c>
      <c r="AJ20" s="178">
        <f>(($I$13/(CFGVDC!$G$10*1))*AJ19*(2*CFGVDC!$L$9))/1000</f>
        <v>22.815659340659341</v>
      </c>
      <c r="AK20" s="178">
        <f>(($I$13/(CFGVDC!$G$10*1))*AK19*(2*CFGVDC!$L$9))/1000</f>
        <v>23.551648351648357</v>
      </c>
      <c r="AL20" s="178">
        <f>(($I$13/(CFGVDC!$G$10*1))*AL19*(2*CFGVDC!$L$9))/1000</f>
        <v>24.287637362637366</v>
      </c>
      <c r="AM20" s="178">
        <f>(($I$13/(CFGVDC!$G$10*1))*AM19*(2*CFGVDC!$L$9))/1000</f>
        <v>25.023626373626374</v>
      </c>
      <c r="AN20" s="178">
        <f>(($I$13/(CFGVDC!$G$10*1))*AN19*(2*CFGVDC!$L$9))/1000</f>
        <v>25.759615384615387</v>
      </c>
      <c r="AO20" s="178">
        <f>(($I$13/(CFGVDC!$G$10*1))*AO19*(2*CFGVDC!$L$9))/1000</f>
        <v>26.495604395604396</v>
      </c>
      <c r="AP20" s="178">
        <f>(($I$13/(CFGVDC!$G$10*1))*AP19*(2*CFGVDC!$L$9))/1000</f>
        <v>27.231593406593408</v>
      </c>
      <c r="AQ20" s="178">
        <f>(($I$13/(CFGVDC!$G$10*1))*AQ19*(2*CFGVDC!$L$9))/1000</f>
        <v>27.96758241758242</v>
      </c>
      <c r="AR20" s="178">
        <f>(($I$13/(CFGVDC!$G$10*1))*AR19*(2*CFGVDC!$L$9))/1000</f>
        <v>28.703571428571433</v>
      </c>
      <c r="AS20" s="178">
        <f>(($I$13/(CFGVDC!$G$10*1))*AS19*(2*CFGVDC!$L$9))/1000</f>
        <v>29.439560439560438</v>
      </c>
      <c r="AT20" s="178">
        <f>(($I$13/(CFGVDC!$G$10*1))*AT19*(2*CFGVDC!$L$9))/1000</f>
        <v>30.175549450549454</v>
      </c>
      <c r="AU20" s="178">
        <f>(($I$13/(CFGVDC!$G$10*1))*AU19*(2*CFGVDC!$L$9))/1000</f>
        <v>30.911538461538466</v>
      </c>
      <c r="AV20" s="178">
        <f>(($I$13/(CFGVDC!$G$10*1))*AV19*(2*CFGVDC!$L$9))/1000</f>
        <v>31.647527472527475</v>
      </c>
      <c r="AW20" s="178">
        <f>(($I$13/(CFGVDC!$G$10*1))*AW19*(2*CFGVDC!$L$9))/1000</f>
        <v>32.38351648351648</v>
      </c>
      <c r="AX20" s="178">
        <f>(($I$13/(CFGVDC!$G$10*1))*AX19*(2*CFGVDC!$L$9))/1000</f>
        <v>33.119505494505496</v>
      </c>
      <c r="AY20" s="178">
        <f>(($I$13/(CFGVDC!$G$10*1))*AY19*(2*CFGVDC!$L$9))/1000</f>
        <v>33.855494505494505</v>
      </c>
      <c r="AZ20" s="178">
        <f>(($I$13/(CFGVDC!$G$10*1))*AZ19*(2*CFGVDC!$L$9))/1000</f>
        <v>34.591483516483521</v>
      </c>
      <c r="BA20" s="178">
        <f>(($I$13/(CFGVDC!$G$10*1))*BA19*(2*CFGVDC!$L$9))/1000</f>
        <v>35.327472527472537</v>
      </c>
      <c r="BB20" s="178">
        <f>(($I$13/(CFGVDC!$G$10*1))*BB19*(2*CFGVDC!$L$9))/1000</f>
        <v>36.063461538461546</v>
      </c>
      <c r="BC20" s="178">
        <f>(($I$13/(CFGVDC!$G$10*1))*BC19*(2*CFGVDC!$L$9))/1000</f>
        <v>36.799450549450547</v>
      </c>
      <c r="BD20" s="178">
        <f>(($I$13/(CFGVDC!$G$10*1))*BD19*(2*CFGVDC!$L$9))/1000</f>
        <v>37.535439560439563</v>
      </c>
    </row>
    <row r="21" spans="2:56" ht="16.5" customHeight="1">
      <c r="B21" s="285"/>
      <c r="C21" s="285"/>
      <c r="D21" s="285"/>
      <c r="F21" s="51"/>
      <c r="G21" s="451" t="s">
        <v>711</v>
      </c>
      <c r="H21" s="452"/>
      <c r="I21" s="178">
        <f>(($I$13/(CFGVDC!$G$11*1))*I19*(2*CFGVDC!$L$9))/1000</f>
        <v>2.4990671641791047</v>
      </c>
      <c r="J21" s="178">
        <f>(($I$13/(CFGVDC!$G$11*1))*J19*(2*CFGVDC!$L$9))/1000</f>
        <v>3.1238339552238803</v>
      </c>
      <c r="K21" s="178">
        <f>(($I$13/(CFGVDC!$G$11*1))*K19*(2*CFGVDC!$L$9))/1000</f>
        <v>3.7486007462686564</v>
      </c>
      <c r="L21" s="178">
        <f>(($I$13/(CFGVDC!$G$11*1))*L19*(2*CFGVDC!$L$9))/1000</f>
        <v>4.373367537313432</v>
      </c>
      <c r="M21" s="178">
        <f>(($I$13/(CFGVDC!$G$11*1))*M19*(2*CFGVDC!$L$9))/1000</f>
        <v>4.9981343283582094</v>
      </c>
      <c r="N21" s="178">
        <f>(($I$13/(CFGVDC!$G$11*1))*N19*(2*CFGVDC!$L$9))/1000</f>
        <v>5.6229011194029841</v>
      </c>
      <c r="O21" s="178">
        <f>(($I$13/(CFGVDC!$G$11*1))*O19*(2*CFGVDC!$L$9))/1000</f>
        <v>6.2476679104477606</v>
      </c>
      <c r="P21" s="178">
        <f>(($I$13/(CFGVDC!$G$11*1))*P19*(2*CFGVDC!$L$9))/1000</f>
        <v>6.8724347014925371</v>
      </c>
      <c r="Q21" s="178">
        <f>(($I$13/(CFGVDC!$G$11*1))*Q19*(2*CFGVDC!$L$9))/1000</f>
        <v>7.4972014925373127</v>
      </c>
      <c r="R21" s="178">
        <f>(($I$13/(CFGVDC!$G$11*1))*R19*(2*CFGVDC!$L$9))/1000</f>
        <v>8.1219682835820901</v>
      </c>
      <c r="S21" s="178">
        <f>(($I$13/(CFGVDC!$G$11*1))*S19*(2*CFGVDC!$L$9))/1000</f>
        <v>8.7467350746268639</v>
      </c>
      <c r="T21" s="178">
        <f>(($I$13/(CFGVDC!$G$11*1))*T19*(2*CFGVDC!$L$9))/1000</f>
        <v>9.3715018656716396</v>
      </c>
      <c r="U21" s="178">
        <f>(($I$13/(CFGVDC!$G$11*1))*U19*(2*CFGVDC!$L$9))/1000</f>
        <v>9.9962686567164187</v>
      </c>
      <c r="V21" s="178">
        <f>(($I$13/(CFGVDC!$G$11*1))*V19*(2*CFGVDC!$L$9))/1000</f>
        <v>10.621035447761193</v>
      </c>
      <c r="W21" s="178">
        <f>(($I$13/(CFGVDC!$G$11*1))*W19*(2*CFGVDC!$L$9))/1000</f>
        <v>11.245802238805968</v>
      </c>
      <c r="X21" s="178">
        <f>(($I$13/(CFGVDC!$G$11*1))*X19*(2*CFGVDC!$L$9))/1000</f>
        <v>11.870569029850746</v>
      </c>
      <c r="Y21" s="178">
        <f>(($I$13/(CFGVDC!$G$11*1))*Y19*(2*CFGVDC!$L$9))/1000</f>
        <v>12.495335820895521</v>
      </c>
      <c r="Z21" s="178">
        <f>(($I$13/(CFGVDC!$G$11*1))*Z19*(2*CFGVDC!$L$9))/1000</f>
        <v>13.120102611940299</v>
      </c>
      <c r="AA21" s="178">
        <f>(($I$13/(CFGVDC!$G$11*1))*AA19*(2*CFGVDC!$L$9))/1000</f>
        <v>13.744869402985074</v>
      </c>
      <c r="AB21" s="178">
        <f>(($I$13/(CFGVDC!$G$11*1))*AB19*(2*CFGVDC!$L$9))/1000</f>
        <v>14.369636194029848</v>
      </c>
      <c r="AC21" s="178">
        <f>(($I$13/(CFGVDC!$G$11*1))*AC19*(2*CFGVDC!$L$9))/1000</f>
        <v>14.994402985074625</v>
      </c>
      <c r="AD21" s="178">
        <f>(($I$13/(CFGVDC!$G$11*1))*AD19*(2*CFGVDC!$L$9))/1000</f>
        <v>15.619169776119401</v>
      </c>
      <c r="AE21" s="178">
        <f>(($I$13/(CFGVDC!$G$11*1))*AE19*(2*CFGVDC!$L$9))/1000</f>
        <v>16.24393656716418</v>
      </c>
      <c r="AF21" s="178">
        <f>(($I$13/(CFGVDC!$G$11*1))*AF19*(2*CFGVDC!$L$9))/1000</f>
        <v>16.868703358208954</v>
      </c>
      <c r="AG21" s="178">
        <f>(($I$13/(CFGVDC!$G$11*1))*AG19*(2*CFGVDC!$L$9))/1000</f>
        <v>17.493470149253728</v>
      </c>
      <c r="AH21" s="178">
        <f>(($I$13/(CFGVDC!$G$11*1))*AH19*(2*CFGVDC!$L$9))/1000</f>
        <v>18.118236940298505</v>
      </c>
      <c r="AI21" s="178">
        <f>(($I$13/(CFGVDC!$G$11*1))*AI19*(2*CFGVDC!$L$9))/1000</f>
        <v>18.743003731343279</v>
      </c>
      <c r="AJ21" s="178">
        <f>(($I$13/(CFGVDC!$G$11*1))*AJ19*(2*CFGVDC!$L$9))/1000</f>
        <v>19.36777052238806</v>
      </c>
      <c r="AK21" s="178">
        <f>(($I$13/(CFGVDC!$G$11*1))*AK19*(2*CFGVDC!$L$9))/1000</f>
        <v>19.992537313432837</v>
      </c>
      <c r="AL21" s="178">
        <f>(($I$13/(CFGVDC!$G$11*1))*AL19*(2*CFGVDC!$L$9))/1000</f>
        <v>20.617304104477611</v>
      </c>
      <c r="AM21" s="178">
        <f>(($I$13/(CFGVDC!$G$11*1))*AM19*(2*CFGVDC!$L$9))/1000</f>
        <v>21.242070895522385</v>
      </c>
      <c r="AN21" s="178">
        <f>(($I$13/(CFGVDC!$G$11*1))*AN19*(2*CFGVDC!$L$9))/1000</f>
        <v>21.866837686567159</v>
      </c>
      <c r="AO21" s="178">
        <f>(($I$13/(CFGVDC!$G$11*1))*AO19*(2*CFGVDC!$L$9))/1000</f>
        <v>22.491604477611936</v>
      </c>
      <c r="AP21" s="178">
        <f>(($I$13/(CFGVDC!$G$11*1))*AP19*(2*CFGVDC!$L$9))/1000</f>
        <v>23.116371268656717</v>
      </c>
      <c r="AQ21" s="178">
        <f>(($I$13/(CFGVDC!$G$11*1))*AQ19*(2*CFGVDC!$L$9))/1000</f>
        <v>23.741138059701491</v>
      </c>
      <c r="AR21" s="178">
        <f>(($I$13/(CFGVDC!$G$11*1))*AR19*(2*CFGVDC!$L$9))/1000</f>
        <v>24.365904850746269</v>
      </c>
      <c r="AS21" s="178">
        <f>(($I$13/(CFGVDC!$G$11*1))*AS19*(2*CFGVDC!$L$9))/1000</f>
        <v>24.990671641791042</v>
      </c>
      <c r="AT21" s="178">
        <f>(($I$13/(CFGVDC!$G$11*1))*AT19*(2*CFGVDC!$L$9))/1000</f>
        <v>25.615438432835816</v>
      </c>
      <c r="AU21" s="178">
        <f>(($I$13/(CFGVDC!$G$11*1))*AU19*(2*CFGVDC!$L$9))/1000</f>
        <v>26.240205223880597</v>
      </c>
      <c r="AV21" s="178">
        <f>(($I$13/(CFGVDC!$G$11*1))*AV19*(2*CFGVDC!$L$9))/1000</f>
        <v>26.864972014925371</v>
      </c>
      <c r="AW21" s="178">
        <f>(($I$13/(CFGVDC!$G$11*1))*AW19*(2*CFGVDC!$L$9))/1000</f>
        <v>27.489738805970148</v>
      </c>
      <c r="AX21" s="178">
        <f>(($I$13/(CFGVDC!$G$11*1))*AX19*(2*CFGVDC!$L$9))/1000</f>
        <v>28.114505597014922</v>
      </c>
      <c r="AY21" s="178">
        <f>(($I$13/(CFGVDC!$G$11*1))*AY19*(2*CFGVDC!$L$9))/1000</f>
        <v>28.739272388059696</v>
      </c>
      <c r="AZ21" s="178">
        <f>(($I$13/(CFGVDC!$G$11*1))*AZ19*(2*CFGVDC!$L$9))/1000</f>
        <v>29.364039179104473</v>
      </c>
      <c r="BA21" s="178">
        <f>(($I$13/(CFGVDC!$G$11*1))*BA19*(2*CFGVDC!$L$9))/1000</f>
        <v>29.988805970149251</v>
      </c>
      <c r="BB21" s="178">
        <f>(($I$13/(CFGVDC!$G$11*1))*BB19*(2*CFGVDC!$L$9))/1000</f>
        <v>30.613572761194028</v>
      </c>
      <c r="BC21" s="178">
        <f>(($I$13/(CFGVDC!$G$11*1))*BC19*(2*CFGVDC!$L$9))/1000</f>
        <v>31.238339552238802</v>
      </c>
      <c r="BD21" s="178">
        <f>(($I$13/(CFGVDC!$G$11*1))*BD19*(2*CFGVDC!$L$9))/1000</f>
        <v>31.863106343283583</v>
      </c>
    </row>
    <row r="22" spans="2:56" ht="16.5" customHeight="1">
      <c r="B22" s="285"/>
      <c r="C22" s="285"/>
      <c r="D22" s="285"/>
      <c r="F22" s="51"/>
      <c r="G22" s="451" t="s">
        <v>712</v>
      </c>
      <c r="H22" s="452"/>
      <c r="I22" s="178">
        <f>(($I$13/(CFGVDC!$G$12*1))*I19*(2*CFGVDC!$L$9))/1000</f>
        <v>2.3919642857142858</v>
      </c>
      <c r="J22" s="178">
        <f>(($I$13/(CFGVDC!$G$12*1))*J19*(2*CFGVDC!$L$9))/1000</f>
        <v>2.9899553571428568</v>
      </c>
      <c r="K22" s="178">
        <f>(($I$13/(CFGVDC!$G$12*1))*K19*(2*CFGVDC!$L$9))/1000</f>
        <v>3.5879464285714286</v>
      </c>
      <c r="L22" s="178">
        <f>(($I$13/(CFGVDC!$G$12*1))*L19*(2*CFGVDC!$L$9))/1000</f>
        <v>4.1859374999999996</v>
      </c>
      <c r="M22" s="178">
        <f>(($I$13/(CFGVDC!$G$12*1))*M19*(2*CFGVDC!$L$9))/1000</f>
        <v>4.7839285714285715</v>
      </c>
      <c r="N22" s="178">
        <f>(($I$13/(CFGVDC!$G$12*1))*N19*(2*CFGVDC!$L$9))/1000</f>
        <v>5.3819196428571425</v>
      </c>
      <c r="O22" s="178">
        <f>(($I$13/(CFGVDC!$G$12*1))*O19*(2*CFGVDC!$L$9))/1000</f>
        <v>5.9799107142857135</v>
      </c>
      <c r="P22" s="178">
        <f>(($I$13/(CFGVDC!$G$12*1))*P19*(2*CFGVDC!$L$9))/1000</f>
        <v>6.5779017857142863</v>
      </c>
      <c r="Q22" s="178">
        <f>(($I$13/(CFGVDC!$G$12*1))*Q19*(2*CFGVDC!$L$9))/1000</f>
        <v>7.1758928571428573</v>
      </c>
      <c r="R22" s="178">
        <f>(($I$13/(CFGVDC!$G$12*1))*R19*(2*CFGVDC!$L$9))/1000</f>
        <v>7.7738839285714283</v>
      </c>
      <c r="S22" s="178">
        <f>(($I$13/(CFGVDC!$G$12*1))*S19*(2*CFGVDC!$L$9))/1000</f>
        <v>8.3718749999999993</v>
      </c>
      <c r="T22" s="178">
        <f>(($I$13/(CFGVDC!$G$12*1))*T19*(2*CFGVDC!$L$9))/1000</f>
        <v>8.969866071428573</v>
      </c>
      <c r="U22" s="178">
        <f>(($I$13/(CFGVDC!$G$12*1))*U19*(2*CFGVDC!$L$9))/1000</f>
        <v>9.5678571428571431</v>
      </c>
      <c r="V22" s="178">
        <f>(($I$13/(CFGVDC!$G$12*1))*V19*(2*CFGVDC!$L$9))/1000</f>
        <v>10.165848214285713</v>
      </c>
      <c r="W22" s="178">
        <f>(($I$13/(CFGVDC!$G$12*1))*W19*(2*CFGVDC!$L$9))/1000</f>
        <v>10.763839285714285</v>
      </c>
      <c r="X22" s="178">
        <f>(($I$13/(CFGVDC!$G$12*1))*X19*(2*CFGVDC!$L$9))/1000</f>
        <v>11.361830357142857</v>
      </c>
      <c r="Y22" s="178">
        <f>(($I$13/(CFGVDC!$G$12*1))*Y19*(2*CFGVDC!$L$9))/1000</f>
        <v>11.959821428571427</v>
      </c>
      <c r="Z22" s="178">
        <f>(($I$13/(CFGVDC!$G$12*1))*Z19*(2*CFGVDC!$L$9))/1000</f>
        <v>12.557812500000001</v>
      </c>
      <c r="AA22" s="178">
        <f>(($I$13/(CFGVDC!$G$12*1))*AA19*(2*CFGVDC!$L$9))/1000</f>
        <v>13.155803571428573</v>
      </c>
      <c r="AB22" s="178">
        <f>(($I$13/(CFGVDC!$G$12*1))*AB19*(2*CFGVDC!$L$9))/1000</f>
        <v>13.753794642857143</v>
      </c>
      <c r="AC22" s="178">
        <f>(($I$13/(CFGVDC!$G$12*1))*AC19*(2*CFGVDC!$L$9))/1000</f>
        <v>14.351785714285715</v>
      </c>
      <c r="AD22" s="178">
        <f>(($I$13/(CFGVDC!$G$12*1))*AD19*(2*CFGVDC!$L$9))/1000</f>
        <v>14.949776785714285</v>
      </c>
      <c r="AE22" s="178">
        <f>(($I$13/(CFGVDC!$G$12*1))*AE19*(2*CFGVDC!$L$9))/1000</f>
        <v>15.547767857142857</v>
      </c>
      <c r="AF22" s="178">
        <f>(($I$13/(CFGVDC!$G$12*1))*AF19*(2*CFGVDC!$L$9))/1000</f>
        <v>16.145758928571428</v>
      </c>
      <c r="AG22" s="178">
        <f>(($I$13/(CFGVDC!$G$12*1))*AG19*(2*CFGVDC!$L$9))/1000</f>
        <v>16.743749999999999</v>
      </c>
      <c r="AH22" s="178">
        <f>(($I$13/(CFGVDC!$G$12*1))*AH19*(2*CFGVDC!$L$9))/1000</f>
        <v>17.341741071428569</v>
      </c>
      <c r="AI22" s="178">
        <f>(($I$13/(CFGVDC!$G$12*1))*AI19*(2*CFGVDC!$L$9))/1000</f>
        <v>17.939732142857146</v>
      </c>
      <c r="AJ22" s="178">
        <f>(($I$13/(CFGVDC!$G$12*1))*AJ19*(2*CFGVDC!$L$9))/1000</f>
        <v>18.537723214285712</v>
      </c>
      <c r="AK22" s="178">
        <f>(($I$13/(CFGVDC!$G$12*1))*AK19*(2*CFGVDC!$L$9))/1000</f>
        <v>19.135714285714286</v>
      </c>
      <c r="AL22" s="178">
        <f>(($I$13/(CFGVDC!$G$12*1))*AL19*(2*CFGVDC!$L$9))/1000</f>
        <v>19.733705357142856</v>
      </c>
      <c r="AM22" s="178">
        <f>(($I$13/(CFGVDC!$G$12*1))*AM19*(2*CFGVDC!$L$9))/1000</f>
        <v>20.331696428571426</v>
      </c>
      <c r="AN22" s="178">
        <f>(($I$13/(CFGVDC!$G$12*1))*AN19*(2*CFGVDC!$L$9))/1000</f>
        <v>20.9296875</v>
      </c>
      <c r="AO22" s="178">
        <f>(($I$13/(CFGVDC!$G$12*1))*AO19*(2*CFGVDC!$L$9))/1000</f>
        <v>21.52767857142857</v>
      </c>
      <c r="AP22" s="178">
        <f>(($I$13/(CFGVDC!$G$12*1))*AP19*(2*CFGVDC!$L$9))/1000</f>
        <v>22.125669642857144</v>
      </c>
      <c r="AQ22" s="178">
        <f>(($I$13/(CFGVDC!$G$12*1))*AQ19*(2*CFGVDC!$L$9))/1000</f>
        <v>22.723660714285714</v>
      </c>
      <c r="AR22" s="178">
        <f>(($I$13/(CFGVDC!$G$12*1))*AR19*(2*CFGVDC!$L$9))/1000</f>
        <v>23.321651785714288</v>
      </c>
      <c r="AS22" s="178">
        <f>(($I$13/(CFGVDC!$G$12*1))*AS19*(2*CFGVDC!$L$9))/1000</f>
        <v>23.919642857142854</v>
      </c>
      <c r="AT22" s="178">
        <f>(($I$13/(CFGVDC!$G$12*1))*AT19*(2*CFGVDC!$L$9))/1000</f>
        <v>24.517633928571428</v>
      </c>
      <c r="AU22" s="178">
        <f>(($I$13/(CFGVDC!$G$12*1))*AU19*(2*CFGVDC!$L$9))/1000</f>
        <v>25.115625000000001</v>
      </c>
      <c r="AV22" s="178">
        <f>(($I$13/(CFGVDC!$G$12*1))*AV19*(2*CFGVDC!$L$9))/1000</f>
        <v>25.713616071428568</v>
      </c>
      <c r="AW22" s="178">
        <f>(($I$13/(CFGVDC!$G$12*1))*AW19*(2*CFGVDC!$L$9))/1000</f>
        <v>26.311607142857145</v>
      </c>
      <c r="AX22" s="178">
        <f>(($I$13/(CFGVDC!$G$12*1))*AX19*(2*CFGVDC!$L$9))/1000</f>
        <v>26.909598214285715</v>
      </c>
      <c r="AY22" s="178">
        <f>(($I$13/(CFGVDC!$G$12*1))*AY19*(2*CFGVDC!$L$9))/1000</f>
        <v>27.507589285714285</v>
      </c>
      <c r="AZ22" s="178">
        <f>(($I$13/(CFGVDC!$G$12*1))*AZ19*(2*CFGVDC!$L$9))/1000</f>
        <v>28.105580357142856</v>
      </c>
      <c r="BA22" s="178">
        <f>(($I$13/(CFGVDC!$G$12*1))*BA19*(2*CFGVDC!$L$9))/1000</f>
        <v>28.703571428571429</v>
      </c>
      <c r="BB22" s="178">
        <f>(($I$13/(CFGVDC!$G$12*1))*BB19*(2*CFGVDC!$L$9))/1000</f>
        <v>29.301562499999999</v>
      </c>
      <c r="BC22" s="178">
        <f>(($I$13/(CFGVDC!$G$12*1))*BC19*(2*CFGVDC!$L$9))/1000</f>
        <v>29.899553571428569</v>
      </c>
      <c r="BD22" s="178">
        <f>(($I$13/(CFGVDC!$G$12*1))*BD19*(2*CFGVDC!$L$9))/1000</f>
        <v>30.497544642857147</v>
      </c>
    </row>
    <row r="23" spans="2:56" ht="16.5" customHeight="1">
      <c r="B23" s="285"/>
      <c r="C23" s="285"/>
      <c r="D23" s="285"/>
    </row>
    <row r="24" spans="2:56" ht="16.5" customHeight="1">
      <c r="B24" s="285"/>
      <c r="C24" s="285"/>
      <c r="D24" s="285"/>
      <c r="F24" s="32" t="s">
        <v>713</v>
      </c>
    </row>
    <row r="25" spans="2:56" ht="16.5" customHeight="1">
      <c r="B25" s="285" t="s">
        <v>182</v>
      </c>
      <c r="C25" s="285"/>
      <c r="D25" s="285"/>
      <c r="F25" s="321"/>
      <c r="G25" s="460" t="s">
        <v>714</v>
      </c>
      <c r="H25" s="461"/>
      <c r="I25" s="179">
        <f>CFGVDC!$G$10-I20</f>
        <v>42.556043956043958</v>
      </c>
      <c r="J25" s="179">
        <f>CFGVDC!$G$10-J20</f>
        <v>41.820054945054949</v>
      </c>
      <c r="K25" s="179">
        <f>CFGVDC!$G$10-K20</f>
        <v>41.084065934065933</v>
      </c>
      <c r="L25" s="179">
        <f>CFGVDC!$G$10-L20</f>
        <v>40.348076923076924</v>
      </c>
      <c r="M25" s="179">
        <f>CFGVDC!$G$10-M20</f>
        <v>39.612087912087908</v>
      </c>
      <c r="N25" s="179">
        <f>CFGVDC!$G$10-N20</f>
        <v>38.876098901098899</v>
      </c>
      <c r="O25" s="179">
        <f>CFGVDC!$G$10-O20</f>
        <v>38.140109890109891</v>
      </c>
      <c r="P25" s="179">
        <f>CFGVDC!$G$10-P20</f>
        <v>37.404120879120882</v>
      </c>
      <c r="Q25" s="179">
        <f>CFGVDC!$G$10-Q20</f>
        <v>36.668131868131866</v>
      </c>
      <c r="R25" s="179">
        <f>CFGVDC!$G$10-R20</f>
        <v>35.932142857142857</v>
      </c>
      <c r="S25" s="179">
        <f>CFGVDC!$G$10-S20</f>
        <v>35.196153846153848</v>
      </c>
      <c r="T25" s="179">
        <f>CFGVDC!$G$10-T20</f>
        <v>34.460164835164832</v>
      </c>
      <c r="U25" s="179">
        <f>CFGVDC!$G$10-U20</f>
        <v>33.724175824175823</v>
      </c>
      <c r="V25" s="179">
        <f>CFGVDC!$G$10-V20</f>
        <v>32.988186813186815</v>
      </c>
      <c r="W25" s="179">
        <f>CFGVDC!$G$10-W20</f>
        <v>32.252197802197799</v>
      </c>
      <c r="X25" s="179">
        <f>CFGVDC!$G$10-X20</f>
        <v>31.51620879120879</v>
      </c>
      <c r="Y25" s="179">
        <f>CFGVDC!$G$10-Y20</f>
        <v>30.780219780219781</v>
      </c>
      <c r="Z25" s="179">
        <f>CFGVDC!$G$10-Z20</f>
        <v>30.044230769230765</v>
      </c>
      <c r="AA25" s="179">
        <f>CFGVDC!$G$10-AA20</f>
        <v>29.30824175824176</v>
      </c>
      <c r="AB25" s="179">
        <f>CFGVDC!$G$10-AB20</f>
        <v>28.572252747252747</v>
      </c>
      <c r="AC25" s="179">
        <f>CFGVDC!$G$10-AC20</f>
        <v>27.836263736263732</v>
      </c>
      <c r="AD25" s="179">
        <f>CFGVDC!$G$10-AD20</f>
        <v>27.100274725274726</v>
      </c>
      <c r="AE25" s="179">
        <f>CFGVDC!$G$10-AE20</f>
        <v>26.364285714285714</v>
      </c>
      <c r="AF25" s="179">
        <f>CFGVDC!$G$10-AF20</f>
        <v>25.628296703296702</v>
      </c>
      <c r="AG25" s="179">
        <f>CFGVDC!$G$10-AG20</f>
        <v>24.892307692307689</v>
      </c>
      <c r="AH25" s="179">
        <f>CFGVDC!$G$10-AH20</f>
        <v>24.15631868131868</v>
      </c>
      <c r="AI25" s="179">
        <f>CFGVDC!$G$10-AI20</f>
        <v>23.420329670329668</v>
      </c>
      <c r="AJ25" s="179">
        <f>CFGVDC!$G$10-AJ20</f>
        <v>22.684340659340659</v>
      </c>
      <c r="AK25" s="179">
        <f>CFGVDC!$G$10-AK20</f>
        <v>21.948351648351643</v>
      </c>
      <c r="AL25" s="179">
        <f>CFGVDC!$G$10-AL20</f>
        <v>21.212362637362634</v>
      </c>
      <c r="AM25" s="179">
        <f>CFGVDC!$G$10-AM20</f>
        <v>20.476373626373626</v>
      </c>
      <c r="AN25" s="179">
        <f>CFGVDC!$G$10-AN20</f>
        <v>19.740384615384613</v>
      </c>
      <c r="AO25" s="179">
        <f>CFGVDC!$G$10-AO20</f>
        <v>19.004395604395604</v>
      </c>
      <c r="AP25" s="179">
        <f>CFGVDC!$G$10-AP20</f>
        <v>18.268406593406592</v>
      </c>
      <c r="AQ25" s="179">
        <f>CFGVDC!$G$10-AQ20</f>
        <v>17.53241758241758</v>
      </c>
      <c r="AR25" s="179">
        <f>CFGVDC!$G$10-AR20</f>
        <v>16.796428571428567</v>
      </c>
      <c r="AS25" s="179">
        <f>CFGVDC!$G$10-AS20</f>
        <v>16.060439560439562</v>
      </c>
      <c r="AT25" s="179">
        <f>CFGVDC!$G$10-AT20</f>
        <v>15.324450549450546</v>
      </c>
      <c r="AU25" s="179">
        <f>CFGVDC!$G$10-AU20</f>
        <v>14.588461538461534</v>
      </c>
      <c r="AV25" s="179">
        <f>CFGVDC!$G$10-AV20</f>
        <v>13.852472527472525</v>
      </c>
      <c r="AW25" s="179">
        <f>CFGVDC!$G$10-AW20</f>
        <v>13.11648351648352</v>
      </c>
      <c r="AX25" s="179">
        <f>CFGVDC!$G$10-AX20</f>
        <v>12.380494505494504</v>
      </c>
      <c r="AY25" s="179">
        <f>CFGVDC!$G$10-AY20</f>
        <v>11.644505494505495</v>
      </c>
      <c r="AZ25" s="179">
        <f>CFGVDC!$G$10-AZ20</f>
        <v>10.908516483516479</v>
      </c>
      <c r="BA25" s="179">
        <f>CFGVDC!$G$10-BA20</f>
        <v>10.172527472527463</v>
      </c>
      <c r="BB25" s="179">
        <f>CFGVDC!$G$10-BB20</f>
        <v>9.4365384615384542</v>
      </c>
      <c r="BC25" s="179">
        <f>CFGVDC!$G$10-BC20</f>
        <v>8.7005494505494525</v>
      </c>
      <c r="BD25" s="179">
        <f>CFGVDC!$G$10-BD20</f>
        <v>7.9645604395604366</v>
      </c>
    </row>
    <row r="26" spans="2:56" ht="16.5" customHeight="1">
      <c r="B26" s="285"/>
      <c r="C26" s="285"/>
      <c r="D26" s="285"/>
      <c r="F26" s="453"/>
      <c r="G26" s="460" t="s">
        <v>715</v>
      </c>
      <c r="H26" s="461"/>
      <c r="I26" s="179">
        <f t="shared" ref="I26:BD26" si="0">$I$13/I25</f>
        <v>20.984093373960647</v>
      </c>
      <c r="J26" s="179">
        <f t="shared" si="0"/>
        <v>21.353391361471505</v>
      </c>
      <c r="K26" s="179">
        <f t="shared" si="0"/>
        <v>21.735920720046007</v>
      </c>
      <c r="L26" s="179">
        <f t="shared" si="0"/>
        <v>22.132405509746913</v>
      </c>
      <c r="M26" s="179">
        <f t="shared" si="0"/>
        <v>22.543623602518934</v>
      </c>
      <c r="N26" s="179">
        <f t="shared" si="0"/>
        <v>22.970411775929445</v>
      </c>
      <c r="O26" s="179">
        <f t="shared" si="0"/>
        <v>23.413671396672189</v>
      </c>
      <c r="P26" s="179">
        <f t="shared" si="0"/>
        <v>23.874374775065917</v>
      </c>
      <c r="Q26" s="179">
        <f t="shared" si="0"/>
        <v>24.353572284823784</v>
      </c>
      <c r="R26" s="179">
        <f t="shared" si="0"/>
        <v>24.852400357817313</v>
      </c>
      <c r="S26" s="179">
        <f t="shared" si="0"/>
        <v>25.372090481914544</v>
      </c>
      <c r="T26" s="179">
        <f t="shared" si="0"/>
        <v>25.913979351855545</v>
      </c>
      <c r="U26" s="179">
        <f t="shared" si="0"/>
        <v>26.479520349310828</v>
      </c>
      <c r="V26" s="179">
        <f t="shared" si="0"/>
        <v>27.070296559707518</v>
      </c>
      <c r="W26" s="179">
        <f t="shared" si="0"/>
        <v>27.688035571304454</v>
      </c>
      <c r="X26" s="179">
        <f t="shared" si="0"/>
        <v>28.334626347858681</v>
      </c>
      <c r="Y26" s="179">
        <f t="shared" si="0"/>
        <v>29.012138521956444</v>
      </c>
      <c r="Z26" s="179">
        <f t="shared" si="0"/>
        <v>29.722844524099088</v>
      </c>
      <c r="AA26" s="179">
        <f t="shared" si="0"/>
        <v>30.469245046024632</v>
      </c>
      <c r="AB26" s="179">
        <f t="shared" si="0"/>
        <v>31.254098439468091</v>
      </c>
      <c r="AC26" s="179">
        <f t="shared" si="0"/>
        <v>32.080454778729624</v>
      </c>
      <c r="AD26" s="179">
        <f t="shared" si="0"/>
        <v>32.951695473668202</v>
      </c>
      <c r="AE26" s="179">
        <f t="shared" si="0"/>
        <v>33.871579517745872</v>
      </c>
      <c r="AF26" s="179">
        <f t="shared" si="0"/>
        <v>34.844297704932096</v>
      </c>
      <c r="AG26" s="179">
        <f t="shared" si="0"/>
        <v>35.874536464771325</v>
      </c>
      <c r="AH26" s="179">
        <f t="shared" si="0"/>
        <v>36.967553366921038</v>
      </c>
      <c r="AI26" s="179">
        <f t="shared" si="0"/>
        <v>38.129266862170091</v>
      </c>
      <c r="AJ26" s="179">
        <f t="shared" si="0"/>
        <v>39.366363493236122</v>
      </c>
      <c r="AK26" s="179">
        <f t="shared" si="0"/>
        <v>40.68642667601263</v>
      </c>
      <c r="AL26" s="179">
        <f t="shared" si="0"/>
        <v>42.098092290158398</v>
      </c>
      <c r="AM26" s="179">
        <f t="shared" si="0"/>
        <v>43.611237824348621</v>
      </c>
      <c r="AN26" s="179">
        <f t="shared" si="0"/>
        <v>45.237213833414522</v>
      </c>
      <c r="AO26" s="179">
        <f t="shared" si="0"/>
        <v>46.989129177749511</v>
      </c>
      <c r="AP26" s="179">
        <f t="shared" si="0"/>
        <v>48.88220521226522</v>
      </c>
      <c r="AQ26" s="179">
        <f t="shared" si="0"/>
        <v>50.934219185809653</v>
      </c>
      <c r="AR26" s="179">
        <f t="shared" si="0"/>
        <v>53.166064214331293</v>
      </c>
      <c r="AS26" s="179">
        <f t="shared" si="0"/>
        <v>55.602463222716381</v>
      </c>
      <c r="AT26" s="179">
        <f t="shared" si="0"/>
        <v>58.272888617988215</v>
      </c>
      <c r="AU26" s="179">
        <f t="shared" si="0"/>
        <v>61.21276034800951</v>
      </c>
      <c r="AV26" s="179">
        <f t="shared" si="0"/>
        <v>64.465025881046358</v>
      </c>
      <c r="AW26" s="179">
        <f t="shared" si="0"/>
        <v>68.082272117962447</v>
      </c>
      <c r="AX26" s="179">
        <f t="shared" si="0"/>
        <v>72.129590591368029</v>
      </c>
      <c r="AY26" s="179">
        <f t="shared" si="0"/>
        <v>76.688529231349975</v>
      </c>
      <c r="AZ26" s="179">
        <f t="shared" si="0"/>
        <v>81.862643866320838</v>
      </c>
      <c r="BA26" s="179">
        <f t="shared" si="0"/>
        <v>87.785459652155211</v>
      </c>
      <c r="BB26" s="179">
        <f t="shared" si="0"/>
        <v>94.632158141430679</v>
      </c>
      <c r="BC26" s="179">
        <f t="shared" si="0"/>
        <v>102.63719608462264</v>
      </c>
      <c r="BD26" s="179">
        <f t="shared" si="0"/>
        <v>112.12169293918807</v>
      </c>
    </row>
    <row r="27" spans="2:56" ht="16.5" customHeight="1">
      <c r="B27" s="293"/>
      <c r="C27" s="293"/>
      <c r="D27" s="293"/>
      <c r="F27" s="321"/>
      <c r="G27" s="462" t="s">
        <v>716</v>
      </c>
      <c r="H27" s="463"/>
      <c r="I27" s="179">
        <f>CFGVDC!$G$11-I21</f>
        <v>51.100932835820899</v>
      </c>
      <c r="J27" s="179">
        <f>CFGVDC!$G$11-J21</f>
        <v>50.476166044776122</v>
      </c>
      <c r="K27" s="179">
        <f>CFGVDC!$G$11-K21</f>
        <v>49.851399253731344</v>
      </c>
      <c r="L27" s="179">
        <f>CFGVDC!$G$11-L21</f>
        <v>49.226632462686567</v>
      </c>
      <c r="M27" s="179">
        <f>CFGVDC!$G$11-M21</f>
        <v>48.601865671641789</v>
      </c>
      <c r="N27" s="179">
        <f>CFGVDC!$G$11-N21</f>
        <v>47.977098880597019</v>
      </c>
      <c r="O27" s="179">
        <f>CFGVDC!$G$11-O21</f>
        <v>47.352332089552242</v>
      </c>
      <c r="P27" s="179">
        <f>CFGVDC!$G$11-P21</f>
        <v>46.727565298507464</v>
      </c>
      <c r="Q27" s="179">
        <f>CFGVDC!$G$11-Q21</f>
        <v>46.102798507462687</v>
      </c>
      <c r="R27" s="179">
        <f>CFGVDC!$G$11-R21</f>
        <v>45.47803171641791</v>
      </c>
      <c r="S27" s="179">
        <f>CFGVDC!$G$11-S21</f>
        <v>44.853264925373139</v>
      </c>
      <c r="T27" s="179">
        <f>CFGVDC!$G$11-T21</f>
        <v>44.228498134328362</v>
      </c>
      <c r="U27" s="179">
        <f>CFGVDC!$G$11-U21</f>
        <v>43.603731343283584</v>
      </c>
      <c r="V27" s="179">
        <f>CFGVDC!$G$11-V21</f>
        <v>42.978964552238807</v>
      </c>
      <c r="W27" s="179">
        <f>CFGVDC!$G$11-W21</f>
        <v>42.35419776119403</v>
      </c>
      <c r="X27" s="179">
        <f>CFGVDC!$G$11-X21</f>
        <v>41.729430970149252</v>
      </c>
      <c r="Y27" s="179">
        <f>CFGVDC!$G$11-Y21</f>
        <v>41.104664179104482</v>
      </c>
      <c r="Z27" s="179">
        <f>CFGVDC!$G$11-Z21</f>
        <v>40.479897388059705</v>
      </c>
      <c r="AA27" s="179">
        <f>CFGVDC!$G$11-AA21</f>
        <v>39.855130597014927</v>
      </c>
      <c r="AB27" s="179">
        <f>CFGVDC!$G$11-AB21</f>
        <v>39.230363805970157</v>
      </c>
      <c r="AC27" s="179">
        <f>CFGVDC!$G$11-AC21</f>
        <v>38.60559701492538</v>
      </c>
      <c r="AD27" s="179">
        <f>CFGVDC!$G$11-AD21</f>
        <v>37.980830223880602</v>
      </c>
      <c r="AE27" s="179">
        <f>CFGVDC!$G$11-AE21</f>
        <v>37.356063432835825</v>
      </c>
      <c r="AF27" s="179">
        <f>CFGVDC!$G$11-AF21</f>
        <v>36.731296641791047</v>
      </c>
      <c r="AG27" s="179">
        <f>CFGVDC!$G$11-AG21</f>
        <v>36.10652985074627</v>
      </c>
      <c r="AH27" s="179">
        <f>CFGVDC!$G$11-AH21</f>
        <v>35.481763059701493</v>
      </c>
      <c r="AI27" s="179">
        <f>CFGVDC!$G$11-AI21</f>
        <v>34.856996268656722</v>
      </c>
      <c r="AJ27" s="179">
        <f>CFGVDC!$G$11-AJ21</f>
        <v>34.232229477611938</v>
      </c>
      <c r="AK27" s="179">
        <f>CFGVDC!$G$11-AK21</f>
        <v>33.60746268656716</v>
      </c>
      <c r="AL27" s="179">
        <f>CFGVDC!$G$11-AL21</f>
        <v>32.98269589552239</v>
      </c>
      <c r="AM27" s="179">
        <f>CFGVDC!$G$11-AM21</f>
        <v>32.35792910447762</v>
      </c>
      <c r="AN27" s="179">
        <f>CFGVDC!$G$11-AN21</f>
        <v>31.733162313432842</v>
      </c>
      <c r="AO27" s="179">
        <f>CFGVDC!$G$11-AO21</f>
        <v>31.108395522388065</v>
      </c>
      <c r="AP27" s="179">
        <f>CFGVDC!$G$11-AP21</f>
        <v>30.483628731343284</v>
      </c>
      <c r="AQ27" s="179">
        <f>CFGVDC!$G$11-AQ21</f>
        <v>29.85886194029851</v>
      </c>
      <c r="AR27" s="179">
        <f>CFGVDC!$G$11-AR21</f>
        <v>29.234095149253733</v>
      </c>
      <c r="AS27" s="179">
        <f>CFGVDC!$G$11-AS21</f>
        <v>28.609328358208959</v>
      </c>
      <c r="AT27" s="179">
        <f>CFGVDC!$G$11-AT21</f>
        <v>27.984561567164185</v>
      </c>
      <c r="AU27" s="179">
        <f>CFGVDC!$G$11-AU21</f>
        <v>27.359794776119404</v>
      </c>
      <c r="AV27" s="179">
        <f>CFGVDC!$G$11-AV21</f>
        <v>26.73502798507463</v>
      </c>
      <c r="AW27" s="179">
        <f>CFGVDC!$G$11-AW21</f>
        <v>26.110261194029853</v>
      </c>
      <c r="AX27" s="179">
        <f>CFGVDC!$G$11-AX21</f>
        <v>25.485494402985079</v>
      </c>
      <c r="AY27" s="179">
        <f>CFGVDC!$G$11-AY21</f>
        <v>24.860727611940305</v>
      </c>
      <c r="AZ27" s="179">
        <f>CFGVDC!$G$11-AZ21</f>
        <v>24.235960820895528</v>
      </c>
      <c r="BA27" s="179">
        <f>CFGVDC!$G$11-BA21</f>
        <v>23.611194029850751</v>
      </c>
      <c r="BB27" s="179">
        <f>CFGVDC!$G$11-BB21</f>
        <v>22.986427238805973</v>
      </c>
      <c r="BC27" s="179">
        <f>CFGVDC!$G$11-BC21</f>
        <v>22.361660447761199</v>
      </c>
      <c r="BD27" s="179">
        <f>CFGVDC!$G$11-BD21</f>
        <v>21.736893656716418</v>
      </c>
    </row>
    <row r="28" spans="2:56" ht="16.5" customHeight="1">
      <c r="B28" s="13"/>
      <c r="C28" s="13"/>
      <c r="D28" s="13"/>
      <c r="F28" s="453"/>
      <c r="G28" s="462" t="s">
        <v>717</v>
      </c>
      <c r="H28" s="463"/>
      <c r="I28" s="179">
        <f t="shared" ref="I28:BD28" si="1">$I$13/I27</f>
        <v>17.475219148524467</v>
      </c>
      <c r="J28" s="179">
        <f t="shared" si="1"/>
        <v>17.691517996985795</v>
      </c>
      <c r="K28" s="179">
        <f t="shared" si="1"/>
        <v>17.913238411921999</v>
      </c>
      <c r="L28" s="179">
        <f t="shared" si="1"/>
        <v>18.140586819073754</v>
      </c>
      <c r="M28" s="179">
        <f t="shared" si="1"/>
        <v>18.373780258420151</v>
      </c>
      <c r="N28" s="179">
        <f t="shared" si="1"/>
        <v>18.613047075281756</v>
      </c>
      <c r="O28" s="179">
        <f t="shared" si="1"/>
        <v>18.858627666134112</v>
      </c>
      <c r="P28" s="179">
        <f t="shared" si="1"/>
        <v>19.110775284252259</v>
      </c>
      <c r="Q28" s="179">
        <f t="shared" si="1"/>
        <v>19.36975691086192</v>
      </c>
      <c r="R28" s="179">
        <f t="shared" si="1"/>
        <v>19.635854198096713</v>
      </c>
      <c r="S28" s="179">
        <f t="shared" si="1"/>
        <v>19.909364490762787</v>
      </c>
      <c r="T28" s="179">
        <f t="shared" si="1"/>
        <v>20.190601934703491</v>
      </c>
      <c r="U28" s="179">
        <f t="shared" si="1"/>
        <v>20.479898680449775</v>
      </c>
      <c r="V28" s="179">
        <f t="shared" si="1"/>
        <v>20.777606191852357</v>
      </c>
      <c r="W28" s="179">
        <f t="shared" si="1"/>
        <v>21.084096670535661</v>
      </c>
      <c r="X28" s="179">
        <f t="shared" si="1"/>
        <v>21.399764608312033</v>
      </c>
      <c r="Y28" s="179">
        <f t="shared" si="1"/>
        <v>21.725028481170654</v>
      </c>
      <c r="Z28" s="179">
        <f t="shared" si="1"/>
        <v>22.06033260013665</v>
      </c>
      <c r="AA28" s="179">
        <f t="shared" si="1"/>
        <v>22.406149136213944</v>
      </c>
      <c r="AB28" s="179">
        <f t="shared" si="1"/>
        <v>22.762980338818611</v>
      </c>
      <c r="AC28" s="179">
        <f t="shared" si="1"/>
        <v>23.131360969621987</v>
      </c>
      <c r="AD28" s="179">
        <f t="shared" si="1"/>
        <v>23.511860976607156</v>
      </c>
      <c r="AE28" s="179">
        <f t="shared" si="1"/>
        <v>23.905088436461341</v>
      </c>
      <c r="AF28" s="179">
        <f t="shared" si="1"/>
        <v>24.311692797253144</v>
      </c>
      <c r="AG28" s="179">
        <f t="shared" si="1"/>
        <v>24.732368457766455</v>
      </c>
      <c r="AH28" s="179">
        <f t="shared" si="1"/>
        <v>25.167858724986164</v>
      </c>
      <c r="AI28" s="179">
        <f t="shared" si="1"/>
        <v>25.618960197180908</v>
      </c>
      <c r="AJ28" s="179">
        <f t="shared" si="1"/>
        <v>26.086527626955377</v>
      </c>
      <c r="AK28" s="179">
        <f t="shared" si="1"/>
        <v>26.571479326730916</v>
      </c>
      <c r="AL28" s="179">
        <f t="shared" si="1"/>
        <v>27.074803188578361</v>
      </c>
      <c r="AM28" s="179">
        <f t="shared" si="1"/>
        <v>27.597563401436236</v>
      </c>
      <c r="AN28" s="179">
        <f t="shared" si="1"/>
        <v>28.140907961826031</v>
      </c>
      <c r="AO28" s="179">
        <f t="shared" si="1"/>
        <v>28.706077089618024</v>
      </c>
      <c r="AP28" s="179">
        <f t="shared" si="1"/>
        <v>29.29441267869192</v>
      </c>
      <c r="AQ28" s="179">
        <f t="shared" si="1"/>
        <v>29.907368934071048</v>
      </c>
      <c r="AR28" s="179">
        <f t="shared" si="1"/>
        <v>30.546524373024621</v>
      </c>
      <c r="AS28" s="179">
        <f t="shared" si="1"/>
        <v>31.213595398640976</v>
      </c>
      <c r="AT28" s="179">
        <f t="shared" si="1"/>
        <v>31.910451691614341</v>
      </c>
      <c r="AU28" s="179">
        <f t="shared" si="1"/>
        <v>32.639133710880095</v>
      </c>
      <c r="AV28" s="179">
        <f t="shared" si="1"/>
        <v>33.401872648068121</v>
      </c>
      <c r="AW28" s="179">
        <f t="shared" si="1"/>
        <v>34.201113246779229</v>
      </c>
      <c r="AX28" s="179">
        <f t="shared" si="1"/>
        <v>35.039539978294641</v>
      </c>
      <c r="AY28" s="179">
        <f t="shared" si="1"/>
        <v>35.920107164164534</v>
      </c>
      <c r="AZ28" s="179">
        <f t="shared" si="1"/>
        <v>36.846073757887986</v>
      </c>
      <c r="BA28" s="179">
        <f t="shared" si="1"/>
        <v>37.821043648661458</v>
      </c>
      <c r="BB28" s="179">
        <f t="shared" si="1"/>
        <v>38.849012537817373</v>
      </c>
      <c r="BC28" s="179">
        <f t="shared" si="1"/>
        <v>39.934422673402381</v>
      </c>
      <c r="BD28" s="179">
        <f t="shared" si="1"/>
        <v>41.082227023918598</v>
      </c>
    </row>
    <row r="29" spans="2:56" ht="16.5" customHeight="1">
      <c r="B29" s="13"/>
      <c r="C29" s="13"/>
      <c r="D29" s="13"/>
      <c r="F29" s="321"/>
      <c r="G29" s="458" t="s">
        <v>718</v>
      </c>
      <c r="H29" s="459"/>
      <c r="I29" s="179">
        <f>CFGVDC!$G$12-I22</f>
        <v>53.608035714285712</v>
      </c>
      <c r="J29" s="179">
        <f>CFGVDC!$G$12-J22</f>
        <v>53.010044642857146</v>
      </c>
      <c r="K29" s="179">
        <f>CFGVDC!$G$12-K22</f>
        <v>52.412053571428572</v>
      </c>
      <c r="L29" s="179">
        <f>CFGVDC!$G$12-L22</f>
        <v>51.814062499999999</v>
      </c>
      <c r="M29" s="179">
        <f>CFGVDC!$G$12-M22</f>
        <v>51.216071428571425</v>
      </c>
      <c r="N29" s="179">
        <f>CFGVDC!$G$12-N22</f>
        <v>50.618080357142858</v>
      </c>
      <c r="O29" s="179">
        <f>CFGVDC!$G$12-O22</f>
        <v>50.020089285714285</v>
      </c>
      <c r="P29" s="179">
        <f>CFGVDC!$G$12-P22</f>
        <v>49.422098214285711</v>
      </c>
      <c r="Q29" s="179">
        <f>CFGVDC!$G$12-Q22</f>
        <v>48.824107142857144</v>
      </c>
      <c r="R29" s="179">
        <f>CFGVDC!$G$12-R22</f>
        <v>48.226116071428571</v>
      </c>
      <c r="S29" s="179">
        <f>CFGVDC!$G$12-S22</f>
        <v>47.628124999999997</v>
      </c>
      <c r="T29" s="179">
        <f>CFGVDC!$G$12-T22</f>
        <v>47.030133928571431</v>
      </c>
      <c r="U29" s="179">
        <f>CFGVDC!$G$12-U22</f>
        <v>46.432142857142857</v>
      </c>
      <c r="V29" s="179">
        <f>CFGVDC!$G$12-V22</f>
        <v>45.834151785714283</v>
      </c>
      <c r="W29" s="179">
        <f>CFGVDC!$G$12-W22</f>
        <v>45.236160714285717</v>
      </c>
      <c r="X29" s="179">
        <f>CFGVDC!$G$12-X22</f>
        <v>44.638169642857143</v>
      </c>
      <c r="Y29" s="179">
        <f>CFGVDC!$G$12-Y22</f>
        <v>44.040178571428569</v>
      </c>
      <c r="Z29" s="179">
        <f>CFGVDC!$G$12-Z22</f>
        <v>43.442187500000003</v>
      </c>
      <c r="AA29" s="179">
        <f>CFGVDC!$G$12-AA22</f>
        <v>42.844196428571429</v>
      </c>
      <c r="AB29" s="179">
        <f>CFGVDC!$G$12-AB22</f>
        <v>42.246205357142856</v>
      </c>
      <c r="AC29" s="179">
        <f>CFGVDC!$G$12-AC22</f>
        <v>41.648214285714289</v>
      </c>
      <c r="AD29" s="179">
        <f>CFGVDC!$G$12-AD22</f>
        <v>41.050223214285715</v>
      </c>
      <c r="AE29" s="179">
        <f>CFGVDC!$G$12-AE22</f>
        <v>40.452232142857142</v>
      </c>
      <c r="AF29" s="179">
        <f>CFGVDC!$G$12-AF22</f>
        <v>39.854241071428575</v>
      </c>
      <c r="AG29" s="179">
        <f>CFGVDC!$G$12-AG22</f>
        <v>39.256250000000001</v>
      </c>
      <c r="AH29" s="179">
        <f>CFGVDC!$G$12-AH22</f>
        <v>38.658258928571428</v>
      </c>
      <c r="AI29" s="179">
        <f>CFGVDC!$G$12-AI22</f>
        <v>38.060267857142854</v>
      </c>
      <c r="AJ29" s="179">
        <f>CFGVDC!$G$12-AJ22</f>
        <v>37.462276785714288</v>
      </c>
      <c r="AK29" s="179">
        <f>CFGVDC!$G$12-AK22</f>
        <v>36.864285714285714</v>
      </c>
      <c r="AL29" s="179">
        <f>CFGVDC!$G$12-AL22</f>
        <v>36.266294642857147</v>
      </c>
      <c r="AM29" s="179">
        <f>CFGVDC!$G$12-AM22</f>
        <v>35.668303571428574</v>
      </c>
      <c r="AN29" s="179">
        <f>CFGVDC!$G$12-AN22</f>
        <v>35.0703125</v>
      </c>
      <c r="AO29" s="179">
        <f>CFGVDC!$G$12-AO22</f>
        <v>34.472321428571433</v>
      </c>
      <c r="AP29" s="179">
        <f>CFGVDC!$G$12-AP22</f>
        <v>33.874330357142853</v>
      </c>
      <c r="AQ29" s="179">
        <f>CFGVDC!$G$12-AQ22</f>
        <v>33.276339285714286</v>
      </c>
      <c r="AR29" s="179">
        <f>CFGVDC!$G$12-AR22</f>
        <v>32.678348214285712</v>
      </c>
      <c r="AS29" s="179">
        <f>CFGVDC!$G$12-AS22</f>
        <v>32.080357142857146</v>
      </c>
      <c r="AT29" s="179">
        <f>CFGVDC!$G$12-AT22</f>
        <v>31.482366071428572</v>
      </c>
      <c r="AU29" s="179">
        <f>CFGVDC!$G$12-AU22</f>
        <v>30.884374999999999</v>
      </c>
      <c r="AV29" s="179">
        <f>CFGVDC!$G$12-AV22</f>
        <v>30.286383928571432</v>
      </c>
      <c r="AW29" s="179">
        <f>CFGVDC!$G$12-AW22</f>
        <v>29.688392857142855</v>
      </c>
      <c r="AX29" s="179">
        <f>CFGVDC!$G$12-AX22</f>
        <v>29.090401785714285</v>
      </c>
      <c r="AY29" s="179">
        <f>CFGVDC!$G$12-AY22</f>
        <v>28.492410714285715</v>
      </c>
      <c r="AZ29" s="179">
        <f>CFGVDC!$G$12-AZ22</f>
        <v>27.894419642857144</v>
      </c>
      <c r="BA29" s="179">
        <f>CFGVDC!$G$12-BA22</f>
        <v>27.296428571428571</v>
      </c>
      <c r="BB29" s="179">
        <f>CFGVDC!$G$12-BB22</f>
        <v>26.698437500000001</v>
      </c>
      <c r="BC29" s="179">
        <f>CFGVDC!$G$12-BC22</f>
        <v>26.100446428571431</v>
      </c>
      <c r="BD29" s="179">
        <f>CFGVDC!$G$12-BD22</f>
        <v>25.502455357142853</v>
      </c>
    </row>
    <row r="30" spans="2:56" ht="16.5" customHeight="1">
      <c r="B30" s="13"/>
      <c r="C30" s="13"/>
      <c r="D30" s="13"/>
      <c r="F30" s="453"/>
      <c r="G30" s="458" t="s">
        <v>719</v>
      </c>
      <c r="H30" s="459"/>
      <c r="I30" s="179">
        <f t="shared" ref="I30:BD30" si="2">$I$13/I29</f>
        <v>16.657950400559617</v>
      </c>
      <c r="J30" s="179">
        <f t="shared" si="2"/>
        <v>16.845863949302061</v>
      </c>
      <c r="K30" s="179">
        <f t="shared" si="2"/>
        <v>17.038065466810899</v>
      </c>
      <c r="L30" s="179">
        <f t="shared" si="2"/>
        <v>17.234703416664154</v>
      </c>
      <c r="M30" s="179">
        <f t="shared" si="2"/>
        <v>17.435933196192604</v>
      </c>
      <c r="N30" s="179">
        <f t="shared" si="2"/>
        <v>17.641917546049061</v>
      </c>
      <c r="O30" s="179">
        <f t="shared" si="2"/>
        <v>17.852826989156142</v>
      </c>
      <c r="P30" s="179">
        <f t="shared" si="2"/>
        <v>18.068840301520702</v>
      </c>
      <c r="Q30" s="179">
        <f t="shared" si="2"/>
        <v>18.290145017647166</v>
      </c>
      <c r="R30" s="179">
        <f t="shared" si="2"/>
        <v>18.516937973552785</v>
      </c>
      <c r="S30" s="179">
        <f t="shared" si="2"/>
        <v>18.74942589068959</v>
      </c>
      <c r="T30" s="179">
        <f t="shared" si="2"/>
        <v>18.987826004413961</v>
      </c>
      <c r="U30" s="179">
        <f t="shared" si="2"/>
        <v>19.23236674101992</v>
      </c>
      <c r="V30" s="179">
        <f t="shared" si="2"/>
        <v>19.483288447771226</v>
      </c>
      <c r="W30" s="179">
        <f t="shared" si="2"/>
        <v>19.740844180836678</v>
      </c>
      <c r="X30" s="179">
        <f t="shared" si="2"/>
        <v>20.005300556558439</v>
      </c>
      <c r="Y30" s="179">
        <f t="shared" si="2"/>
        <v>20.276938672072987</v>
      </c>
      <c r="Z30" s="179">
        <f t="shared" si="2"/>
        <v>20.556055101967413</v>
      </c>
      <c r="AA30" s="179">
        <f t="shared" si="2"/>
        <v>20.842962978399726</v>
      </c>
      <c r="AB30" s="179">
        <f t="shared" si="2"/>
        <v>21.137993162953141</v>
      </c>
      <c r="AC30" s="179">
        <f t="shared" si="2"/>
        <v>21.441495519444324</v>
      </c>
      <c r="AD30" s="179">
        <f t="shared" si="2"/>
        <v>21.753840297979934</v>
      </c>
      <c r="AE30" s="179">
        <f t="shared" si="2"/>
        <v>22.075419641773255</v>
      </c>
      <c r="AF30" s="179">
        <f t="shared" si="2"/>
        <v>22.406649229614608</v>
      </c>
      <c r="AG30" s="179">
        <f t="shared" si="2"/>
        <v>22.747970068460436</v>
      </c>
      <c r="AH30" s="179">
        <f t="shared" si="2"/>
        <v>23.099850452395938</v>
      </c>
      <c r="AI30" s="179">
        <f t="shared" si="2"/>
        <v>23.462788106269429</v>
      </c>
      <c r="AJ30" s="179">
        <f t="shared" si="2"/>
        <v>23.837312534633053</v>
      </c>
      <c r="AK30" s="179">
        <f t="shared" si="2"/>
        <v>24.223987599302461</v>
      </c>
      <c r="AL30" s="179">
        <f t="shared" si="2"/>
        <v>24.623414351923085</v>
      </c>
      <c r="AM30" s="179">
        <f t="shared" si="2"/>
        <v>25.036234151470016</v>
      </c>
      <c r="AN30" s="179">
        <f t="shared" si="2"/>
        <v>25.463132100690576</v>
      </c>
      <c r="AO30" s="179">
        <f t="shared" si="2"/>
        <v>25.904840840218597</v>
      </c>
      <c r="AP30" s="179">
        <f t="shared" si="2"/>
        <v>26.362144744558737</v>
      </c>
      <c r="AQ30" s="179">
        <f t="shared" si="2"/>
        <v>26.835884570493299</v>
      </c>
      <c r="AR30" s="179">
        <f t="shared" si="2"/>
        <v>27.326962615864865</v>
      </c>
      <c r="AS30" s="179">
        <f t="shared" si="2"/>
        <v>27.836348455329805</v>
      </c>
      <c r="AT30" s="179">
        <f t="shared" si="2"/>
        <v>28.365085329797719</v>
      </c>
      <c r="AU30" s="179">
        <f t="shared" si="2"/>
        <v>28.914297278154407</v>
      </c>
      <c r="AV30" s="179">
        <f t="shared" si="2"/>
        <v>29.485197113860981</v>
      </c>
      <c r="AW30" s="179">
        <f t="shared" si="2"/>
        <v>30.079095365552917</v>
      </c>
      <c r="AX30" s="179">
        <f t="shared" si="2"/>
        <v>30.697410320352965</v>
      </c>
      <c r="AY30" s="179">
        <f t="shared" si="2"/>
        <v>31.341679331902291</v>
      </c>
      <c r="AZ30" s="179">
        <f t="shared" si="2"/>
        <v>32.013571582897882</v>
      </c>
      <c r="BA30" s="179">
        <f t="shared" si="2"/>
        <v>32.714902525186446</v>
      </c>
      <c r="BB30" s="179">
        <f t="shared" si="2"/>
        <v>33.447650260431907</v>
      </c>
      <c r="BC30" s="179">
        <f t="shared" si="2"/>
        <v>34.213974172581885</v>
      </c>
      <c r="BD30" s="179">
        <f t="shared" si="2"/>
        <v>35.016236181740211</v>
      </c>
    </row>
    <row r="31" spans="2:56" ht="16.5" customHeight="1">
      <c r="B31" s="13"/>
      <c r="C31" s="13"/>
      <c r="D31" s="13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2" spans="2:56" ht="16.5" customHeight="1">
      <c r="B32" s="13"/>
      <c r="C32" s="13"/>
      <c r="D32" s="13"/>
    </row>
    <row r="33" spans="2:16" ht="16.5" customHeight="1">
      <c r="B33" s="13"/>
      <c r="C33" s="13"/>
      <c r="D33" s="13"/>
      <c r="F33" s="292" t="s">
        <v>720</v>
      </c>
      <c r="G33" s="292"/>
      <c r="H33" s="292"/>
      <c r="I33" s="292"/>
      <c r="J33" s="292"/>
    </row>
    <row r="34" spans="2:16" ht="16.5" customHeight="1">
      <c r="B34" s="13"/>
      <c r="C34" s="13"/>
      <c r="D34" s="13"/>
      <c r="F34" s="292"/>
      <c r="G34" s="292"/>
      <c r="H34" s="292"/>
      <c r="I34" s="292"/>
      <c r="J34" s="292"/>
    </row>
    <row r="35" spans="2:16" ht="16.5" customHeight="1">
      <c r="B35" s="13"/>
      <c r="C35" s="13"/>
      <c r="D35" s="13"/>
      <c r="F35" s="32" t="s">
        <v>360</v>
      </c>
      <c r="J35"/>
      <c r="K35"/>
      <c r="L35" s="19" t="s">
        <v>363</v>
      </c>
      <c r="M35" s="19" t="s">
        <v>364</v>
      </c>
    </row>
    <row r="36" spans="2:16" ht="16.5" customHeight="1">
      <c r="B36" s="13"/>
      <c r="C36" s="13"/>
      <c r="D36" s="13"/>
      <c r="F36" s="455" t="s">
        <v>721</v>
      </c>
      <c r="G36" s="456"/>
      <c r="H36" s="456"/>
      <c r="I36" s="456"/>
      <c r="J36" s="457"/>
      <c r="K36" s="136" t="s">
        <v>158</v>
      </c>
      <c r="L36" s="20" t="str">
        <f>IFERROR((VLOOKUP(F36,DB_RANEQ,5,0)),"")</f>
        <v/>
      </c>
      <c r="M36" s="21" t="str">
        <f>IFERROR((VLOOKUP(F36,DB_RANEQ,6,0)),"")</f>
        <v/>
      </c>
    </row>
    <row r="37" spans="2:16" ht="16.5" customHeight="1">
      <c r="B37" s="13"/>
      <c r="C37" s="13"/>
      <c r="D37" s="13"/>
    </row>
    <row r="38" spans="2:16" ht="16.5" customHeight="1">
      <c r="B38" s="13"/>
      <c r="C38" s="13"/>
      <c r="D38" s="13"/>
    </row>
    <row r="39" spans="2:16" ht="16.5" customHeight="1">
      <c r="B39" s="13"/>
      <c r="C39" s="13"/>
      <c r="D39" s="13"/>
    </row>
    <row r="40" spans="2:16" ht="16.5" customHeight="1">
      <c r="B40" s="13"/>
      <c r="C40" s="13"/>
      <c r="D40" s="13"/>
    </row>
    <row r="41" spans="2:16" ht="16.5" customHeight="1">
      <c r="B41" s="13"/>
      <c r="C41" s="13"/>
      <c r="D41" s="13"/>
    </row>
    <row r="42" spans="2:16" ht="16.5" customHeight="1">
      <c r="B42" s="13"/>
      <c r="C42" s="13"/>
      <c r="D42" s="13"/>
      <c r="G42" s="86" t="s">
        <v>722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6.5" customHeight="1">
      <c r="B43" s="13"/>
      <c r="C43" s="13"/>
      <c r="D43" s="13"/>
      <c r="F43" s="83" t="s">
        <v>191</v>
      </c>
      <c r="G43" s="39" t="s">
        <v>723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6.5" customHeight="1">
      <c r="B44" s="13"/>
      <c r="C44" s="13"/>
      <c r="D44" s="13"/>
      <c r="F44" s="83" t="s">
        <v>191</v>
      </c>
      <c r="G44" s="39" t="s">
        <v>724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6.5" customHeight="1">
      <c r="B45" s="13"/>
      <c r="C45" s="13"/>
      <c r="D45" s="13"/>
      <c r="F45" s="83" t="s">
        <v>191</v>
      </c>
      <c r="G45" s="39" t="s">
        <v>725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6.5" customHeight="1">
      <c r="B46" s="13"/>
      <c r="C46" s="13"/>
      <c r="D46" s="13"/>
      <c r="F46" s="83" t="s">
        <v>191</v>
      </c>
      <c r="G46" s="39" t="s">
        <v>726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6.5" customHeight="1">
      <c r="B47" s="13"/>
      <c r="C47" s="13"/>
      <c r="D47" s="13"/>
      <c r="F47" s="83" t="s">
        <v>191</v>
      </c>
      <c r="G47" s="39" t="s">
        <v>727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6.5" customHeight="1">
      <c r="B48" s="13"/>
      <c r="C48" s="13"/>
      <c r="D48" s="13"/>
      <c r="F48" s="83" t="s">
        <v>191</v>
      </c>
      <c r="G48" s="182" t="s">
        <v>728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6.5" customHeight="1">
      <c r="B49" s="13"/>
      <c r="C49" s="13"/>
      <c r="D49" s="13"/>
      <c r="F49" s="83" t="s">
        <v>191</v>
      </c>
      <c r="G49" s="39" t="s">
        <v>729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6.5" customHeight="1">
      <c r="B50" s="13"/>
      <c r="C50" s="13"/>
      <c r="D50" s="13"/>
      <c r="F50" s="83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6.5" customHeight="1">
      <c r="B51" s="13"/>
      <c r="C51" s="13"/>
      <c r="D51" s="13"/>
      <c r="F51" s="83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6.5" customHeight="1">
      <c r="B52" s="13"/>
      <c r="C52" s="13"/>
      <c r="D52" s="13"/>
      <c r="F52" s="83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6.5" customHeight="1">
      <c r="B53" s="13"/>
      <c r="C53" s="13"/>
      <c r="D53" s="13"/>
      <c r="F53" s="180"/>
      <c r="J53"/>
      <c r="K53"/>
      <c r="L53"/>
      <c r="M53"/>
      <c r="N53"/>
      <c r="O53"/>
      <c r="P53"/>
    </row>
    <row r="54" spans="2:16" ht="16.5" customHeight="1">
      <c r="B54" s="13"/>
      <c r="C54" s="13"/>
      <c r="D54" s="13"/>
      <c r="F54" s="181" t="s">
        <v>730</v>
      </c>
      <c r="J54"/>
      <c r="K54"/>
      <c r="L54"/>
      <c r="M54"/>
      <c r="N54"/>
      <c r="O54"/>
      <c r="P54"/>
    </row>
    <row r="55" spans="2:16" ht="16.5" customHeight="1">
      <c r="B55" s="13"/>
      <c r="C55" s="13"/>
      <c r="D55" s="13"/>
      <c r="J55"/>
      <c r="K55"/>
      <c r="L55"/>
      <c r="M55"/>
      <c r="N55"/>
      <c r="O55"/>
      <c r="P55"/>
    </row>
    <row r="56" spans="2:16" ht="16.5" customHeight="1">
      <c r="B56" s="13"/>
      <c r="C56" s="13"/>
      <c r="D56" s="13"/>
      <c r="F56" s="180" t="s">
        <v>731</v>
      </c>
      <c r="J56"/>
      <c r="K56"/>
      <c r="L56"/>
      <c r="M56"/>
      <c r="N56"/>
      <c r="O56"/>
      <c r="P56"/>
    </row>
    <row r="57" spans="2:16" ht="16.5" customHeight="1">
      <c r="B57" s="13"/>
      <c r="C57" s="13"/>
      <c r="D57" s="13"/>
      <c r="F57" s="180" t="s">
        <v>732</v>
      </c>
      <c r="J57"/>
      <c r="K57"/>
      <c r="L57"/>
      <c r="M57"/>
      <c r="N57"/>
      <c r="O57"/>
      <c r="P57"/>
    </row>
    <row r="58" spans="2:16" ht="16.5" customHeight="1">
      <c r="B58" s="13"/>
      <c r="C58" s="13"/>
      <c r="D58" s="13"/>
      <c r="F58" s="180" t="s">
        <v>733</v>
      </c>
      <c r="J58"/>
      <c r="K58"/>
      <c r="L58"/>
      <c r="M58"/>
      <c r="N58"/>
      <c r="O58"/>
      <c r="P58"/>
    </row>
    <row r="59" spans="2:16" ht="16.5" customHeight="1">
      <c r="B59" s="13"/>
      <c r="C59" s="13"/>
      <c r="D59" s="13"/>
      <c r="F59" s="180"/>
      <c r="J59"/>
      <c r="K59"/>
      <c r="L59"/>
      <c r="M59"/>
      <c r="N59"/>
      <c r="O59"/>
      <c r="P59"/>
    </row>
    <row r="60" spans="2:16">
      <c r="J60"/>
      <c r="K60"/>
      <c r="L60"/>
      <c r="M60"/>
      <c r="N60"/>
      <c r="O60"/>
      <c r="P60"/>
    </row>
    <row r="61" spans="2:16">
      <c r="O61"/>
      <c r="P61"/>
    </row>
    <row r="62" spans="2:16">
      <c r="J62"/>
      <c r="K62"/>
      <c r="L62"/>
      <c r="M62"/>
      <c r="N62"/>
      <c r="O62"/>
      <c r="P62"/>
    </row>
    <row r="63" spans="2:16">
      <c r="J63"/>
      <c r="K63"/>
      <c r="L63"/>
      <c r="M63"/>
      <c r="N63"/>
      <c r="O63"/>
      <c r="P63"/>
    </row>
    <row r="64" spans="2:16">
      <c r="F64" s="180"/>
      <c r="J64"/>
      <c r="K64"/>
      <c r="L64"/>
      <c r="M64"/>
      <c r="N64"/>
      <c r="O64"/>
      <c r="P64"/>
    </row>
  </sheetData>
  <mergeCells count="42">
    <mergeCell ref="F27:F28"/>
    <mergeCell ref="F29:F30"/>
    <mergeCell ref="F36:J36"/>
    <mergeCell ref="F7:L8"/>
    <mergeCell ref="G22:H22"/>
    <mergeCell ref="F33:J34"/>
    <mergeCell ref="G30:H30"/>
    <mergeCell ref="G13:H13"/>
    <mergeCell ref="G12:H12"/>
    <mergeCell ref="G25:H25"/>
    <mergeCell ref="G26:H26"/>
    <mergeCell ref="G27:H27"/>
    <mergeCell ref="G28:H28"/>
    <mergeCell ref="G29:H29"/>
    <mergeCell ref="F16:J17"/>
    <mergeCell ref="G19:H19"/>
    <mergeCell ref="B12:D12"/>
    <mergeCell ref="B13:D13"/>
    <mergeCell ref="B14:D14"/>
    <mergeCell ref="B15:D15"/>
    <mergeCell ref="B16:D16"/>
    <mergeCell ref="B24:D24"/>
    <mergeCell ref="B25:D25"/>
    <mergeCell ref="B26:D26"/>
    <mergeCell ref="B27:D27"/>
    <mergeCell ref="B17:D17"/>
    <mergeCell ref="B18:D18"/>
    <mergeCell ref="B19:D19"/>
    <mergeCell ref="B20:D20"/>
    <mergeCell ref="B21:D21"/>
    <mergeCell ref="B22:D22"/>
    <mergeCell ref="B23:D23"/>
    <mergeCell ref="B9:D9"/>
    <mergeCell ref="B10:D10"/>
    <mergeCell ref="B11:D11"/>
    <mergeCell ref="G10:H10"/>
    <mergeCell ref="G11:H11"/>
    <mergeCell ref="G20:H20"/>
    <mergeCell ref="G21:H21"/>
    <mergeCell ref="F25:F26"/>
    <mergeCell ref="F2:P4"/>
    <mergeCell ref="Q2:T4"/>
  </mergeCells>
  <conditionalFormatting sqref="F10:F13">
    <cfRule type="cellIs" dxfId="27" priority="27" operator="equal">
      <formula>"ERR1"</formula>
    </cfRule>
    <cfRule type="cellIs" dxfId="26" priority="28" operator="equal">
      <formula>"ERR2"</formula>
    </cfRule>
    <cfRule type="cellIs" dxfId="25" priority="29" operator="equal">
      <formula>"ERR"</formula>
    </cfRule>
    <cfRule type="cellIs" dxfId="24" priority="30" operator="equal">
      <formula>"OK"</formula>
    </cfRule>
  </conditionalFormatting>
  <conditionalFormatting sqref="I13">
    <cfRule type="cellIs" dxfId="23" priority="26" operator="notEqual">
      <formula>""</formula>
    </cfRule>
  </conditionalFormatting>
  <conditionalFormatting sqref="I10:I11">
    <cfRule type="cellIs" dxfId="22" priority="25" operator="notEqual">
      <formula>""</formula>
    </cfRule>
  </conditionalFormatting>
  <conditionalFormatting sqref="F19:F22">
    <cfRule type="cellIs" dxfId="21" priority="21" operator="equal">
      <formula>"ERR1"</formula>
    </cfRule>
    <cfRule type="cellIs" dxfId="20" priority="22" operator="equal">
      <formula>"ERR2"</formula>
    </cfRule>
    <cfRule type="cellIs" dxfId="19" priority="23" operator="equal">
      <formula>"ERR"</formula>
    </cfRule>
    <cfRule type="cellIs" dxfId="18" priority="24" operator="equal">
      <formula>"OK"</formula>
    </cfRule>
  </conditionalFormatting>
  <conditionalFormatting sqref="F25 F27 F29">
    <cfRule type="cellIs" dxfId="17" priority="17" operator="equal">
      <formula>"ERR1"</formula>
    </cfRule>
    <cfRule type="cellIs" dxfId="16" priority="18" operator="equal">
      <formula>"ERR2"</formula>
    </cfRule>
    <cfRule type="cellIs" dxfId="15" priority="19" operator="equal">
      <formula>"ERR"</formula>
    </cfRule>
    <cfRule type="cellIs" dxfId="14" priority="20" operator="equal">
      <formula>"OK"</formula>
    </cfRule>
  </conditionalFormatting>
  <conditionalFormatting sqref="I12">
    <cfRule type="cellIs" dxfId="13" priority="16" operator="notEqual">
      <formula>""</formula>
    </cfRule>
  </conditionalFormatting>
  <conditionalFormatting sqref="F36">
    <cfRule type="cellIs" dxfId="12" priority="3" operator="notEqual">
      <formula>""</formula>
    </cfRule>
  </conditionalFormatting>
  <conditionalFormatting sqref="I26:BD26">
    <cfRule type="cellIs" dxfId="11" priority="18382" operator="lessThan">
      <formula>$I$12</formula>
    </cfRule>
    <cfRule type="cellIs" dxfId="10" priority="18383" operator="greaterThan">
      <formula>$I$12</formula>
    </cfRule>
  </conditionalFormatting>
  <conditionalFormatting sqref="I28:BD28">
    <cfRule type="cellIs" dxfId="9" priority="18384" operator="lessThan">
      <formula>$I$12</formula>
    </cfRule>
    <cfRule type="cellIs" dxfId="8" priority="18385" operator="greaterThan">
      <formula>$I$12</formula>
    </cfRule>
  </conditionalFormatting>
  <conditionalFormatting sqref="I30:BD30">
    <cfRule type="cellIs" dxfId="7" priority="18386" operator="lessThan">
      <formula>$I$12</formula>
    </cfRule>
    <cfRule type="cellIs" dxfId="6" priority="18387" operator="greaterThan">
      <formula>$I$12</formula>
    </cfRule>
  </conditionalFormatting>
  <dataValidations count="2">
    <dataValidation type="list" allowBlank="1" showInputMessage="1" showErrorMessage="1" sqref="I11" xr:uid="{06A43A50-3580-4791-BEFF-08A0755566AD}">
      <formula1>DLINK_CABLESIZE</formula1>
    </dataValidation>
    <dataValidation type="list" allowBlank="1" showInputMessage="1" showErrorMessage="1" sqref="F36" xr:uid="{15E800BC-4B32-448C-8C20-75F49775A16F}">
      <formula1>SELECT_RANEQ</formula1>
    </dataValidation>
  </dataValidations>
  <hyperlinks>
    <hyperlink ref="B10" location="'DASH'!A1" display="DASHBOARD" xr:uid="{7C6C3C4E-80F2-4D4C-9358-4EB6D4E3315D}"/>
    <hyperlink ref="B11" location="'DES-GL'!A1" display="DESIGN GUIDELINES" xr:uid="{A324A776-9896-4228-8207-FC1413B1C802}"/>
    <hyperlink ref="B13" location="'EXT-MAINS-DT'!A1" display="EXISTING POWER DESIGN" xr:uid="{2090BDB9-50B3-4625-A0C9-606FAD33094B}"/>
    <hyperlink ref="B14" location="'EXT-CALC'!A1" display="EXISTING DEMAND" xr:uid="{AEB50CF5-E30E-41FF-8195-755F675F8763}"/>
    <hyperlink ref="B16" location="'CALC'!A1" display="POWER CALCULATOR" xr:uid="{A5845190-6134-4D19-BF60-7D47F8F0F96B}"/>
    <hyperlink ref="B17" location="'PLBC-CALC'!A1" display="PLBC CALCULATOR" xr:uid="{14945085-3C74-4C13-9F9C-D07B9C460B34}"/>
    <hyperlink ref="B18" location="'VDC'!A1" display="VD CALCULATOR" xr:uid="{23BFFE4F-6408-4467-9E9A-ED187E625094}"/>
    <hyperlink ref="B20" location="'PRP-SOL'!A1" display="PROPOSED POWER DESIGN" xr:uid="{87C6B4C3-3B93-4891-8991-76D4784118A1}"/>
    <hyperlink ref="B25" location="'DC'!A1" display="DOCUMENT CONTROL" xr:uid="{82FD32CF-D571-4062-83BB-11C008CBE36F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ignoredErrors>
    <ignoredError sqref="I30 I27:I29 J29:Z29 J27:BD27 AM29:BD29 AC29:AK29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operator="greaterThan" id="{C5257D1A-7337-4822-9C8F-BBFE5E70E38F}">
            <xm:f>CFGVDC!$G$13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15" operator="lessThan" id="{08068D9F-5212-4A86-9D16-51043EAAB975}">
            <xm:f>CFGVDC!$G$13</xm:f>
            <x14:dxf>
              <fill>
                <patternFill>
                  <bgColor theme="5" tint="0.79998168889431442"/>
                </patternFill>
              </fill>
            </x14:dxf>
          </x14:cfRule>
          <xm:sqref>I25:BD25</xm:sqref>
        </x14:conditionalFormatting>
        <x14:conditionalFormatting xmlns:xm="http://schemas.microsoft.com/office/excel/2006/main">
          <x14:cfRule type="cellIs" priority="10" operator="greaterThan" id="{B1B161A9-0228-4DDA-8586-B447DA21C9A8}">
            <xm:f>CFGVDC!$G$13</xm:f>
            <x14:dxf>
              <fill>
                <patternFill>
                  <bgColor theme="8" tint="0.59996337778862885"/>
                </patternFill>
              </fill>
            </x14:dxf>
          </x14:cfRule>
          <x14:cfRule type="cellIs" priority="11" operator="lessThan" id="{144CA583-85D5-4F68-84EA-760630555A22}">
            <xm:f>CFGVDC!$G$13</xm:f>
            <x14:dxf>
              <fill>
                <patternFill>
                  <bgColor theme="5" tint="0.79998168889431442"/>
                </patternFill>
              </fill>
            </x14:dxf>
          </x14:cfRule>
          <xm:sqref>I27:BD27</xm:sqref>
        </x14:conditionalFormatting>
        <x14:conditionalFormatting xmlns:xm="http://schemas.microsoft.com/office/excel/2006/main">
          <x14:cfRule type="cellIs" priority="6" operator="greaterThan" id="{13A7791D-7669-45D9-B9C8-4764885CD32E}">
            <xm:f>CFGVDC!$G$13</xm:f>
            <x14:dxf>
              <fill>
                <patternFill>
                  <bgColor theme="7" tint="0.59996337778862885"/>
                </patternFill>
              </fill>
            </x14:dxf>
          </x14:cfRule>
          <x14:cfRule type="cellIs" priority="7" operator="lessThan" id="{428A06CD-26F8-444D-AEE8-1E37D2080F3E}">
            <xm:f>CFGVDC!$G$13</xm:f>
            <x14:dxf>
              <fill>
                <patternFill>
                  <bgColor theme="5" tint="0.79998168889431442"/>
                </patternFill>
              </fill>
            </x14:dxf>
          </x14:cfRule>
          <xm:sqref>I29:BD29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177A68-81E5-4E5D-A5C7-7E59252085DF}">
          <x14:formula1>
            <xm:f>CFGPWR!$H$10:$H$19</xm:f>
          </x14:formula1>
          <xm:sqref>I12</xm:sqref>
        </x14:dataValidation>
        <x14:dataValidation type="list" allowBlank="1" showInputMessage="1" showErrorMessage="1" xr:uid="{CA8D3FFD-9840-4E91-BC3D-E038F0557EFA}">
          <x14:formula1>
            <xm:f>'DBT35'!$G$12:$K$12</xm:f>
          </x14:formula1>
          <xm:sqref>I10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F1DF-2476-4AB8-BF9E-EE20566145A4}">
  <sheetPr codeName="Sheet11">
    <tabColor theme="1" tint="0.34998626667073579"/>
  </sheetPr>
  <dimension ref="B1:T201"/>
  <sheetViews>
    <sheetView showGridLines="0" topLeftCell="B4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9.28515625" style="4"/>
    <col min="7" max="7" width="9.28515625" style="5"/>
    <col min="8" max="20" width="9.28515625" style="6"/>
  </cols>
  <sheetData>
    <row r="1" spans="2:20" ht="16.5" hidden="1" customHeight="1"/>
    <row r="2" spans="2:20" ht="16.5" customHeight="1">
      <c r="F2" s="287" t="s">
        <v>182</v>
      </c>
      <c r="G2" s="423"/>
      <c r="H2" s="423"/>
      <c r="I2" s="423"/>
      <c r="J2" s="423"/>
      <c r="K2" s="423"/>
      <c r="L2" s="423"/>
      <c r="M2" s="423"/>
      <c r="N2" s="423"/>
    </row>
    <row r="3" spans="2:20" ht="16.5" customHeight="1">
      <c r="F3" s="423"/>
      <c r="G3" s="423"/>
      <c r="H3" s="423"/>
      <c r="I3" s="423"/>
      <c r="J3" s="423"/>
      <c r="K3" s="423"/>
      <c r="L3" s="423"/>
      <c r="M3" s="423"/>
      <c r="N3" s="423"/>
    </row>
    <row r="4" spans="2:20" ht="16.5" customHeight="1">
      <c r="F4" s="424"/>
      <c r="G4" s="424"/>
      <c r="H4" s="424"/>
      <c r="I4" s="424"/>
      <c r="J4" s="424"/>
      <c r="K4" s="424"/>
      <c r="L4" s="424"/>
      <c r="M4" s="424"/>
      <c r="N4" s="424"/>
    </row>
    <row r="5" spans="2:20" ht="16.5" customHeight="1">
      <c r="F5" s="425"/>
      <c r="G5" s="425"/>
    </row>
    <row r="6" spans="2:20" ht="16.5" customHeight="1">
      <c r="F6" s="426"/>
      <c r="G6" s="426"/>
    </row>
    <row r="7" spans="2:20" ht="16.5" customHeight="1">
      <c r="C7" s="2" t="s">
        <v>152</v>
      </c>
      <c r="D7" s="12">
        <v>12.7</v>
      </c>
      <c r="F7" s="427" t="s">
        <v>734</v>
      </c>
      <c r="G7" s="427"/>
      <c r="H7" s="427"/>
      <c r="I7" s="427"/>
      <c r="J7" s="3"/>
      <c r="K7" s="3"/>
      <c r="L7" s="3"/>
    </row>
    <row r="8" spans="2:20" ht="16.5" customHeight="1">
      <c r="B8" s="479"/>
      <c r="C8" s="479"/>
      <c r="D8" s="479"/>
      <c r="F8" s="427"/>
      <c r="G8" s="427"/>
      <c r="H8" s="427"/>
      <c r="I8" s="427"/>
      <c r="J8" s="3"/>
      <c r="K8" s="3"/>
      <c r="L8" s="3"/>
    </row>
    <row r="9" spans="2:20" ht="16.5" customHeight="1">
      <c r="B9" s="480"/>
      <c r="C9" s="480"/>
      <c r="D9" s="480"/>
    </row>
    <row r="10" spans="2:20" ht="16.5" customHeight="1">
      <c r="B10" s="285" t="s">
        <v>151</v>
      </c>
      <c r="C10" s="480"/>
      <c r="D10" s="480"/>
      <c r="F10" s="7" t="s">
        <v>735</v>
      </c>
      <c r="G10" s="476" t="s">
        <v>556</v>
      </c>
      <c r="H10" s="477"/>
      <c r="I10" s="477"/>
      <c r="J10" s="477"/>
      <c r="K10" s="477"/>
      <c r="L10" s="477"/>
      <c r="M10" s="477"/>
      <c r="N10" s="477"/>
      <c r="O10" s="477"/>
      <c r="P10" s="478"/>
      <c r="Q10" s="474" t="s">
        <v>736</v>
      </c>
      <c r="R10" s="475"/>
      <c r="S10" s="474" t="s">
        <v>737</v>
      </c>
      <c r="T10" s="475"/>
    </row>
    <row r="11" spans="2:20" ht="16.5" customHeight="1">
      <c r="B11" s="285" t="s">
        <v>155</v>
      </c>
      <c r="C11" s="480"/>
      <c r="D11" s="480"/>
      <c r="F11" s="8">
        <v>11</v>
      </c>
      <c r="G11" s="464" t="s">
        <v>738</v>
      </c>
      <c r="H11" s="464" t="s">
        <v>739</v>
      </c>
      <c r="I11" s="464" t="s">
        <v>739</v>
      </c>
      <c r="J11" s="464" t="s">
        <v>739</v>
      </c>
      <c r="K11" s="464" t="s">
        <v>739</v>
      </c>
      <c r="L11" s="464" t="s">
        <v>739</v>
      </c>
      <c r="M11" s="464" t="s">
        <v>739</v>
      </c>
      <c r="N11" s="464" t="s">
        <v>739</v>
      </c>
      <c r="O11" s="464" t="s">
        <v>739</v>
      </c>
      <c r="P11" s="464" t="s">
        <v>739</v>
      </c>
      <c r="Q11" s="466">
        <v>45416</v>
      </c>
      <c r="R11" s="465" t="s">
        <v>740</v>
      </c>
      <c r="S11" s="465" t="s">
        <v>741</v>
      </c>
      <c r="T11" s="465"/>
    </row>
    <row r="12" spans="2:20" ht="16.5" customHeight="1">
      <c r="B12" s="289"/>
      <c r="C12" s="480"/>
      <c r="D12" s="480"/>
      <c r="F12" s="8">
        <v>11.1</v>
      </c>
      <c r="G12" s="464" t="s">
        <v>742</v>
      </c>
      <c r="H12" s="464"/>
      <c r="I12" s="464"/>
      <c r="J12" s="464"/>
      <c r="K12" s="464"/>
      <c r="L12" s="464"/>
      <c r="M12" s="464"/>
      <c r="N12" s="464"/>
      <c r="O12" s="464"/>
      <c r="P12" s="464"/>
      <c r="Q12" s="466">
        <v>45418</v>
      </c>
      <c r="R12" s="465"/>
      <c r="S12" s="465" t="s">
        <v>741</v>
      </c>
      <c r="T12" s="465"/>
    </row>
    <row r="13" spans="2:20" ht="16.5" customHeight="1">
      <c r="B13" s="285" t="s">
        <v>159</v>
      </c>
      <c r="C13" s="480"/>
      <c r="D13" s="480"/>
      <c r="F13" s="8"/>
      <c r="G13" s="464" t="s">
        <v>743</v>
      </c>
      <c r="H13" s="464"/>
      <c r="I13" s="464"/>
      <c r="J13" s="464"/>
      <c r="K13" s="464"/>
      <c r="L13" s="464"/>
      <c r="M13" s="464"/>
      <c r="N13" s="464"/>
      <c r="O13" s="464"/>
      <c r="P13" s="464"/>
      <c r="Q13" s="466"/>
      <c r="R13" s="465"/>
      <c r="S13" s="465"/>
      <c r="T13" s="465"/>
    </row>
    <row r="14" spans="2:20" ht="16.5" customHeight="1">
      <c r="B14" s="285" t="s">
        <v>162</v>
      </c>
      <c r="C14" s="480"/>
      <c r="D14" s="480"/>
      <c r="F14" s="8">
        <v>11.2</v>
      </c>
      <c r="G14" s="464" t="s">
        <v>744</v>
      </c>
      <c r="H14" s="464"/>
      <c r="I14" s="464"/>
      <c r="J14" s="464"/>
      <c r="K14" s="464"/>
      <c r="L14" s="464"/>
      <c r="M14" s="464"/>
      <c r="N14" s="464"/>
      <c r="O14" s="464"/>
      <c r="P14" s="464"/>
      <c r="Q14" s="466">
        <v>45419</v>
      </c>
      <c r="R14" s="465"/>
      <c r="S14" s="465" t="s">
        <v>741</v>
      </c>
      <c r="T14" s="465"/>
    </row>
    <row r="15" spans="2:20" ht="16.5" customHeight="1">
      <c r="B15" s="285"/>
      <c r="C15" s="480"/>
      <c r="D15" s="480"/>
      <c r="F15" s="8"/>
      <c r="G15" s="464" t="s">
        <v>745</v>
      </c>
      <c r="H15" s="464"/>
      <c r="I15" s="464"/>
      <c r="J15" s="464"/>
      <c r="K15" s="464"/>
      <c r="L15" s="464"/>
      <c r="M15" s="464"/>
      <c r="N15" s="464"/>
      <c r="O15" s="464"/>
      <c r="P15" s="464"/>
      <c r="Q15" s="466"/>
      <c r="R15" s="465"/>
      <c r="S15" s="465"/>
      <c r="T15" s="465"/>
    </row>
    <row r="16" spans="2:20" ht="16.5" customHeight="1">
      <c r="B16" s="285" t="s">
        <v>167</v>
      </c>
      <c r="C16" s="480"/>
      <c r="D16" s="480"/>
      <c r="F16" s="8"/>
      <c r="G16" s="467" t="s">
        <v>746</v>
      </c>
      <c r="H16" s="464"/>
      <c r="I16" s="464"/>
      <c r="J16" s="464"/>
      <c r="K16" s="464"/>
      <c r="L16" s="464"/>
      <c r="M16" s="464"/>
      <c r="N16" s="464"/>
      <c r="O16" s="464"/>
      <c r="P16" s="464"/>
      <c r="Q16" s="466"/>
      <c r="R16" s="465"/>
      <c r="S16" s="465"/>
      <c r="T16" s="465"/>
    </row>
    <row r="17" spans="2:20" ht="16.5" customHeight="1">
      <c r="B17" s="285" t="s">
        <v>170</v>
      </c>
      <c r="C17" s="480"/>
      <c r="D17" s="480"/>
      <c r="F17" s="8"/>
      <c r="G17" s="464" t="s">
        <v>747</v>
      </c>
      <c r="H17" s="464"/>
      <c r="I17" s="464"/>
      <c r="J17" s="464"/>
      <c r="K17" s="464"/>
      <c r="L17" s="464"/>
      <c r="M17" s="464"/>
      <c r="N17" s="464"/>
      <c r="O17" s="464"/>
      <c r="P17" s="464"/>
      <c r="Q17" s="465"/>
      <c r="R17" s="465"/>
      <c r="S17" s="465"/>
      <c r="T17" s="465"/>
    </row>
    <row r="18" spans="2:20" ht="16.5" customHeight="1">
      <c r="B18" s="285" t="s">
        <v>173</v>
      </c>
      <c r="C18" s="480"/>
      <c r="D18" s="480"/>
      <c r="F18" s="8">
        <v>11.3</v>
      </c>
      <c r="G18" s="464" t="s">
        <v>748</v>
      </c>
      <c r="H18" s="464"/>
      <c r="I18" s="464"/>
      <c r="J18" s="464"/>
      <c r="K18" s="464"/>
      <c r="L18" s="464"/>
      <c r="M18" s="464"/>
      <c r="N18" s="464"/>
      <c r="O18" s="464"/>
      <c r="P18" s="464"/>
      <c r="Q18" s="466">
        <v>45421</v>
      </c>
      <c r="R18" s="465"/>
      <c r="S18" s="465" t="s">
        <v>741</v>
      </c>
      <c r="T18" s="465"/>
    </row>
    <row r="19" spans="2:20" ht="16.5" customHeight="1">
      <c r="B19" s="285"/>
      <c r="C19" s="480"/>
      <c r="D19" s="480"/>
      <c r="F19" s="8"/>
      <c r="G19" s="464" t="s">
        <v>749</v>
      </c>
      <c r="H19" s="464"/>
      <c r="I19" s="464"/>
      <c r="J19" s="464"/>
      <c r="K19" s="464"/>
      <c r="L19" s="464"/>
      <c r="M19" s="464"/>
      <c r="N19" s="464"/>
      <c r="O19" s="464"/>
      <c r="P19" s="464"/>
      <c r="Q19" s="466"/>
      <c r="R19" s="465"/>
      <c r="S19" s="465"/>
      <c r="T19" s="465"/>
    </row>
    <row r="20" spans="2:20" ht="16.5" customHeight="1">
      <c r="B20" s="285" t="s">
        <v>176</v>
      </c>
      <c r="C20" s="480"/>
      <c r="D20" s="480"/>
      <c r="F20" s="8"/>
      <c r="G20" s="464" t="s">
        <v>750</v>
      </c>
      <c r="H20" s="464"/>
      <c r="I20" s="464"/>
      <c r="J20" s="464"/>
      <c r="K20" s="464"/>
      <c r="L20" s="464"/>
      <c r="M20" s="464"/>
      <c r="N20" s="464"/>
      <c r="O20" s="464"/>
      <c r="P20" s="464"/>
      <c r="Q20" s="465"/>
      <c r="R20" s="465"/>
      <c r="S20" s="465"/>
      <c r="T20" s="465"/>
    </row>
    <row r="21" spans="2:20" ht="16.5" customHeight="1">
      <c r="B21" s="481"/>
      <c r="C21" s="479"/>
      <c r="D21" s="479"/>
      <c r="F21" s="8">
        <v>11.4</v>
      </c>
      <c r="G21" s="464" t="s">
        <v>751</v>
      </c>
      <c r="H21" s="464"/>
      <c r="I21" s="464"/>
      <c r="J21" s="464"/>
      <c r="K21" s="464"/>
      <c r="L21" s="464"/>
      <c r="M21" s="464"/>
      <c r="N21" s="464"/>
      <c r="O21" s="464"/>
      <c r="P21" s="464"/>
      <c r="Q21" s="466">
        <v>45441</v>
      </c>
      <c r="R21" s="465"/>
      <c r="S21" s="465" t="s">
        <v>741</v>
      </c>
      <c r="T21" s="465"/>
    </row>
    <row r="22" spans="2:20" ht="16.5" customHeight="1">
      <c r="B22" s="481"/>
      <c r="C22" s="479"/>
      <c r="D22" s="479"/>
      <c r="F22" s="8">
        <v>11.5</v>
      </c>
      <c r="G22" s="464" t="s">
        <v>752</v>
      </c>
      <c r="H22" s="464"/>
      <c r="I22" s="464"/>
      <c r="J22" s="464"/>
      <c r="K22" s="464"/>
      <c r="L22" s="464"/>
      <c r="M22" s="464"/>
      <c r="N22" s="464"/>
      <c r="O22" s="464"/>
      <c r="P22" s="464"/>
      <c r="Q22" s="466">
        <v>45442</v>
      </c>
      <c r="R22" s="465"/>
      <c r="S22" s="465" t="s">
        <v>741</v>
      </c>
      <c r="T22" s="465"/>
    </row>
    <row r="23" spans="2:20" ht="16.5" customHeight="1">
      <c r="B23" s="481"/>
      <c r="C23" s="479"/>
      <c r="D23" s="479"/>
      <c r="F23" s="8"/>
      <c r="G23" s="464" t="s">
        <v>753</v>
      </c>
      <c r="H23" s="464"/>
      <c r="I23" s="464"/>
      <c r="J23" s="464"/>
      <c r="K23" s="464"/>
      <c r="L23" s="464"/>
      <c r="M23" s="464"/>
      <c r="N23" s="464"/>
      <c r="O23" s="464"/>
      <c r="P23" s="464"/>
      <c r="Q23" s="466"/>
      <c r="R23" s="465"/>
      <c r="S23" s="465"/>
      <c r="T23" s="465"/>
    </row>
    <row r="24" spans="2:20" ht="16.5" customHeight="1">
      <c r="B24" s="285"/>
      <c r="C24" s="480"/>
      <c r="D24" s="480"/>
      <c r="F24" s="8"/>
      <c r="G24" s="471" t="s">
        <v>754</v>
      </c>
      <c r="H24" s="472"/>
      <c r="I24" s="472"/>
      <c r="J24" s="472"/>
      <c r="K24" s="472"/>
      <c r="L24" s="472"/>
      <c r="M24" s="472"/>
      <c r="N24" s="472"/>
      <c r="O24" s="472"/>
      <c r="P24" s="473"/>
      <c r="Q24" s="465"/>
      <c r="R24" s="465"/>
      <c r="S24" s="465"/>
      <c r="T24" s="465"/>
    </row>
    <row r="25" spans="2:20" ht="16.5" customHeight="1">
      <c r="B25" s="290" t="s">
        <v>182</v>
      </c>
      <c r="C25" s="480"/>
      <c r="D25" s="480"/>
      <c r="F25" s="8"/>
      <c r="G25" s="471" t="s">
        <v>755</v>
      </c>
      <c r="H25" s="472"/>
      <c r="I25" s="472"/>
      <c r="J25" s="472"/>
      <c r="K25" s="472"/>
      <c r="L25" s="472"/>
      <c r="M25" s="472"/>
      <c r="N25" s="472"/>
      <c r="O25" s="472"/>
      <c r="P25" s="473"/>
      <c r="Q25" s="465"/>
      <c r="R25" s="465"/>
      <c r="S25" s="465"/>
      <c r="T25" s="465"/>
    </row>
    <row r="26" spans="2:20" ht="16.5" customHeight="1">
      <c r="B26" s="285"/>
      <c r="C26" s="285"/>
      <c r="D26" s="285"/>
      <c r="F26" s="8">
        <v>11.6</v>
      </c>
      <c r="G26" s="464" t="s">
        <v>756</v>
      </c>
      <c r="H26" s="464"/>
      <c r="I26" s="464"/>
      <c r="J26" s="464"/>
      <c r="K26" s="464"/>
      <c r="L26" s="464"/>
      <c r="M26" s="464"/>
      <c r="N26" s="464"/>
      <c r="O26" s="464"/>
      <c r="P26" s="464"/>
      <c r="Q26" s="466">
        <v>45449</v>
      </c>
      <c r="R26" s="465"/>
      <c r="S26" s="465" t="s">
        <v>741</v>
      </c>
      <c r="T26" s="465"/>
    </row>
    <row r="27" spans="2:20" ht="16.5" customHeight="1">
      <c r="B27" s="285"/>
      <c r="C27" s="285"/>
      <c r="D27" s="285"/>
      <c r="F27" s="8"/>
      <c r="G27" s="464" t="s">
        <v>757</v>
      </c>
      <c r="H27" s="464"/>
      <c r="I27" s="464"/>
      <c r="J27" s="464"/>
      <c r="K27" s="464"/>
      <c r="L27" s="464"/>
      <c r="M27" s="464"/>
      <c r="N27" s="464"/>
      <c r="O27" s="464"/>
      <c r="P27" s="464"/>
      <c r="Q27" s="465"/>
      <c r="R27" s="465"/>
      <c r="S27" s="465"/>
      <c r="T27" s="465"/>
    </row>
    <row r="28" spans="2:20" ht="16.5" customHeight="1">
      <c r="B28" s="285"/>
      <c r="C28" s="285"/>
      <c r="D28" s="285"/>
      <c r="F28" s="8">
        <v>11.7</v>
      </c>
      <c r="G28" s="464" t="s">
        <v>758</v>
      </c>
      <c r="H28" s="464"/>
      <c r="I28" s="464"/>
      <c r="J28" s="464"/>
      <c r="K28" s="464"/>
      <c r="L28" s="464"/>
      <c r="M28" s="464"/>
      <c r="N28" s="464"/>
      <c r="O28" s="464"/>
      <c r="P28" s="464"/>
      <c r="Q28" s="466">
        <v>45450</v>
      </c>
      <c r="R28" s="465"/>
      <c r="S28" s="465" t="s">
        <v>741</v>
      </c>
      <c r="T28" s="465"/>
    </row>
    <row r="29" spans="2:20" ht="16.5" customHeight="1">
      <c r="B29" s="285"/>
      <c r="C29" s="285"/>
      <c r="D29" s="285"/>
      <c r="F29" s="8">
        <v>11.8</v>
      </c>
      <c r="G29" s="464" t="s">
        <v>759</v>
      </c>
      <c r="H29" s="464"/>
      <c r="I29" s="464"/>
      <c r="J29" s="464"/>
      <c r="K29" s="464"/>
      <c r="L29" s="464"/>
      <c r="M29" s="464"/>
      <c r="N29" s="464"/>
      <c r="O29" s="464"/>
      <c r="P29" s="464"/>
      <c r="Q29" s="466">
        <v>45455</v>
      </c>
      <c r="R29" s="465"/>
      <c r="S29" s="465" t="s">
        <v>741</v>
      </c>
      <c r="T29" s="465"/>
    </row>
    <row r="30" spans="2:20" ht="16.5" customHeight="1">
      <c r="B30" s="285"/>
      <c r="C30" s="285"/>
      <c r="D30" s="285"/>
      <c r="F30" s="8"/>
      <c r="G30" s="464" t="s">
        <v>760</v>
      </c>
      <c r="H30" s="464"/>
      <c r="I30" s="464"/>
      <c r="J30" s="464"/>
      <c r="K30" s="464"/>
      <c r="L30" s="464"/>
      <c r="M30" s="464"/>
      <c r="N30" s="464"/>
      <c r="O30" s="464"/>
      <c r="P30" s="464"/>
      <c r="Q30" s="466"/>
      <c r="R30" s="465"/>
      <c r="S30" s="465"/>
      <c r="T30" s="465"/>
    </row>
    <row r="31" spans="2:20" ht="16.5" customHeight="1">
      <c r="B31" s="285"/>
      <c r="C31" s="285"/>
      <c r="D31" s="285"/>
      <c r="F31" s="8"/>
      <c r="G31" s="464" t="s">
        <v>761</v>
      </c>
      <c r="H31" s="464"/>
      <c r="I31" s="464"/>
      <c r="J31" s="464"/>
      <c r="K31" s="464"/>
      <c r="L31" s="464"/>
      <c r="M31" s="464"/>
      <c r="N31" s="464"/>
      <c r="O31" s="464"/>
      <c r="P31" s="464"/>
      <c r="Q31" s="466"/>
      <c r="R31" s="465"/>
      <c r="S31" s="465"/>
      <c r="T31" s="465"/>
    </row>
    <row r="32" spans="2:20" ht="16.5" customHeight="1">
      <c r="B32" s="285"/>
      <c r="C32" s="285"/>
      <c r="D32" s="285"/>
      <c r="F32" s="8">
        <v>11.9</v>
      </c>
      <c r="G32" s="464" t="s">
        <v>759</v>
      </c>
      <c r="H32" s="464"/>
      <c r="I32" s="464"/>
      <c r="J32" s="464"/>
      <c r="K32" s="464"/>
      <c r="L32" s="464"/>
      <c r="M32" s="464"/>
      <c r="N32" s="464"/>
      <c r="O32" s="464"/>
      <c r="P32" s="464"/>
      <c r="Q32" s="466">
        <v>45471</v>
      </c>
      <c r="R32" s="465"/>
      <c r="S32" s="465" t="s">
        <v>741</v>
      </c>
      <c r="T32" s="465"/>
    </row>
    <row r="33" spans="2:20" ht="16.5" customHeight="1">
      <c r="B33" s="285"/>
      <c r="C33" s="285"/>
      <c r="D33" s="285"/>
      <c r="F33" s="8"/>
      <c r="G33" s="464" t="s">
        <v>762</v>
      </c>
      <c r="H33" s="464"/>
      <c r="I33" s="464"/>
      <c r="J33" s="464"/>
      <c r="K33" s="464"/>
      <c r="L33" s="464"/>
      <c r="M33" s="464"/>
      <c r="N33" s="464"/>
      <c r="O33" s="464"/>
      <c r="P33" s="464"/>
      <c r="Q33" s="466"/>
      <c r="R33" s="465"/>
      <c r="S33" s="465"/>
      <c r="T33" s="465"/>
    </row>
    <row r="34" spans="2:20" ht="16.5" customHeight="1">
      <c r="B34" s="285"/>
      <c r="C34" s="285"/>
      <c r="D34" s="285"/>
      <c r="F34" s="8">
        <v>12</v>
      </c>
      <c r="G34" s="464" t="s">
        <v>763</v>
      </c>
      <c r="H34" s="464"/>
      <c r="I34" s="464"/>
      <c r="J34" s="464"/>
      <c r="K34" s="464"/>
      <c r="L34" s="464"/>
      <c r="M34" s="464"/>
      <c r="N34" s="464"/>
      <c r="O34" s="464"/>
      <c r="P34" s="464"/>
      <c r="Q34" s="466">
        <v>45506</v>
      </c>
      <c r="R34" s="465"/>
      <c r="S34" s="465" t="s">
        <v>764</v>
      </c>
      <c r="T34" s="465"/>
    </row>
    <row r="35" spans="2:20" ht="16.5" customHeight="1">
      <c r="B35" s="285"/>
      <c r="C35" s="285"/>
      <c r="D35" s="285"/>
      <c r="F35" s="8"/>
      <c r="G35" s="464" t="s">
        <v>765</v>
      </c>
      <c r="H35" s="464"/>
      <c r="I35" s="464"/>
      <c r="J35" s="464"/>
      <c r="K35" s="464"/>
      <c r="L35" s="464"/>
      <c r="M35" s="464"/>
      <c r="N35" s="464"/>
      <c r="O35" s="464"/>
      <c r="P35" s="464"/>
      <c r="Q35" s="465"/>
      <c r="R35" s="465"/>
      <c r="S35" s="465"/>
      <c r="T35" s="465"/>
    </row>
    <row r="36" spans="2:20" ht="16.5" customHeight="1">
      <c r="B36" s="289"/>
      <c r="C36" s="289"/>
      <c r="D36" s="289"/>
      <c r="F36" s="8"/>
      <c r="G36" s="464" t="s">
        <v>766</v>
      </c>
      <c r="H36" s="464"/>
      <c r="I36" s="464"/>
      <c r="J36" s="464"/>
      <c r="K36" s="464"/>
      <c r="L36" s="464"/>
      <c r="M36" s="464"/>
      <c r="N36" s="464"/>
      <c r="O36" s="464"/>
      <c r="P36" s="464"/>
      <c r="Q36" s="465"/>
      <c r="R36" s="465"/>
      <c r="S36" s="465"/>
      <c r="T36" s="465"/>
    </row>
    <row r="37" spans="2:20" ht="16.5" customHeight="1">
      <c r="B37" s="289"/>
      <c r="C37" s="289"/>
      <c r="D37" s="289"/>
      <c r="F37" s="8">
        <v>12.1</v>
      </c>
      <c r="G37" s="464" t="s">
        <v>767</v>
      </c>
      <c r="H37" s="464"/>
      <c r="I37" s="464"/>
      <c r="J37" s="464"/>
      <c r="K37" s="464"/>
      <c r="L37" s="464"/>
      <c r="M37" s="464"/>
      <c r="N37" s="464"/>
      <c r="O37" s="464"/>
      <c r="P37" s="464"/>
      <c r="Q37" s="466">
        <v>45512</v>
      </c>
      <c r="R37" s="465"/>
      <c r="S37" s="465" t="s">
        <v>768</v>
      </c>
      <c r="T37" s="465"/>
    </row>
    <row r="38" spans="2:20" ht="16.5" customHeight="1">
      <c r="B38" s="289"/>
      <c r="C38" s="289"/>
      <c r="D38" s="289"/>
      <c r="F38" s="8">
        <v>12.2</v>
      </c>
      <c r="G38" s="10" t="s">
        <v>769</v>
      </c>
      <c r="H38" s="11"/>
      <c r="I38" s="11"/>
      <c r="J38" s="11"/>
      <c r="K38" s="11"/>
      <c r="L38" s="11"/>
      <c r="M38" s="11"/>
      <c r="N38" s="11"/>
      <c r="O38" s="11"/>
      <c r="P38" s="11"/>
      <c r="Q38" s="466">
        <v>45518</v>
      </c>
      <c r="R38" s="465"/>
      <c r="S38" s="469" t="s">
        <v>768</v>
      </c>
      <c r="T38" s="470"/>
    </row>
    <row r="39" spans="2:20" ht="16.5" customHeight="1">
      <c r="B39" s="289"/>
      <c r="C39" s="289"/>
      <c r="D39" s="289"/>
      <c r="F39" s="8">
        <v>12.3</v>
      </c>
      <c r="G39" s="464" t="s">
        <v>770</v>
      </c>
      <c r="H39" s="464"/>
      <c r="I39" s="464"/>
      <c r="J39" s="464"/>
      <c r="K39" s="464"/>
      <c r="L39" s="464"/>
      <c r="M39" s="464"/>
      <c r="N39" s="464"/>
      <c r="O39" s="464"/>
      <c r="P39" s="464"/>
      <c r="Q39" s="466">
        <v>45527</v>
      </c>
      <c r="R39" s="465"/>
      <c r="S39" s="465" t="s">
        <v>764</v>
      </c>
      <c r="T39" s="465"/>
    </row>
    <row r="40" spans="2:20" ht="16.5" customHeight="1">
      <c r="B40" s="289"/>
      <c r="C40" s="289"/>
      <c r="D40" s="289"/>
      <c r="F40" s="8">
        <v>12.4</v>
      </c>
      <c r="G40" s="464" t="s">
        <v>771</v>
      </c>
      <c r="H40" s="464"/>
      <c r="I40" s="464"/>
      <c r="J40" s="464"/>
      <c r="K40" s="464"/>
      <c r="L40" s="464"/>
      <c r="M40" s="464"/>
      <c r="N40" s="464"/>
      <c r="O40" s="464"/>
      <c r="P40" s="464"/>
      <c r="Q40" s="466">
        <v>45720</v>
      </c>
      <c r="R40" s="465"/>
      <c r="S40" s="465" t="s">
        <v>772</v>
      </c>
      <c r="T40" s="465"/>
    </row>
    <row r="41" spans="2:20" ht="16.5" customHeight="1">
      <c r="B41" s="289"/>
      <c r="C41" s="289"/>
      <c r="D41" s="289"/>
      <c r="F41" s="8">
        <v>12.5</v>
      </c>
      <c r="G41" s="464" t="s">
        <v>773</v>
      </c>
      <c r="H41" s="464"/>
      <c r="I41" s="464"/>
      <c r="J41" s="464"/>
      <c r="K41" s="464"/>
      <c r="L41" s="464"/>
      <c r="M41" s="464"/>
      <c r="N41" s="464"/>
      <c r="O41" s="464"/>
      <c r="P41" s="464"/>
      <c r="Q41" s="466">
        <v>45782</v>
      </c>
      <c r="R41" s="465"/>
      <c r="S41" s="465" t="s">
        <v>772</v>
      </c>
      <c r="T41" s="465"/>
    </row>
    <row r="42" spans="2:20" ht="16.5" customHeight="1">
      <c r="B42" s="289"/>
      <c r="C42" s="289"/>
      <c r="D42" s="289"/>
      <c r="F42" s="8"/>
      <c r="G42" s="464" t="s">
        <v>774</v>
      </c>
      <c r="H42" s="464"/>
      <c r="I42" s="464"/>
      <c r="J42" s="464"/>
      <c r="K42" s="464"/>
      <c r="L42" s="464"/>
      <c r="M42" s="464"/>
      <c r="N42" s="464"/>
      <c r="O42" s="464"/>
      <c r="P42" s="464"/>
      <c r="Q42" s="466"/>
      <c r="R42" s="465"/>
      <c r="S42" s="465"/>
      <c r="T42" s="465"/>
    </row>
    <row r="43" spans="2:20" ht="16.5" customHeight="1">
      <c r="B43" s="289"/>
      <c r="C43" s="289"/>
      <c r="D43" s="289"/>
      <c r="F43" s="8">
        <v>12.6</v>
      </c>
      <c r="G43" s="464" t="s">
        <v>775</v>
      </c>
      <c r="H43" s="464"/>
      <c r="I43" s="464"/>
      <c r="J43" s="464"/>
      <c r="K43" s="464"/>
      <c r="L43" s="464"/>
      <c r="M43" s="464"/>
      <c r="N43" s="464"/>
      <c r="O43" s="464"/>
      <c r="P43" s="464"/>
      <c r="Q43" s="468">
        <v>45897</v>
      </c>
      <c r="R43" s="465"/>
      <c r="S43" s="465" t="s">
        <v>772</v>
      </c>
      <c r="T43" s="465"/>
    </row>
    <row r="44" spans="2:20" ht="16.5" customHeight="1">
      <c r="F44" s="8"/>
      <c r="G44" s="464" t="s">
        <v>776</v>
      </c>
      <c r="H44" s="464"/>
      <c r="I44" s="464"/>
      <c r="J44" s="464"/>
      <c r="K44" s="464"/>
      <c r="L44" s="464"/>
      <c r="M44" s="464"/>
      <c r="N44" s="464"/>
      <c r="O44" s="464"/>
      <c r="P44" s="464"/>
      <c r="Q44" s="465"/>
      <c r="R44" s="465"/>
      <c r="S44" s="465"/>
      <c r="T44" s="465"/>
    </row>
    <row r="45" spans="2:20" ht="16.5" customHeight="1">
      <c r="F45" s="8"/>
      <c r="G45" s="464" t="s">
        <v>777</v>
      </c>
      <c r="H45" s="464"/>
      <c r="I45" s="464"/>
      <c r="J45" s="464"/>
      <c r="K45" s="464"/>
      <c r="L45" s="464"/>
      <c r="M45" s="464"/>
      <c r="N45" s="464"/>
      <c r="O45" s="464"/>
      <c r="P45" s="464"/>
      <c r="Q45" s="465"/>
      <c r="R45" s="465"/>
      <c r="S45" s="465"/>
      <c r="T45" s="465"/>
    </row>
    <row r="46" spans="2:20" ht="16.5" customHeight="1">
      <c r="F46" s="8"/>
      <c r="G46" s="464"/>
      <c r="H46" s="464"/>
      <c r="I46" s="464"/>
      <c r="J46" s="464"/>
      <c r="K46" s="464"/>
      <c r="L46" s="464"/>
      <c r="M46" s="464"/>
      <c r="N46" s="464"/>
      <c r="O46" s="464"/>
      <c r="P46" s="464"/>
      <c r="Q46" s="466"/>
      <c r="R46" s="465"/>
      <c r="S46" s="465"/>
      <c r="T46" s="465"/>
    </row>
    <row r="47" spans="2:20" ht="16.5" customHeight="1">
      <c r="F47" s="8"/>
      <c r="G47" s="464"/>
      <c r="H47" s="464"/>
      <c r="I47" s="464"/>
      <c r="J47" s="464"/>
      <c r="K47" s="464"/>
      <c r="L47" s="464"/>
      <c r="M47" s="464"/>
      <c r="N47" s="464"/>
      <c r="O47" s="464"/>
      <c r="P47" s="464"/>
      <c r="Q47" s="465"/>
      <c r="R47" s="465"/>
      <c r="S47" s="465"/>
      <c r="T47" s="465"/>
    </row>
    <row r="48" spans="2:20" ht="16.5" customHeight="1">
      <c r="F48" s="8"/>
      <c r="G48" s="464"/>
      <c r="H48" s="464"/>
      <c r="I48" s="464"/>
      <c r="J48" s="464"/>
      <c r="K48" s="464"/>
      <c r="L48" s="464"/>
      <c r="M48" s="464"/>
      <c r="N48" s="464"/>
      <c r="O48" s="464"/>
      <c r="P48" s="464"/>
      <c r="Q48" s="466"/>
      <c r="R48" s="465"/>
      <c r="S48" s="465"/>
      <c r="T48" s="465"/>
    </row>
    <row r="49" spans="2:20" ht="16.5" customHeight="1">
      <c r="F49" s="8"/>
      <c r="G49" s="464"/>
      <c r="H49" s="464"/>
      <c r="I49" s="464"/>
      <c r="J49" s="464"/>
      <c r="K49" s="464"/>
      <c r="L49" s="464"/>
      <c r="M49" s="464"/>
      <c r="N49" s="464"/>
      <c r="O49" s="464"/>
      <c r="P49" s="464"/>
      <c r="Q49" s="465"/>
      <c r="R49" s="465"/>
      <c r="S49" s="465"/>
      <c r="T49" s="465"/>
    </row>
    <row r="50" spans="2:20" ht="16.5" customHeight="1">
      <c r="F50" s="8"/>
      <c r="G50" s="464"/>
      <c r="H50" s="464"/>
      <c r="I50" s="464"/>
      <c r="J50" s="464"/>
      <c r="K50" s="464"/>
      <c r="L50" s="464"/>
      <c r="M50" s="464"/>
      <c r="N50" s="464"/>
      <c r="O50" s="464"/>
      <c r="P50" s="464"/>
      <c r="Q50" s="466"/>
      <c r="R50" s="465"/>
      <c r="S50" s="465"/>
      <c r="T50" s="465"/>
    </row>
    <row r="51" spans="2:20" ht="16.5" customHeight="1">
      <c r="F51" s="8"/>
      <c r="G51" s="464"/>
      <c r="H51" s="464"/>
      <c r="I51" s="464"/>
      <c r="J51" s="464"/>
      <c r="K51" s="464"/>
      <c r="L51" s="464"/>
      <c r="M51" s="464"/>
      <c r="N51" s="464"/>
      <c r="O51" s="464"/>
      <c r="P51" s="464"/>
      <c r="Q51" s="465"/>
      <c r="R51" s="465"/>
      <c r="S51" s="465"/>
      <c r="T51" s="465"/>
    </row>
    <row r="52" spans="2:20" ht="16.5" customHeight="1">
      <c r="F52" s="8"/>
      <c r="G52" s="464"/>
      <c r="H52" s="464"/>
      <c r="I52" s="464"/>
      <c r="J52" s="464"/>
      <c r="K52" s="464"/>
      <c r="L52" s="464"/>
      <c r="M52" s="464"/>
      <c r="N52" s="464"/>
      <c r="O52" s="464"/>
      <c r="P52" s="464"/>
      <c r="Q52" s="465"/>
      <c r="R52" s="465"/>
      <c r="S52" s="465"/>
      <c r="T52" s="465"/>
    </row>
    <row r="53" spans="2:20" ht="16.5" customHeight="1">
      <c r="F53" s="8"/>
      <c r="G53" s="464"/>
      <c r="H53" s="464"/>
      <c r="I53" s="464"/>
      <c r="J53" s="464"/>
      <c r="K53" s="464"/>
      <c r="L53" s="464"/>
      <c r="M53" s="464"/>
      <c r="N53" s="464"/>
      <c r="O53" s="464"/>
      <c r="P53" s="464"/>
      <c r="Q53" s="465"/>
      <c r="R53" s="465"/>
      <c r="S53" s="465"/>
      <c r="T53" s="465"/>
    </row>
    <row r="54" spans="2:20" ht="16.5" customHeight="1">
      <c r="F54" s="8"/>
      <c r="G54" s="464"/>
      <c r="H54" s="464"/>
      <c r="I54" s="464"/>
      <c r="J54" s="464"/>
      <c r="K54" s="464"/>
      <c r="L54" s="464"/>
      <c r="M54" s="464"/>
      <c r="N54" s="464"/>
      <c r="O54" s="464"/>
      <c r="P54" s="464"/>
      <c r="Q54" s="466"/>
      <c r="R54" s="465"/>
      <c r="S54" s="465"/>
      <c r="T54" s="465"/>
    </row>
    <row r="55" spans="2:20" ht="16.5" customHeight="1">
      <c r="F55" s="8"/>
      <c r="G55" s="464"/>
      <c r="H55" s="464"/>
      <c r="I55" s="464"/>
      <c r="J55" s="464"/>
      <c r="K55" s="464"/>
      <c r="L55" s="464"/>
      <c r="M55" s="464"/>
      <c r="N55" s="464"/>
      <c r="O55" s="464"/>
      <c r="P55" s="464"/>
      <c r="Q55" s="466"/>
      <c r="R55" s="465"/>
      <c r="S55" s="465"/>
      <c r="T55" s="465"/>
    </row>
    <row r="56" spans="2:20" ht="16.5" customHeight="1">
      <c r="B56" s="285"/>
      <c r="C56" s="285"/>
      <c r="D56" s="285"/>
      <c r="F56" s="8"/>
      <c r="G56" s="464"/>
      <c r="H56" s="464"/>
      <c r="I56" s="464"/>
      <c r="J56" s="464"/>
      <c r="K56" s="464"/>
      <c r="L56" s="464"/>
      <c r="M56" s="464"/>
      <c r="N56" s="464"/>
      <c r="O56" s="464"/>
      <c r="P56" s="464"/>
      <c r="Q56" s="465"/>
      <c r="R56" s="465"/>
      <c r="S56" s="465"/>
      <c r="T56" s="465"/>
    </row>
    <row r="57" spans="2:20" ht="16.5" customHeight="1">
      <c r="B57" s="285" t="s">
        <v>167</v>
      </c>
      <c r="C57" s="285"/>
      <c r="D57" s="285"/>
      <c r="F57" s="8"/>
      <c r="G57" s="464"/>
      <c r="H57" s="464"/>
      <c r="I57" s="464"/>
      <c r="J57" s="464"/>
      <c r="K57" s="464"/>
      <c r="L57" s="464"/>
      <c r="M57" s="464"/>
      <c r="N57" s="464"/>
      <c r="O57" s="464"/>
      <c r="P57" s="464"/>
      <c r="Q57" s="466"/>
      <c r="R57" s="465"/>
      <c r="S57" s="465"/>
      <c r="T57" s="465"/>
    </row>
    <row r="58" spans="2:20" ht="16.5" customHeight="1">
      <c r="B58" s="289"/>
      <c r="C58" s="289"/>
      <c r="D58" s="289"/>
      <c r="F58" s="8"/>
      <c r="G58" s="464"/>
      <c r="H58" s="464"/>
      <c r="I58" s="464"/>
      <c r="J58" s="464"/>
      <c r="K58" s="464"/>
      <c r="L58" s="464"/>
      <c r="M58" s="464"/>
      <c r="N58" s="464"/>
      <c r="O58" s="464"/>
      <c r="P58" s="464"/>
      <c r="Q58" s="465"/>
      <c r="R58" s="465"/>
      <c r="S58" s="465"/>
      <c r="T58" s="465"/>
    </row>
    <row r="59" spans="2:20" ht="16.5" customHeight="1">
      <c r="B59" s="289"/>
      <c r="C59" s="289"/>
      <c r="D59" s="289"/>
      <c r="F59" s="8"/>
      <c r="G59" s="464"/>
      <c r="H59" s="464"/>
      <c r="I59" s="464"/>
      <c r="J59" s="464"/>
      <c r="K59" s="464"/>
      <c r="L59" s="464"/>
      <c r="M59" s="464"/>
      <c r="N59" s="464"/>
      <c r="O59" s="464"/>
      <c r="P59" s="464"/>
      <c r="Q59" s="465"/>
      <c r="R59" s="465"/>
      <c r="S59" s="465"/>
      <c r="T59" s="465"/>
    </row>
    <row r="60" spans="2:20" ht="16.5" customHeight="1">
      <c r="B60" s="289"/>
      <c r="C60" s="289"/>
      <c r="D60" s="289"/>
      <c r="F60" s="8"/>
      <c r="G60" s="464"/>
      <c r="H60" s="464"/>
      <c r="I60" s="464"/>
      <c r="J60" s="464"/>
      <c r="K60" s="464"/>
      <c r="L60" s="464"/>
      <c r="M60" s="464"/>
      <c r="N60" s="464"/>
      <c r="O60" s="464"/>
      <c r="P60" s="464"/>
      <c r="Q60" s="466"/>
      <c r="R60" s="465"/>
      <c r="S60" s="465"/>
      <c r="T60" s="465"/>
    </row>
    <row r="61" spans="2:20" ht="16.5" customHeight="1">
      <c r="B61" s="289"/>
      <c r="C61" s="289"/>
      <c r="D61" s="289"/>
      <c r="F61" s="8"/>
      <c r="G61" s="464"/>
      <c r="H61" s="464"/>
      <c r="I61" s="464"/>
      <c r="J61" s="464"/>
      <c r="K61" s="464"/>
      <c r="L61" s="464"/>
      <c r="M61" s="464"/>
      <c r="N61" s="464"/>
      <c r="O61" s="464"/>
      <c r="P61" s="464"/>
      <c r="Q61" s="465"/>
      <c r="R61" s="465"/>
      <c r="S61" s="465"/>
      <c r="T61" s="465"/>
    </row>
    <row r="62" spans="2:20" ht="16.5" customHeight="1">
      <c r="B62" s="289"/>
      <c r="C62" s="289"/>
      <c r="D62" s="289"/>
      <c r="F62" s="8"/>
      <c r="G62" s="464"/>
      <c r="H62" s="464"/>
      <c r="I62" s="464"/>
      <c r="J62" s="464"/>
      <c r="K62" s="464"/>
      <c r="L62" s="464"/>
      <c r="M62" s="464"/>
      <c r="N62" s="464"/>
      <c r="O62" s="464"/>
      <c r="P62" s="464"/>
      <c r="Q62" s="465"/>
      <c r="R62" s="465"/>
      <c r="S62" s="465"/>
      <c r="T62" s="465"/>
    </row>
    <row r="63" spans="2:20" ht="16.5" customHeight="1">
      <c r="B63" s="289"/>
      <c r="C63" s="289"/>
      <c r="D63" s="289"/>
      <c r="F63" s="8"/>
      <c r="G63" s="464"/>
      <c r="H63" s="464"/>
      <c r="I63" s="464"/>
      <c r="J63" s="464"/>
      <c r="K63" s="464"/>
      <c r="L63" s="464"/>
      <c r="M63" s="464"/>
      <c r="N63" s="464"/>
      <c r="O63" s="464"/>
      <c r="P63" s="464"/>
      <c r="Q63" s="466"/>
      <c r="R63" s="465"/>
      <c r="S63" s="465"/>
      <c r="T63" s="465"/>
    </row>
    <row r="64" spans="2:20" ht="16.5" customHeight="1">
      <c r="B64" s="289"/>
      <c r="C64" s="289"/>
      <c r="D64" s="289"/>
      <c r="F64" s="8"/>
      <c r="G64" s="467"/>
      <c r="H64" s="464"/>
      <c r="I64" s="464"/>
      <c r="J64" s="464"/>
      <c r="K64" s="464"/>
      <c r="L64" s="464"/>
      <c r="M64" s="464"/>
      <c r="N64" s="464"/>
      <c r="O64" s="464"/>
      <c r="P64" s="464"/>
      <c r="Q64" s="465"/>
      <c r="R64" s="465"/>
      <c r="S64" s="465"/>
      <c r="T64" s="465"/>
    </row>
    <row r="65" spans="2:20" ht="16.5" customHeight="1">
      <c r="B65" s="289"/>
      <c r="C65" s="289"/>
      <c r="D65" s="289"/>
      <c r="F65" s="8"/>
      <c r="G65" s="464"/>
      <c r="H65" s="464"/>
      <c r="I65" s="464"/>
      <c r="J65" s="464"/>
      <c r="K65" s="464"/>
      <c r="L65" s="464"/>
      <c r="M65" s="464"/>
      <c r="N65" s="464"/>
      <c r="O65" s="464"/>
      <c r="P65" s="464"/>
      <c r="Q65" s="465"/>
      <c r="R65" s="465"/>
      <c r="S65" s="465"/>
      <c r="T65" s="465"/>
    </row>
    <row r="66" spans="2:20" ht="16.5" customHeight="1">
      <c r="B66" s="289"/>
      <c r="C66" s="289"/>
      <c r="D66" s="289"/>
      <c r="F66" s="8"/>
      <c r="G66" s="464"/>
      <c r="H66" s="464"/>
      <c r="I66" s="464"/>
      <c r="J66" s="464"/>
      <c r="K66" s="464"/>
      <c r="L66" s="464"/>
      <c r="M66" s="464"/>
      <c r="N66" s="464"/>
      <c r="O66" s="464"/>
      <c r="P66" s="464"/>
      <c r="Q66" s="465"/>
      <c r="R66" s="465"/>
      <c r="S66" s="465"/>
      <c r="T66" s="465"/>
    </row>
    <row r="67" spans="2:20" ht="16.5" customHeight="1">
      <c r="B67" s="289"/>
      <c r="C67" s="289"/>
      <c r="D67" s="289"/>
      <c r="F67" s="8"/>
      <c r="G67" s="464"/>
      <c r="H67" s="464"/>
      <c r="I67" s="464"/>
      <c r="J67" s="464"/>
      <c r="K67" s="464"/>
      <c r="L67" s="464"/>
      <c r="M67" s="464"/>
      <c r="N67" s="464"/>
      <c r="O67" s="464"/>
      <c r="P67" s="464"/>
      <c r="Q67" s="465"/>
      <c r="R67" s="465"/>
      <c r="S67" s="465"/>
      <c r="T67" s="465"/>
    </row>
    <row r="68" spans="2:20" ht="16.5" customHeight="1">
      <c r="B68" s="289"/>
      <c r="C68" s="289"/>
      <c r="D68" s="289"/>
      <c r="F68" s="8"/>
      <c r="G68" s="464"/>
      <c r="H68" s="464"/>
      <c r="I68" s="464"/>
      <c r="J68" s="464"/>
      <c r="K68" s="464"/>
      <c r="L68" s="464"/>
      <c r="M68" s="464"/>
      <c r="N68" s="464"/>
      <c r="O68" s="464"/>
      <c r="P68" s="464"/>
      <c r="Q68" s="466"/>
      <c r="R68" s="465"/>
      <c r="S68" s="465"/>
      <c r="T68" s="465"/>
    </row>
    <row r="69" spans="2:20" ht="16.5" customHeight="1">
      <c r="B69" s="289"/>
      <c r="C69" s="289"/>
      <c r="D69" s="289"/>
      <c r="F69" s="8"/>
      <c r="G69" s="464"/>
      <c r="H69" s="464"/>
      <c r="I69" s="464"/>
      <c r="J69" s="464"/>
      <c r="K69" s="464"/>
      <c r="L69" s="464"/>
      <c r="M69" s="464"/>
      <c r="N69" s="464"/>
      <c r="O69" s="464"/>
      <c r="P69" s="464"/>
      <c r="Q69" s="465"/>
      <c r="R69" s="465"/>
      <c r="S69" s="465"/>
      <c r="T69" s="465"/>
    </row>
    <row r="70" spans="2:20" ht="16.5" customHeight="1">
      <c r="B70" s="289"/>
      <c r="C70" s="289"/>
      <c r="D70" s="289"/>
      <c r="F70" s="8"/>
      <c r="G70" s="464"/>
      <c r="H70" s="464"/>
      <c r="I70" s="464"/>
      <c r="J70" s="464"/>
      <c r="K70" s="464"/>
      <c r="L70" s="464"/>
      <c r="M70" s="464"/>
      <c r="N70" s="464"/>
      <c r="O70" s="464"/>
      <c r="P70" s="464"/>
      <c r="Q70" s="465"/>
      <c r="R70" s="465"/>
      <c r="S70" s="465"/>
      <c r="T70" s="465"/>
    </row>
    <row r="71" spans="2:20" ht="16.5" customHeight="1">
      <c r="B71" s="289"/>
      <c r="C71" s="289"/>
      <c r="D71" s="289"/>
      <c r="F71" s="8"/>
      <c r="G71" s="464"/>
      <c r="H71" s="464"/>
      <c r="I71" s="464"/>
      <c r="J71" s="464"/>
      <c r="K71" s="464"/>
      <c r="L71" s="464"/>
      <c r="M71" s="464"/>
      <c r="N71" s="464"/>
      <c r="O71" s="464"/>
      <c r="P71" s="464"/>
      <c r="Q71" s="465"/>
      <c r="R71" s="465"/>
      <c r="S71" s="465"/>
      <c r="T71" s="465"/>
    </row>
    <row r="72" spans="2:20" ht="16.5" customHeight="1">
      <c r="B72" s="289"/>
      <c r="C72" s="289"/>
      <c r="D72" s="289"/>
      <c r="F72" s="8"/>
      <c r="G72" s="464"/>
      <c r="H72" s="464"/>
      <c r="I72" s="464"/>
      <c r="J72" s="464"/>
      <c r="K72" s="464"/>
      <c r="L72" s="464"/>
      <c r="M72" s="464"/>
      <c r="N72" s="464"/>
      <c r="O72" s="464"/>
      <c r="P72" s="464"/>
      <c r="Q72" s="466"/>
      <c r="R72" s="465"/>
      <c r="S72" s="465"/>
      <c r="T72" s="465"/>
    </row>
    <row r="73" spans="2:20" ht="16.5" customHeight="1">
      <c r="B73" s="289"/>
      <c r="C73" s="289"/>
      <c r="D73" s="289"/>
      <c r="F73" s="8"/>
      <c r="G73" s="464"/>
      <c r="H73" s="464"/>
      <c r="I73" s="464"/>
      <c r="J73" s="464"/>
      <c r="K73" s="464"/>
      <c r="L73" s="464"/>
      <c r="M73" s="464"/>
      <c r="N73" s="464"/>
      <c r="O73" s="464"/>
      <c r="P73" s="464"/>
      <c r="Q73" s="465"/>
      <c r="R73" s="465"/>
      <c r="S73" s="465"/>
      <c r="T73" s="465"/>
    </row>
    <row r="74" spans="2:20" ht="16.5" customHeight="1">
      <c r="B74" s="289"/>
      <c r="C74" s="289"/>
      <c r="D74" s="289"/>
      <c r="F74" s="8"/>
      <c r="G74" s="464"/>
      <c r="H74" s="464"/>
      <c r="I74" s="464"/>
      <c r="J74" s="464"/>
      <c r="K74" s="464"/>
      <c r="L74" s="464"/>
      <c r="M74" s="464"/>
      <c r="N74" s="464"/>
      <c r="O74" s="464"/>
      <c r="P74" s="464"/>
      <c r="Q74" s="465"/>
      <c r="R74" s="465"/>
      <c r="S74" s="465"/>
      <c r="T74" s="465"/>
    </row>
    <row r="75" spans="2:20" ht="16.5" customHeight="1">
      <c r="B75" s="289"/>
      <c r="C75" s="289"/>
      <c r="D75" s="289"/>
      <c r="F75" s="8"/>
      <c r="G75" s="464"/>
      <c r="H75" s="464"/>
      <c r="I75" s="464"/>
      <c r="J75" s="464"/>
      <c r="K75" s="464"/>
      <c r="L75" s="464"/>
      <c r="M75" s="464"/>
      <c r="N75" s="464"/>
      <c r="O75" s="464"/>
      <c r="P75" s="464"/>
      <c r="Q75" s="465"/>
      <c r="R75" s="465"/>
      <c r="S75" s="465"/>
      <c r="T75" s="465"/>
    </row>
    <row r="76" spans="2:20" ht="16.5" customHeight="1">
      <c r="B76" s="289"/>
      <c r="C76" s="289"/>
      <c r="D76" s="289"/>
      <c r="F76" s="8"/>
      <c r="G76" s="464"/>
      <c r="H76" s="464"/>
      <c r="I76" s="464"/>
      <c r="J76" s="464"/>
      <c r="K76" s="464"/>
      <c r="L76" s="464"/>
      <c r="M76" s="464"/>
      <c r="N76" s="464"/>
      <c r="O76" s="464"/>
      <c r="P76" s="464"/>
      <c r="Q76" s="465"/>
      <c r="R76" s="465"/>
      <c r="S76" s="465"/>
      <c r="T76" s="465"/>
    </row>
    <row r="77" spans="2:20" ht="16.5" customHeight="1">
      <c r="B77" s="289"/>
      <c r="C77" s="289"/>
      <c r="D77" s="289"/>
      <c r="F77" s="8"/>
      <c r="G77" s="464"/>
      <c r="H77" s="464"/>
      <c r="I77" s="464"/>
      <c r="J77" s="464"/>
      <c r="K77" s="464"/>
      <c r="L77" s="464"/>
      <c r="M77" s="464"/>
      <c r="N77" s="464"/>
      <c r="O77" s="464"/>
      <c r="P77" s="464"/>
      <c r="Q77" s="465"/>
      <c r="R77" s="465"/>
      <c r="S77" s="465"/>
      <c r="T77" s="465"/>
    </row>
    <row r="78" spans="2:20" ht="16.5" customHeight="1">
      <c r="B78" s="289"/>
      <c r="C78" s="289"/>
      <c r="D78" s="289"/>
      <c r="F78" s="8"/>
      <c r="G78" s="464"/>
      <c r="H78" s="464"/>
      <c r="I78" s="464"/>
      <c r="J78" s="464"/>
      <c r="K78" s="464"/>
      <c r="L78" s="464"/>
      <c r="M78" s="464"/>
      <c r="N78" s="464"/>
      <c r="O78" s="464"/>
      <c r="P78" s="464"/>
      <c r="Q78" s="465"/>
      <c r="R78" s="465"/>
      <c r="S78" s="465"/>
      <c r="T78" s="465"/>
    </row>
    <row r="79" spans="2:20" ht="16.5" customHeight="1">
      <c r="B79" s="289"/>
      <c r="C79" s="289"/>
      <c r="D79" s="289"/>
      <c r="F79" s="8"/>
      <c r="G79" s="464"/>
      <c r="H79" s="464"/>
      <c r="I79" s="464"/>
      <c r="J79" s="464"/>
      <c r="K79" s="464"/>
      <c r="L79" s="464"/>
      <c r="M79" s="464"/>
      <c r="N79" s="464"/>
      <c r="O79" s="464"/>
      <c r="P79" s="464"/>
      <c r="Q79" s="465"/>
      <c r="R79" s="465"/>
      <c r="S79" s="465"/>
      <c r="T79" s="465"/>
    </row>
    <row r="80" spans="2:20" ht="16.5" customHeight="1">
      <c r="B80" s="289"/>
      <c r="C80" s="289"/>
      <c r="D80" s="289"/>
      <c r="F80" s="8"/>
      <c r="G80" s="464"/>
      <c r="H80" s="464"/>
      <c r="I80" s="464"/>
      <c r="J80" s="464"/>
      <c r="K80" s="464"/>
      <c r="L80" s="464"/>
      <c r="M80" s="464"/>
      <c r="N80" s="464"/>
      <c r="O80" s="464"/>
      <c r="P80" s="464"/>
      <c r="Q80" s="465"/>
      <c r="R80" s="465"/>
      <c r="S80" s="465"/>
      <c r="T80" s="465"/>
    </row>
    <row r="81" spans="2:20" ht="16.5" customHeight="1">
      <c r="B81" s="289"/>
      <c r="C81" s="289"/>
      <c r="D81" s="289"/>
      <c r="F81" s="8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5"/>
      <c r="R81" s="465"/>
      <c r="S81" s="465"/>
      <c r="T81" s="465"/>
    </row>
    <row r="82" spans="2:20" ht="16.5" customHeight="1">
      <c r="B82" s="289"/>
      <c r="C82" s="289"/>
      <c r="D82" s="289"/>
      <c r="F82" s="8"/>
      <c r="G82" s="464"/>
      <c r="H82" s="464"/>
      <c r="I82" s="464"/>
      <c r="J82" s="464"/>
      <c r="K82" s="464"/>
      <c r="L82" s="464"/>
      <c r="M82" s="464"/>
      <c r="N82" s="464"/>
      <c r="O82" s="464"/>
      <c r="P82" s="464"/>
      <c r="Q82" s="465"/>
      <c r="R82" s="465"/>
      <c r="S82" s="465"/>
      <c r="T82" s="465"/>
    </row>
    <row r="83" spans="2:20" ht="16.5" customHeight="1">
      <c r="B83" s="289"/>
      <c r="C83" s="289"/>
      <c r="D83" s="289"/>
      <c r="F83" s="8"/>
      <c r="G83" s="464"/>
      <c r="H83" s="464"/>
      <c r="I83" s="464"/>
      <c r="J83" s="464"/>
      <c r="K83" s="464"/>
      <c r="L83" s="464"/>
      <c r="M83" s="464"/>
      <c r="N83" s="464"/>
      <c r="O83" s="464"/>
      <c r="P83" s="464"/>
      <c r="Q83" s="465"/>
      <c r="R83" s="465"/>
      <c r="S83" s="465"/>
      <c r="T83" s="465"/>
    </row>
    <row r="84" spans="2:20" ht="16.5" customHeight="1">
      <c r="B84" s="289"/>
      <c r="C84" s="289"/>
      <c r="D84" s="289"/>
      <c r="F84" s="8"/>
      <c r="G84" s="464"/>
      <c r="H84" s="464"/>
      <c r="I84" s="464"/>
      <c r="J84" s="464"/>
      <c r="K84" s="464"/>
      <c r="L84" s="464"/>
      <c r="M84" s="464"/>
      <c r="N84" s="464"/>
      <c r="O84" s="464"/>
      <c r="P84" s="464"/>
      <c r="Q84" s="465"/>
      <c r="R84" s="465"/>
      <c r="S84" s="465"/>
      <c r="T84" s="465"/>
    </row>
    <row r="85" spans="2:20" ht="16.5" customHeight="1">
      <c r="B85" s="289"/>
      <c r="C85" s="289"/>
      <c r="D85" s="289"/>
      <c r="F85" s="8"/>
      <c r="G85" s="464"/>
      <c r="H85" s="464"/>
      <c r="I85" s="464"/>
      <c r="J85" s="464"/>
      <c r="K85" s="464"/>
      <c r="L85" s="464"/>
      <c r="M85" s="464"/>
      <c r="N85" s="464"/>
      <c r="O85" s="464"/>
      <c r="P85" s="464"/>
      <c r="Q85" s="465"/>
      <c r="R85" s="465"/>
      <c r="S85" s="465"/>
      <c r="T85" s="465"/>
    </row>
    <row r="86" spans="2:20" ht="16.5" customHeight="1">
      <c r="B86" s="289"/>
      <c r="C86" s="289"/>
      <c r="D86" s="289"/>
      <c r="F86" s="8"/>
      <c r="G86" s="464"/>
      <c r="H86" s="464"/>
      <c r="I86" s="464"/>
      <c r="J86" s="464"/>
      <c r="K86" s="464"/>
      <c r="L86" s="464"/>
      <c r="M86" s="464"/>
      <c r="N86" s="464"/>
      <c r="O86" s="464"/>
      <c r="P86" s="464"/>
      <c r="Q86" s="465"/>
      <c r="R86" s="465"/>
      <c r="S86" s="465"/>
      <c r="T86" s="465"/>
    </row>
    <row r="87" spans="2:20" ht="16.5" customHeight="1">
      <c r="B87" s="289"/>
      <c r="C87" s="289"/>
      <c r="D87" s="289"/>
      <c r="F87" s="8"/>
      <c r="G87" s="464"/>
      <c r="H87" s="464"/>
      <c r="I87" s="464"/>
      <c r="J87" s="464"/>
      <c r="K87" s="464"/>
      <c r="L87" s="464"/>
      <c r="M87" s="464"/>
      <c r="N87" s="464"/>
      <c r="O87" s="464"/>
      <c r="P87" s="464"/>
      <c r="Q87" s="465"/>
      <c r="R87" s="465"/>
      <c r="S87" s="465"/>
      <c r="T87" s="465"/>
    </row>
    <row r="88" spans="2:20" ht="16.5" customHeight="1">
      <c r="B88" s="289"/>
      <c r="C88" s="289"/>
      <c r="D88" s="289"/>
      <c r="F88" s="8"/>
      <c r="G88" s="464"/>
      <c r="H88" s="464"/>
      <c r="I88" s="464"/>
      <c r="J88" s="464"/>
      <c r="K88" s="464"/>
      <c r="L88" s="464"/>
      <c r="M88" s="464"/>
      <c r="N88" s="464"/>
      <c r="O88" s="464"/>
      <c r="P88" s="464"/>
      <c r="Q88" s="465"/>
      <c r="R88" s="465"/>
      <c r="S88" s="465"/>
      <c r="T88" s="465"/>
    </row>
    <row r="89" spans="2:20" ht="16.5" customHeight="1">
      <c r="B89" s="289"/>
      <c r="C89" s="289"/>
      <c r="D89" s="289"/>
      <c r="F89" s="8"/>
      <c r="G89" s="464"/>
      <c r="H89" s="464"/>
      <c r="I89" s="464"/>
      <c r="J89" s="464"/>
      <c r="K89" s="464"/>
      <c r="L89" s="464"/>
      <c r="M89" s="464"/>
      <c r="N89" s="464"/>
      <c r="O89" s="464"/>
      <c r="P89" s="464"/>
      <c r="Q89" s="465"/>
      <c r="R89" s="465"/>
      <c r="S89" s="465"/>
      <c r="T89" s="465"/>
    </row>
    <row r="90" spans="2:20" ht="16.5" customHeight="1">
      <c r="B90" s="289"/>
      <c r="C90" s="289"/>
      <c r="D90" s="289"/>
      <c r="F90" s="8"/>
      <c r="G90" s="464"/>
      <c r="H90" s="464"/>
      <c r="I90" s="464"/>
      <c r="J90" s="464"/>
      <c r="K90" s="464"/>
      <c r="L90" s="464"/>
      <c r="M90" s="464"/>
      <c r="N90" s="464"/>
      <c r="O90" s="464"/>
      <c r="P90" s="464"/>
      <c r="Q90" s="465"/>
      <c r="R90" s="465"/>
      <c r="S90" s="465"/>
      <c r="T90" s="465"/>
    </row>
    <row r="91" spans="2:20" ht="16.5" customHeight="1">
      <c r="B91" s="289"/>
      <c r="C91" s="289"/>
      <c r="D91" s="289"/>
      <c r="F91" s="8"/>
      <c r="G91" s="464"/>
      <c r="H91" s="464"/>
      <c r="I91" s="464"/>
      <c r="J91" s="464"/>
      <c r="K91" s="464"/>
      <c r="L91" s="464"/>
      <c r="M91" s="464"/>
      <c r="N91" s="464"/>
      <c r="O91" s="464"/>
      <c r="P91" s="464"/>
      <c r="Q91" s="465"/>
      <c r="R91" s="465"/>
      <c r="S91" s="465"/>
      <c r="T91" s="465"/>
    </row>
    <row r="92" spans="2:20" ht="16.5" customHeight="1">
      <c r="B92" s="289"/>
      <c r="C92" s="289"/>
      <c r="D92" s="289"/>
      <c r="F92" s="8"/>
      <c r="G92" s="464"/>
      <c r="H92" s="464"/>
      <c r="I92" s="464"/>
      <c r="J92" s="464"/>
      <c r="K92" s="464"/>
      <c r="L92" s="464"/>
      <c r="M92" s="464"/>
      <c r="N92" s="464"/>
      <c r="O92" s="464"/>
      <c r="P92" s="464"/>
      <c r="Q92" s="465"/>
      <c r="R92" s="465"/>
      <c r="S92" s="465"/>
      <c r="T92" s="465"/>
    </row>
    <row r="93" spans="2:20" ht="16.5" customHeight="1">
      <c r="B93" s="289"/>
      <c r="C93" s="289"/>
      <c r="D93" s="289"/>
      <c r="F93" s="8"/>
      <c r="G93" s="464"/>
      <c r="H93" s="464"/>
      <c r="I93" s="464"/>
      <c r="J93" s="464"/>
      <c r="K93" s="464"/>
      <c r="L93" s="464"/>
      <c r="M93" s="464"/>
      <c r="N93" s="464"/>
      <c r="O93" s="464"/>
      <c r="P93" s="464"/>
      <c r="Q93" s="465"/>
      <c r="R93" s="465"/>
      <c r="S93" s="465"/>
      <c r="T93" s="465"/>
    </row>
    <row r="94" spans="2:20">
      <c r="B94" s="289"/>
      <c r="C94" s="289"/>
      <c r="D94" s="289"/>
      <c r="F94" s="8"/>
      <c r="G94" s="464"/>
      <c r="H94" s="464"/>
      <c r="I94" s="464"/>
      <c r="J94" s="464"/>
      <c r="K94" s="464"/>
      <c r="L94" s="464"/>
      <c r="M94" s="464"/>
      <c r="N94" s="464"/>
      <c r="O94" s="464"/>
      <c r="P94" s="464"/>
      <c r="Q94" s="465"/>
      <c r="R94" s="465"/>
      <c r="S94" s="465"/>
      <c r="T94" s="465"/>
    </row>
    <row r="95" spans="2:20">
      <c r="B95" s="289"/>
      <c r="C95" s="289"/>
      <c r="D95" s="289"/>
      <c r="F95" s="8"/>
      <c r="G95" s="464"/>
      <c r="H95" s="464"/>
      <c r="I95" s="464"/>
      <c r="J95" s="464"/>
      <c r="K95" s="464"/>
      <c r="L95" s="464"/>
      <c r="M95" s="464"/>
      <c r="N95" s="464"/>
      <c r="O95" s="464"/>
      <c r="P95" s="464"/>
      <c r="Q95" s="465"/>
      <c r="R95" s="465"/>
      <c r="S95" s="465"/>
      <c r="T95" s="465"/>
    </row>
    <row r="96" spans="2:20">
      <c r="B96" s="289"/>
      <c r="C96" s="289"/>
      <c r="D96" s="289"/>
      <c r="F96" s="8"/>
      <c r="G96" s="464"/>
      <c r="H96" s="464"/>
      <c r="I96" s="464"/>
      <c r="J96" s="464"/>
      <c r="K96" s="464"/>
      <c r="L96" s="464"/>
      <c r="M96" s="464"/>
      <c r="N96" s="464"/>
      <c r="O96" s="464"/>
      <c r="P96" s="464"/>
      <c r="Q96" s="465"/>
      <c r="R96" s="465"/>
      <c r="S96" s="465"/>
      <c r="T96" s="465"/>
    </row>
    <row r="97" spans="2:20">
      <c r="B97" s="289"/>
      <c r="C97" s="289"/>
      <c r="D97" s="289"/>
      <c r="F97" s="8"/>
      <c r="G97" s="464"/>
      <c r="H97" s="464"/>
      <c r="I97" s="464"/>
      <c r="J97" s="464"/>
      <c r="K97" s="464"/>
      <c r="L97" s="464"/>
      <c r="M97" s="464"/>
      <c r="N97" s="464"/>
      <c r="O97" s="464"/>
      <c r="P97" s="464"/>
      <c r="Q97" s="465"/>
      <c r="R97" s="465"/>
      <c r="S97" s="465"/>
      <c r="T97" s="465"/>
    </row>
    <row r="98" spans="2:20">
      <c r="B98" s="289"/>
      <c r="C98" s="289"/>
      <c r="D98" s="289"/>
      <c r="F98" s="8"/>
      <c r="G98" s="464"/>
      <c r="H98" s="464"/>
      <c r="I98" s="464"/>
      <c r="J98" s="464"/>
      <c r="K98" s="464"/>
      <c r="L98" s="464"/>
      <c r="M98" s="464"/>
      <c r="N98" s="464"/>
      <c r="O98" s="464"/>
      <c r="P98" s="464"/>
      <c r="Q98" s="465"/>
      <c r="R98" s="465"/>
      <c r="S98" s="465"/>
      <c r="T98" s="465"/>
    </row>
    <row r="99" spans="2:20">
      <c r="B99" s="289"/>
      <c r="C99" s="289"/>
      <c r="D99" s="289"/>
      <c r="F99" s="8"/>
      <c r="G99" s="464"/>
      <c r="H99" s="464"/>
      <c r="I99" s="464"/>
      <c r="J99" s="464"/>
      <c r="K99" s="464"/>
      <c r="L99" s="464"/>
      <c r="M99" s="464"/>
      <c r="N99" s="464"/>
      <c r="O99" s="464"/>
      <c r="P99" s="464"/>
      <c r="Q99" s="465"/>
      <c r="R99" s="465"/>
      <c r="S99" s="465"/>
      <c r="T99" s="465"/>
    </row>
    <row r="100" spans="2:20">
      <c r="B100" s="289"/>
      <c r="C100" s="289"/>
      <c r="D100" s="289"/>
      <c r="F100" s="8"/>
      <c r="G100" s="464"/>
      <c r="H100" s="464"/>
      <c r="I100" s="464"/>
      <c r="J100" s="464"/>
      <c r="K100" s="464"/>
      <c r="L100" s="464"/>
      <c r="M100" s="464"/>
      <c r="N100" s="464"/>
      <c r="O100" s="464"/>
      <c r="P100" s="464"/>
      <c r="Q100" s="465"/>
      <c r="R100" s="465"/>
      <c r="S100" s="465"/>
      <c r="T100" s="465"/>
    </row>
    <row r="101" spans="2:20">
      <c r="B101" s="289"/>
      <c r="C101" s="289"/>
      <c r="D101" s="289"/>
      <c r="F101" s="8"/>
      <c r="G101" s="464"/>
      <c r="H101" s="464"/>
      <c r="I101" s="464"/>
      <c r="J101" s="464"/>
      <c r="K101" s="464"/>
      <c r="L101" s="464"/>
      <c r="M101" s="464"/>
      <c r="N101" s="464"/>
      <c r="O101" s="464"/>
      <c r="P101" s="464"/>
      <c r="Q101" s="465"/>
      <c r="R101" s="465"/>
      <c r="S101" s="465"/>
      <c r="T101" s="465"/>
    </row>
    <row r="102" spans="2:20">
      <c r="B102" s="289"/>
      <c r="C102" s="289"/>
      <c r="D102" s="289"/>
      <c r="F102" s="8"/>
      <c r="G102" s="464"/>
      <c r="H102" s="464"/>
      <c r="I102" s="464"/>
      <c r="J102" s="464"/>
      <c r="K102" s="464"/>
      <c r="L102" s="464"/>
      <c r="M102" s="464"/>
      <c r="N102" s="464"/>
      <c r="O102" s="464"/>
      <c r="P102" s="464"/>
      <c r="Q102" s="465"/>
      <c r="R102" s="465"/>
      <c r="S102" s="465"/>
      <c r="T102" s="465"/>
    </row>
    <row r="103" spans="2:20">
      <c r="B103" s="289"/>
      <c r="C103" s="289"/>
      <c r="D103" s="289"/>
      <c r="F103" s="8"/>
      <c r="G103" s="464"/>
      <c r="H103" s="464"/>
      <c r="I103" s="464"/>
      <c r="J103" s="464"/>
      <c r="K103" s="464"/>
      <c r="L103" s="464"/>
      <c r="M103" s="464"/>
      <c r="N103" s="464"/>
      <c r="O103" s="464"/>
      <c r="P103" s="464"/>
      <c r="Q103" s="465"/>
      <c r="R103" s="465"/>
      <c r="S103" s="465"/>
      <c r="T103" s="465"/>
    </row>
    <row r="104" spans="2:20">
      <c r="B104" s="289"/>
      <c r="C104" s="289"/>
      <c r="D104" s="289"/>
      <c r="F104" s="8"/>
      <c r="G104" s="464"/>
      <c r="H104" s="464"/>
      <c r="I104" s="464"/>
      <c r="J104" s="464"/>
      <c r="K104" s="464"/>
      <c r="L104" s="464"/>
      <c r="M104" s="464"/>
      <c r="N104" s="464"/>
      <c r="O104" s="464"/>
      <c r="P104" s="464"/>
      <c r="Q104" s="465"/>
      <c r="R104" s="465"/>
      <c r="S104" s="465"/>
      <c r="T104" s="465"/>
    </row>
    <row r="105" spans="2:20">
      <c r="B105" s="289"/>
      <c r="C105" s="289"/>
      <c r="D105" s="289"/>
      <c r="F105" s="8"/>
      <c r="G105" s="464"/>
      <c r="H105" s="464"/>
      <c r="I105" s="464"/>
      <c r="J105" s="464"/>
      <c r="K105" s="464"/>
      <c r="L105" s="464"/>
      <c r="M105" s="464"/>
      <c r="N105" s="464"/>
      <c r="O105" s="464"/>
      <c r="P105" s="464"/>
      <c r="Q105" s="465"/>
      <c r="R105" s="465"/>
      <c r="S105" s="465"/>
      <c r="T105" s="465"/>
    </row>
    <row r="106" spans="2:20">
      <c r="B106" s="289"/>
      <c r="C106" s="289"/>
      <c r="D106" s="289"/>
      <c r="F106" s="8"/>
      <c r="G106" s="464"/>
      <c r="H106" s="464"/>
      <c r="I106" s="464"/>
      <c r="J106" s="464"/>
      <c r="K106" s="464"/>
      <c r="L106" s="464"/>
      <c r="M106" s="464"/>
      <c r="N106" s="464"/>
      <c r="O106" s="464"/>
      <c r="P106" s="464"/>
      <c r="Q106" s="465"/>
      <c r="R106" s="465"/>
      <c r="S106" s="465"/>
      <c r="T106" s="465"/>
    </row>
    <row r="107" spans="2:20">
      <c r="B107" s="289"/>
      <c r="C107" s="289"/>
      <c r="D107" s="289"/>
      <c r="F107" s="8"/>
      <c r="G107" s="464"/>
      <c r="H107" s="464"/>
      <c r="I107" s="464"/>
      <c r="J107" s="464"/>
      <c r="K107" s="464"/>
      <c r="L107" s="464"/>
      <c r="M107" s="464"/>
      <c r="N107" s="464"/>
      <c r="O107" s="464"/>
      <c r="P107" s="464"/>
      <c r="Q107" s="465"/>
      <c r="R107" s="465"/>
      <c r="S107" s="465"/>
      <c r="T107" s="465"/>
    </row>
    <row r="108" spans="2:20">
      <c r="B108" s="289"/>
      <c r="C108" s="289"/>
      <c r="D108" s="289"/>
      <c r="F108" s="8"/>
      <c r="G108" s="464"/>
      <c r="H108" s="464"/>
      <c r="I108" s="464"/>
      <c r="J108" s="464"/>
      <c r="K108" s="464"/>
      <c r="L108" s="464"/>
      <c r="M108" s="464"/>
      <c r="N108" s="464"/>
      <c r="O108" s="464"/>
      <c r="P108" s="464"/>
      <c r="Q108" s="465"/>
      <c r="R108" s="465"/>
      <c r="S108" s="465"/>
      <c r="T108" s="465"/>
    </row>
    <row r="109" spans="2:20">
      <c r="B109" s="289"/>
      <c r="C109" s="289"/>
      <c r="D109" s="289"/>
      <c r="F109" s="8"/>
      <c r="G109" s="464"/>
      <c r="H109" s="464"/>
      <c r="I109" s="464"/>
      <c r="J109" s="464"/>
      <c r="K109" s="464"/>
      <c r="L109" s="464"/>
      <c r="M109" s="464"/>
      <c r="N109" s="464"/>
      <c r="O109" s="464"/>
      <c r="P109" s="464"/>
      <c r="Q109" s="465"/>
      <c r="R109" s="465"/>
      <c r="S109" s="465"/>
      <c r="T109" s="465"/>
    </row>
    <row r="110" spans="2:20">
      <c r="B110" s="289"/>
      <c r="C110" s="289"/>
      <c r="D110" s="289"/>
      <c r="F110" s="8"/>
      <c r="G110" s="464"/>
      <c r="H110" s="464"/>
      <c r="I110" s="464"/>
      <c r="J110" s="464"/>
      <c r="K110" s="464"/>
      <c r="L110" s="464"/>
      <c r="M110" s="464"/>
      <c r="N110" s="464"/>
      <c r="O110" s="464"/>
      <c r="P110" s="464"/>
      <c r="Q110" s="465"/>
      <c r="R110" s="465"/>
      <c r="S110" s="465"/>
      <c r="T110" s="465"/>
    </row>
    <row r="111" spans="2:20">
      <c r="B111" s="289"/>
      <c r="C111" s="289"/>
      <c r="D111" s="289"/>
      <c r="F111" s="8"/>
      <c r="G111" s="464"/>
      <c r="H111" s="464"/>
      <c r="I111" s="464"/>
      <c r="J111" s="464"/>
      <c r="K111" s="464"/>
      <c r="L111" s="464"/>
      <c r="M111" s="464"/>
      <c r="N111" s="464"/>
      <c r="O111" s="464"/>
      <c r="P111" s="464"/>
      <c r="Q111" s="465"/>
      <c r="R111" s="465"/>
      <c r="S111" s="465"/>
      <c r="T111" s="465"/>
    </row>
    <row r="112" spans="2:20">
      <c r="B112" s="289"/>
      <c r="C112" s="289"/>
      <c r="D112" s="289"/>
      <c r="F112" s="8"/>
      <c r="G112" s="464"/>
      <c r="H112" s="464"/>
      <c r="I112" s="464"/>
      <c r="J112" s="464"/>
      <c r="K112" s="464"/>
      <c r="L112" s="464"/>
      <c r="M112" s="464"/>
      <c r="N112" s="464"/>
      <c r="O112" s="464"/>
      <c r="P112" s="464"/>
      <c r="Q112" s="465"/>
      <c r="R112" s="465"/>
      <c r="S112" s="465"/>
      <c r="T112" s="465"/>
    </row>
    <row r="113" spans="2:20">
      <c r="B113" s="289"/>
      <c r="C113" s="289"/>
      <c r="D113" s="289"/>
      <c r="F113" s="8"/>
      <c r="G113" s="464"/>
      <c r="H113" s="464"/>
      <c r="I113" s="464"/>
      <c r="J113" s="464"/>
      <c r="K113" s="464"/>
      <c r="L113" s="464"/>
      <c r="M113" s="464"/>
      <c r="N113" s="464"/>
      <c r="O113" s="464"/>
      <c r="P113" s="464"/>
      <c r="Q113" s="465"/>
      <c r="R113" s="465"/>
      <c r="S113" s="465"/>
      <c r="T113" s="465"/>
    </row>
    <row r="114" spans="2:20">
      <c r="B114" s="289"/>
      <c r="C114" s="289"/>
      <c r="D114" s="289"/>
      <c r="F114" s="8"/>
      <c r="G114" s="464"/>
      <c r="H114" s="464"/>
      <c r="I114" s="464"/>
      <c r="J114" s="464"/>
      <c r="K114" s="464"/>
      <c r="L114" s="464"/>
      <c r="M114" s="464"/>
      <c r="N114" s="464"/>
      <c r="O114" s="464"/>
      <c r="P114" s="464"/>
      <c r="Q114" s="465"/>
      <c r="R114" s="465"/>
      <c r="S114" s="465"/>
      <c r="T114" s="465"/>
    </row>
    <row r="115" spans="2:20">
      <c r="B115" s="289"/>
      <c r="C115" s="289"/>
      <c r="D115" s="289"/>
      <c r="F115" s="8"/>
      <c r="G115" s="464"/>
      <c r="H115" s="464"/>
      <c r="I115" s="464"/>
      <c r="J115" s="464"/>
      <c r="K115" s="464"/>
      <c r="L115" s="464"/>
      <c r="M115" s="464"/>
      <c r="N115" s="464"/>
      <c r="O115" s="464"/>
      <c r="P115" s="464"/>
      <c r="Q115" s="465"/>
      <c r="R115" s="465"/>
      <c r="S115" s="465"/>
      <c r="T115" s="465"/>
    </row>
    <row r="116" spans="2:20">
      <c r="B116" s="289"/>
      <c r="C116" s="289"/>
      <c r="D116" s="289"/>
      <c r="F116" s="8"/>
      <c r="G116" s="464"/>
      <c r="H116" s="464"/>
      <c r="I116" s="464"/>
      <c r="J116" s="464"/>
      <c r="K116" s="464"/>
      <c r="L116" s="464"/>
      <c r="M116" s="464"/>
      <c r="N116" s="464"/>
      <c r="O116" s="464"/>
      <c r="P116" s="464"/>
      <c r="Q116" s="465"/>
      <c r="R116" s="465"/>
      <c r="S116" s="465"/>
      <c r="T116" s="465"/>
    </row>
    <row r="117" spans="2:20">
      <c r="B117" s="289"/>
      <c r="C117" s="289"/>
      <c r="D117" s="289"/>
      <c r="F117" s="8"/>
      <c r="G117" s="464"/>
      <c r="H117" s="464"/>
      <c r="I117" s="464"/>
      <c r="J117" s="464"/>
      <c r="K117" s="464"/>
      <c r="L117" s="464"/>
      <c r="M117" s="464"/>
      <c r="N117" s="464"/>
      <c r="O117" s="464"/>
      <c r="P117" s="464"/>
      <c r="Q117" s="465"/>
      <c r="R117" s="465"/>
      <c r="S117" s="465"/>
      <c r="T117" s="465"/>
    </row>
    <row r="118" spans="2:20">
      <c r="B118" s="289"/>
      <c r="C118" s="289"/>
      <c r="D118" s="289"/>
      <c r="F118" s="8"/>
      <c r="G118" s="464"/>
      <c r="H118" s="464"/>
      <c r="I118" s="464"/>
      <c r="J118" s="464"/>
      <c r="K118" s="464"/>
      <c r="L118" s="464"/>
      <c r="M118" s="464"/>
      <c r="N118" s="464"/>
      <c r="O118" s="464"/>
      <c r="P118" s="464"/>
      <c r="Q118" s="465"/>
      <c r="R118" s="465"/>
      <c r="S118" s="465"/>
      <c r="T118" s="465"/>
    </row>
    <row r="119" spans="2:20">
      <c r="B119" s="289"/>
      <c r="C119" s="289"/>
      <c r="D119" s="289"/>
      <c r="F119" s="8"/>
      <c r="G119" s="464"/>
      <c r="H119" s="464"/>
      <c r="I119" s="464"/>
      <c r="J119" s="464"/>
      <c r="K119" s="464"/>
      <c r="L119" s="464"/>
      <c r="M119" s="464"/>
      <c r="N119" s="464"/>
      <c r="O119" s="464"/>
      <c r="P119" s="464"/>
      <c r="Q119" s="465"/>
      <c r="R119" s="465"/>
      <c r="S119" s="465"/>
      <c r="T119" s="465"/>
    </row>
    <row r="120" spans="2:20">
      <c r="B120" s="289"/>
      <c r="C120" s="289"/>
      <c r="D120" s="289"/>
      <c r="F120" s="8"/>
      <c r="G120" s="464"/>
      <c r="H120" s="464"/>
      <c r="I120" s="464"/>
      <c r="J120" s="464"/>
      <c r="K120" s="464"/>
      <c r="L120" s="464"/>
      <c r="M120" s="464"/>
      <c r="N120" s="464"/>
      <c r="O120" s="464"/>
      <c r="P120" s="464"/>
      <c r="Q120" s="465"/>
      <c r="R120" s="465"/>
      <c r="S120" s="465"/>
      <c r="T120" s="465"/>
    </row>
    <row r="121" spans="2:20">
      <c r="B121" s="289"/>
      <c r="C121" s="289"/>
      <c r="D121" s="289"/>
      <c r="F121" s="8"/>
      <c r="G121" s="464"/>
      <c r="H121" s="464"/>
      <c r="I121" s="464"/>
      <c r="J121" s="464"/>
      <c r="K121" s="464"/>
      <c r="L121" s="464"/>
      <c r="M121" s="464"/>
      <c r="N121" s="464"/>
      <c r="O121" s="464"/>
      <c r="P121" s="464"/>
      <c r="Q121" s="465"/>
      <c r="R121" s="465"/>
      <c r="S121" s="465"/>
      <c r="T121" s="465"/>
    </row>
    <row r="122" spans="2:20">
      <c r="B122" s="289"/>
      <c r="C122" s="289"/>
      <c r="D122" s="289"/>
      <c r="F122" s="8"/>
      <c r="G122" s="464"/>
      <c r="H122" s="464"/>
      <c r="I122" s="464"/>
      <c r="J122" s="464"/>
      <c r="K122" s="464"/>
      <c r="L122" s="464"/>
      <c r="M122" s="464"/>
      <c r="N122" s="464"/>
      <c r="O122" s="464"/>
      <c r="P122" s="464"/>
      <c r="Q122" s="465"/>
      <c r="R122" s="465"/>
      <c r="S122" s="465"/>
      <c r="T122" s="465"/>
    </row>
    <row r="123" spans="2:20">
      <c r="B123" s="289"/>
      <c r="C123" s="289"/>
      <c r="D123" s="289"/>
      <c r="F123" s="8"/>
      <c r="G123" s="464"/>
      <c r="H123" s="464"/>
      <c r="I123" s="464"/>
      <c r="J123" s="464"/>
      <c r="K123" s="464"/>
      <c r="L123" s="464"/>
      <c r="M123" s="464"/>
      <c r="N123" s="464"/>
      <c r="O123" s="464"/>
      <c r="P123" s="464"/>
      <c r="Q123" s="465"/>
      <c r="R123" s="465"/>
      <c r="S123" s="465"/>
      <c r="T123" s="465"/>
    </row>
    <row r="124" spans="2:20">
      <c r="B124" s="289"/>
      <c r="C124" s="289"/>
      <c r="D124" s="289"/>
      <c r="F124" s="8"/>
      <c r="G124" s="464"/>
      <c r="H124" s="464"/>
      <c r="I124" s="464"/>
      <c r="J124" s="464"/>
      <c r="K124" s="464"/>
      <c r="L124" s="464"/>
      <c r="M124" s="464"/>
      <c r="N124" s="464"/>
      <c r="O124" s="464"/>
      <c r="P124" s="464"/>
      <c r="Q124" s="465"/>
      <c r="R124" s="465"/>
      <c r="S124" s="465"/>
      <c r="T124" s="465"/>
    </row>
    <row r="125" spans="2:20">
      <c r="B125" s="289"/>
      <c r="C125" s="289"/>
      <c r="D125" s="289"/>
      <c r="F125" s="8"/>
      <c r="G125" s="464"/>
      <c r="H125" s="464"/>
      <c r="I125" s="464"/>
      <c r="J125" s="464"/>
      <c r="K125" s="464"/>
      <c r="L125" s="464"/>
      <c r="M125" s="464"/>
      <c r="N125" s="464"/>
      <c r="O125" s="464"/>
      <c r="P125" s="464"/>
      <c r="Q125" s="465"/>
      <c r="R125" s="465"/>
      <c r="S125" s="465"/>
      <c r="T125" s="465"/>
    </row>
    <row r="126" spans="2:20">
      <c r="B126" s="289"/>
      <c r="C126" s="289"/>
      <c r="D126" s="289"/>
      <c r="F126" s="8"/>
      <c r="G126" s="464"/>
      <c r="H126" s="464"/>
      <c r="I126" s="464"/>
      <c r="J126" s="464"/>
      <c r="K126" s="464"/>
      <c r="L126" s="464"/>
      <c r="M126" s="464"/>
      <c r="N126" s="464"/>
      <c r="O126" s="464"/>
      <c r="P126" s="464"/>
      <c r="Q126" s="465"/>
      <c r="R126" s="465"/>
      <c r="S126" s="465"/>
      <c r="T126" s="465"/>
    </row>
    <row r="127" spans="2:20">
      <c r="B127" s="289"/>
      <c r="C127" s="289"/>
      <c r="D127" s="289"/>
      <c r="F127" s="8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5"/>
      <c r="R127" s="465"/>
      <c r="S127" s="465"/>
      <c r="T127" s="465"/>
    </row>
    <row r="128" spans="2:20">
      <c r="B128" s="289"/>
      <c r="C128" s="289"/>
      <c r="D128" s="289"/>
      <c r="F128" s="8"/>
      <c r="G128" s="464"/>
      <c r="H128" s="464"/>
      <c r="I128" s="464"/>
      <c r="J128" s="464"/>
      <c r="K128" s="464"/>
      <c r="L128" s="464"/>
      <c r="M128" s="464"/>
      <c r="N128" s="464"/>
      <c r="O128" s="464"/>
      <c r="P128" s="464"/>
      <c r="Q128" s="465"/>
      <c r="R128" s="465"/>
      <c r="S128" s="465"/>
      <c r="T128" s="465"/>
    </row>
    <row r="129" spans="2:20">
      <c r="B129" s="289"/>
      <c r="C129" s="289"/>
      <c r="D129" s="289"/>
      <c r="F129" s="8"/>
      <c r="G129" s="464"/>
      <c r="H129" s="464"/>
      <c r="I129" s="464"/>
      <c r="J129" s="464"/>
      <c r="K129" s="464"/>
      <c r="L129" s="464"/>
      <c r="M129" s="464"/>
      <c r="N129" s="464"/>
      <c r="O129" s="464"/>
      <c r="P129" s="464"/>
      <c r="Q129" s="465"/>
      <c r="R129" s="465"/>
      <c r="S129" s="465"/>
      <c r="T129" s="465"/>
    </row>
    <row r="130" spans="2:20">
      <c r="B130" s="289"/>
      <c r="C130" s="289"/>
      <c r="D130" s="289"/>
      <c r="F130" s="8"/>
      <c r="G130" s="464"/>
      <c r="H130" s="464"/>
      <c r="I130" s="464"/>
      <c r="J130" s="464"/>
      <c r="K130" s="464"/>
      <c r="L130" s="464"/>
      <c r="M130" s="464"/>
      <c r="N130" s="464"/>
      <c r="O130" s="464"/>
      <c r="P130" s="464"/>
      <c r="Q130" s="465"/>
      <c r="R130" s="465"/>
      <c r="S130" s="465"/>
      <c r="T130" s="465"/>
    </row>
    <row r="131" spans="2:20">
      <c r="B131" s="289"/>
      <c r="C131" s="289"/>
      <c r="D131" s="289"/>
      <c r="F131" s="8"/>
      <c r="G131" s="464"/>
      <c r="H131" s="464"/>
      <c r="I131" s="464"/>
      <c r="J131" s="464"/>
      <c r="K131" s="464"/>
      <c r="L131" s="464"/>
      <c r="M131" s="464"/>
      <c r="N131" s="464"/>
      <c r="O131" s="464"/>
      <c r="P131" s="464"/>
      <c r="Q131" s="465"/>
      <c r="R131" s="465"/>
      <c r="S131" s="465"/>
      <c r="T131" s="465"/>
    </row>
    <row r="132" spans="2:20">
      <c r="B132" s="289"/>
      <c r="C132" s="289"/>
      <c r="D132" s="289"/>
      <c r="F132" s="8"/>
      <c r="G132" s="464"/>
      <c r="H132" s="464"/>
      <c r="I132" s="464"/>
      <c r="J132" s="464"/>
      <c r="K132" s="464"/>
      <c r="L132" s="464"/>
      <c r="M132" s="464"/>
      <c r="N132" s="464"/>
      <c r="O132" s="464"/>
      <c r="P132" s="464"/>
      <c r="Q132" s="465"/>
      <c r="R132" s="465"/>
      <c r="S132" s="465"/>
      <c r="T132" s="465"/>
    </row>
    <row r="133" spans="2:20">
      <c r="B133" s="289"/>
      <c r="C133" s="289"/>
      <c r="D133" s="289"/>
      <c r="F133" s="8"/>
      <c r="G133" s="464"/>
      <c r="H133" s="464"/>
      <c r="I133" s="464"/>
      <c r="J133" s="464"/>
      <c r="K133" s="464"/>
      <c r="L133" s="464"/>
      <c r="M133" s="464"/>
      <c r="N133" s="464"/>
      <c r="O133" s="464"/>
      <c r="P133" s="464"/>
      <c r="Q133" s="465"/>
      <c r="R133" s="465"/>
      <c r="S133" s="465"/>
      <c r="T133" s="465"/>
    </row>
    <row r="134" spans="2:20">
      <c r="B134" s="289"/>
      <c r="C134" s="289"/>
      <c r="D134" s="289"/>
      <c r="F134" s="8"/>
      <c r="G134" s="464"/>
      <c r="H134" s="464"/>
      <c r="I134" s="464"/>
      <c r="J134" s="464"/>
      <c r="K134" s="464"/>
      <c r="L134" s="464"/>
      <c r="M134" s="464"/>
      <c r="N134" s="464"/>
      <c r="O134" s="464"/>
      <c r="P134" s="464"/>
      <c r="Q134" s="465"/>
      <c r="R134" s="465"/>
      <c r="S134" s="465"/>
      <c r="T134" s="465"/>
    </row>
    <row r="135" spans="2:20">
      <c r="B135" s="289"/>
      <c r="C135" s="289"/>
      <c r="D135" s="289"/>
      <c r="F135" s="8"/>
      <c r="G135" s="464"/>
      <c r="H135" s="464"/>
      <c r="I135" s="464"/>
      <c r="J135" s="464"/>
      <c r="K135" s="464"/>
      <c r="L135" s="464"/>
      <c r="M135" s="464"/>
      <c r="N135" s="464"/>
      <c r="O135" s="464"/>
      <c r="P135" s="464"/>
      <c r="Q135" s="465"/>
      <c r="R135" s="465"/>
      <c r="S135" s="465"/>
      <c r="T135" s="465"/>
    </row>
    <row r="136" spans="2:20">
      <c r="B136" s="289"/>
      <c r="C136" s="289"/>
      <c r="D136" s="289"/>
      <c r="F136" s="8"/>
      <c r="G136" s="464"/>
      <c r="H136" s="464"/>
      <c r="I136" s="464"/>
      <c r="J136" s="464"/>
      <c r="K136" s="464"/>
      <c r="L136" s="464"/>
      <c r="M136" s="464"/>
      <c r="N136" s="464"/>
      <c r="O136" s="464"/>
      <c r="P136" s="464"/>
      <c r="Q136" s="465"/>
      <c r="R136" s="465"/>
      <c r="S136" s="465"/>
      <c r="T136" s="465"/>
    </row>
    <row r="137" spans="2:20">
      <c r="B137" s="289"/>
      <c r="C137" s="289"/>
      <c r="D137" s="289"/>
      <c r="F137" s="8"/>
      <c r="G137" s="464"/>
      <c r="H137" s="464"/>
      <c r="I137" s="464"/>
      <c r="J137" s="464"/>
      <c r="K137" s="464"/>
      <c r="L137" s="464"/>
      <c r="M137" s="464"/>
      <c r="N137" s="464"/>
      <c r="O137" s="464"/>
      <c r="P137" s="464"/>
      <c r="Q137" s="465"/>
      <c r="R137" s="465"/>
      <c r="S137" s="465"/>
      <c r="T137" s="465"/>
    </row>
    <row r="138" spans="2:20">
      <c r="B138" s="289"/>
      <c r="C138" s="289"/>
      <c r="D138" s="289"/>
      <c r="F138" s="8"/>
      <c r="G138" s="464"/>
      <c r="H138" s="464"/>
      <c r="I138" s="464"/>
      <c r="J138" s="464"/>
      <c r="K138" s="464"/>
      <c r="L138" s="464"/>
      <c r="M138" s="464"/>
      <c r="N138" s="464"/>
      <c r="O138" s="464"/>
      <c r="P138" s="464"/>
      <c r="Q138" s="465"/>
      <c r="R138" s="465"/>
      <c r="S138" s="465"/>
      <c r="T138" s="465"/>
    </row>
    <row r="139" spans="2:20">
      <c r="B139" s="289"/>
      <c r="C139" s="289"/>
      <c r="D139" s="289"/>
      <c r="F139" s="8"/>
      <c r="G139" s="464"/>
      <c r="H139" s="464"/>
      <c r="I139" s="464"/>
      <c r="J139" s="464"/>
      <c r="K139" s="464"/>
      <c r="L139" s="464"/>
      <c r="M139" s="464"/>
      <c r="N139" s="464"/>
      <c r="O139" s="464"/>
      <c r="P139" s="464"/>
      <c r="Q139" s="465"/>
      <c r="R139" s="465"/>
      <c r="S139" s="465"/>
      <c r="T139" s="465"/>
    </row>
    <row r="140" spans="2:20">
      <c r="B140" s="289"/>
      <c r="C140" s="289"/>
      <c r="D140" s="289"/>
      <c r="F140" s="8"/>
      <c r="G140" s="464"/>
      <c r="H140" s="464"/>
      <c r="I140" s="464"/>
      <c r="J140" s="464"/>
      <c r="K140" s="464"/>
      <c r="L140" s="464"/>
      <c r="M140" s="464"/>
      <c r="N140" s="464"/>
      <c r="O140" s="464"/>
      <c r="P140" s="464"/>
      <c r="Q140" s="465"/>
      <c r="R140" s="465"/>
      <c r="S140" s="465"/>
      <c r="T140" s="465"/>
    </row>
    <row r="141" spans="2:20">
      <c r="B141" s="289"/>
      <c r="C141" s="289"/>
      <c r="D141" s="289"/>
      <c r="F141" s="8"/>
      <c r="G141" s="464"/>
      <c r="H141" s="464"/>
      <c r="I141" s="464"/>
      <c r="J141" s="464"/>
      <c r="K141" s="464"/>
      <c r="L141" s="464"/>
      <c r="M141" s="464"/>
      <c r="N141" s="464"/>
      <c r="O141" s="464"/>
      <c r="P141" s="464"/>
      <c r="Q141" s="465"/>
      <c r="R141" s="465"/>
      <c r="S141" s="465"/>
      <c r="T141" s="465"/>
    </row>
    <row r="142" spans="2:20">
      <c r="B142" s="289"/>
      <c r="C142" s="289"/>
      <c r="D142" s="289"/>
      <c r="F142" s="8"/>
      <c r="G142" s="464"/>
      <c r="H142" s="464"/>
      <c r="I142" s="464"/>
      <c r="J142" s="464"/>
      <c r="K142" s="464"/>
      <c r="L142" s="464"/>
      <c r="M142" s="464"/>
      <c r="N142" s="464"/>
      <c r="O142" s="464"/>
      <c r="P142" s="464"/>
      <c r="Q142" s="465"/>
      <c r="R142" s="465"/>
      <c r="S142" s="465"/>
      <c r="T142" s="465"/>
    </row>
    <row r="143" spans="2:20">
      <c r="B143" s="289"/>
      <c r="C143" s="289"/>
      <c r="D143" s="289"/>
      <c r="F143" s="8"/>
      <c r="G143" s="464"/>
      <c r="H143" s="464"/>
      <c r="I143" s="464"/>
      <c r="J143" s="464"/>
      <c r="K143" s="464"/>
      <c r="L143" s="464"/>
      <c r="M143" s="464"/>
      <c r="N143" s="464"/>
      <c r="O143" s="464"/>
      <c r="P143" s="464"/>
      <c r="Q143" s="465"/>
      <c r="R143" s="465"/>
      <c r="S143" s="465"/>
      <c r="T143" s="465"/>
    </row>
    <row r="144" spans="2:20">
      <c r="B144" s="289"/>
      <c r="C144" s="289"/>
      <c r="D144" s="289"/>
      <c r="F144" s="8"/>
      <c r="G144" s="464"/>
      <c r="H144" s="464"/>
      <c r="I144" s="464"/>
      <c r="J144" s="464"/>
      <c r="K144" s="464"/>
      <c r="L144" s="464"/>
      <c r="M144" s="464"/>
      <c r="N144" s="464"/>
      <c r="O144" s="464"/>
      <c r="P144" s="464"/>
      <c r="Q144" s="465"/>
      <c r="R144" s="465"/>
      <c r="S144" s="465"/>
      <c r="T144" s="465"/>
    </row>
    <row r="145" spans="2:20">
      <c r="B145" s="289"/>
      <c r="C145" s="289"/>
      <c r="D145" s="289"/>
      <c r="F145" s="8"/>
      <c r="G145" s="464"/>
      <c r="H145" s="464"/>
      <c r="I145" s="464"/>
      <c r="J145" s="464"/>
      <c r="K145" s="464"/>
      <c r="L145" s="464"/>
      <c r="M145" s="464"/>
      <c r="N145" s="464"/>
      <c r="O145" s="464"/>
      <c r="P145" s="464"/>
      <c r="Q145" s="465"/>
      <c r="R145" s="465"/>
      <c r="S145" s="465"/>
      <c r="T145" s="465"/>
    </row>
    <row r="146" spans="2:20">
      <c r="B146" s="289"/>
      <c r="C146" s="289"/>
      <c r="D146" s="289"/>
      <c r="F146" s="8"/>
      <c r="G146" s="464"/>
      <c r="H146" s="464"/>
      <c r="I146" s="464"/>
      <c r="J146" s="464"/>
      <c r="K146" s="464"/>
      <c r="L146" s="464"/>
      <c r="M146" s="464"/>
      <c r="N146" s="464"/>
      <c r="O146" s="464"/>
      <c r="P146" s="464"/>
      <c r="Q146" s="465"/>
      <c r="R146" s="465"/>
      <c r="S146" s="465"/>
      <c r="T146" s="465"/>
    </row>
    <row r="147" spans="2:20">
      <c r="B147" s="289"/>
      <c r="C147" s="289"/>
      <c r="D147" s="289"/>
      <c r="F147" s="8"/>
      <c r="G147" s="464"/>
      <c r="H147" s="464"/>
      <c r="I147" s="464"/>
      <c r="J147" s="464"/>
      <c r="K147" s="464"/>
      <c r="L147" s="464"/>
      <c r="M147" s="464"/>
      <c r="N147" s="464"/>
      <c r="O147" s="464"/>
      <c r="P147" s="464"/>
      <c r="Q147" s="465"/>
      <c r="R147" s="465"/>
      <c r="S147" s="465"/>
      <c r="T147" s="465"/>
    </row>
    <row r="148" spans="2:20">
      <c r="B148" s="289"/>
      <c r="C148" s="289"/>
      <c r="D148" s="289"/>
      <c r="F148" s="8"/>
      <c r="G148" s="464"/>
      <c r="H148" s="464"/>
      <c r="I148" s="464"/>
      <c r="J148" s="464"/>
      <c r="K148" s="464"/>
      <c r="L148" s="464"/>
      <c r="M148" s="464"/>
      <c r="N148" s="464"/>
      <c r="O148" s="464"/>
      <c r="P148" s="464"/>
      <c r="Q148" s="465"/>
      <c r="R148" s="465"/>
      <c r="S148" s="465"/>
      <c r="T148" s="465"/>
    </row>
    <row r="149" spans="2:20">
      <c r="B149" s="289"/>
      <c r="C149" s="289"/>
      <c r="D149" s="289"/>
      <c r="F149" s="8"/>
      <c r="G149" s="464"/>
      <c r="H149" s="464"/>
      <c r="I149" s="464"/>
      <c r="J149" s="464"/>
      <c r="K149" s="464"/>
      <c r="L149" s="464"/>
      <c r="M149" s="464"/>
      <c r="N149" s="464"/>
      <c r="O149" s="464"/>
      <c r="P149" s="464"/>
      <c r="Q149" s="465"/>
      <c r="R149" s="465"/>
      <c r="S149" s="465"/>
      <c r="T149" s="465"/>
    </row>
    <row r="150" spans="2:20">
      <c r="B150" s="289"/>
      <c r="C150" s="289"/>
      <c r="D150" s="289"/>
      <c r="F150" s="8"/>
      <c r="G150" s="464"/>
      <c r="H150" s="464"/>
      <c r="I150" s="464"/>
      <c r="J150" s="464"/>
      <c r="K150" s="464"/>
      <c r="L150" s="464"/>
      <c r="M150" s="464"/>
      <c r="N150" s="464"/>
      <c r="O150" s="464"/>
      <c r="P150" s="464"/>
      <c r="Q150" s="465"/>
      <c r="R150" s="465"/>
      <c r="S150" s="465"/>
      <c r="T150" s="465"/>
    </row>
    <row r="151" spans="2:20">
      <c r="B151" s="289"/>
      <c r="C151" s="289"/>
      <c r="D151" s="289"/>
      <c r="F151" s="8"/>
      <c r="G151" s="464"/>
      <c r="H151" s="464"/>
      <c r="I151" s="464"/>
      <c r="J151" s="464"/>
      <c r="K151" s="464"/>
      <c r="L151" s="464"/>
      <c r="M151" s="464"/>
      <c r="N151" s="464"/>
      <c r="O151" s="464"/>
      <c r="P151" s="464"/>
      <c r="Q151" s="465"/>
      <c r="R151" s="465"/>
      <c r="S151" s="465"/>
      <c r="T151" s="465"/>
    </row>
    <row r="152" spans="2:20">
      <c r="B152" s="289"/>
      <c r="C152" s="289"/>
      <c r="D152" s="289"/>
      <c r="F152" s="8"/>
      <c r="G152" s="464"/>
      <c r="H152" s="464"/>
      <c r="I152" s="464"/>
      <c r="J152" s="464"/>
      <c r="K152" s="464"/>
      <c r="L152" s="464"/>
      <c r="M152" s="464"/>
      <c r="N152" s="464"/>
      <c r="O152" s="464"/>
      <c r="P152" s="464"/>
      <c r="Q152" s="465"/>
      <c r="R152" s="465"/>
      <c r="S152" s="465"/>
      <c r="T152" s="465"/>
    </row>
    <row r="153" spans="2:20">
      <c r="B153" s="289"/>
      <c r="C153" s="289"/>
      <c r="D153" s="289"/>
      <c r="F153" s="8"/>
      <c r="G153" s="464"/>
      <c r="H153" s="464"/>
      <c r="I153" s="464"/>
      <c r="J153" s="464"/>
      <c r="K153" s="464"/>
      <c r="L153" s="464"/>
      <c r="M153" s="464"/>
      <c r="N153" s="464"/>
      <c r="O153" s="464"/>
      <c r="P153" s="464"/>
      <c r="Q153" s="465"/>
      <c r="R153" s="465"/>
      <c r="S153" s="465"/>
      <c r="T153" s="465"/>
    </row>
    <row r="154" spans="2:20">
      <c r="B154" s="289"/>
      <c r="C154" s="289"/>
      <c r="D154" s="289"/>
      <c r="F154" s="8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5"/>
      <c r="R154" s="465"/>
      <c r="S154" s="465"/>
      <c r="T154" s="465"/>
    </row>
    <row r="155" spans="2:20">
      <c r="B155" s="289"/>
      <c r="C155" s="289"/>
      <c r="D155" s="289"/>
      <c r="F155" s="8"/>
      <c r="G155" s="464"/>
      <c r="H155" s="464"/>
      <c r="I155" s="464"/>
      <c r="J155" s="464"/>
      <c r="K155" s="464"/>
      <c r="L155" s="464"/>
      <c r="M155" s="464"/>
      <c r="N155" s="464"/>
      <c r="O155" s="464"/>
      <c r="P155" s="464"/>
      <c r="Q155" s="465"/>
      <c r="R155" s="465"/>
      <c r="S155" s="465"/>
      <c r="T155" s="465"/>
    </row>
    <row r="156" spans="2:20">
      <c r="B156" s="289"/>
      <c r="C156" s="289"/>
      <c r="D156" s="289"/>
      <c r="F156" s="8"/>
      <c r="G156" s="464"/>
      <c r="H156" s="464"/>
      <c r="I156" s="464"/>
      <c r="J156" s="464"/>
      <c r="K156" s="464"/>
      <c r="L156" s="464"/>
      <c r="M156" s="464"/>
      <c r="N156" s="464"/>
      <c r="O156" s="464"/>
      <c r="P156" s="464"/>
      <c r="Q156" s="465"/>
      <c r="R156" s="465"/>
      <c r="S156" s="465"/>
      <c r="T156" s="465"/>
    </row>
    <row r="157" spans="2:20">
      <c r="B157" s="289"/>
      <c r="C157" s="289"/>
      <c r="D157" s="289"/>
      <c r="F157" s="8"/>
      <c r="G157" s="464"/>
      <c r="H157" s="464"/>
      <c r="I157" s="464"/>
      <c r="J157" s="464"/>
      <c r="K157" s="464"/>
      <c r="L157" s="464"/>
      <c r="M157" s="464"/>
      <c r="N157" s="464"/>
      <c r="O157" s="464"/>
      <c r="P157" s="464"/>
      <c r="Q157" s="465"/>
      <c r="R157" s="465"/>
      <c r="S157" s="465"/>
      <c r="T157" s="465"/>
    </row>
    <row r="158" spans="2:20">
      <c r="B158" s="289"/>
      <c r="C158" s="289"/>
      <c r="D158" s="289"/>
      <c r="F158" s="8"/>
      <c r="G158" s="464"/>
      <c r="H158" s="464"/>
      <c r="I158" s="464"/>
      <c r="J158" s="464"/>
      <c r="K158" s="464"/>
      <c r="L158" s="464"/>
      <c r="M158" s="464"/>
      <c r="N158" s="464"/>
      <c r="O158" s="464"/>
      <c r="P158" s="464"/>
      <c r="Q158" s="465"/>
      <c r="R158" s="465"/>
      <c r="S158" s="465"/>
      <c r="T158" s="465"/>
    </row>
    <row r="159" spans="2:20">
      <c r="B159" s="289"/>
      <c r="C159" s="289"/>
      <c r="D159" s="289"/>
      <c r="F159" s="8"/>
      <c r="G159" s="464"/>
      <c r="H159" s="464"/>
      <c r="I159" s="464"/>
      <c r="J159" s="464"/>
      <c r="K159" s="464"/>
      <c r="L159" s="464"/>
      <c r="M159" s="464"/>
      <c r="N159" s="464"/>
      <c r="O159" s="464"/>
      <c r="P159" s="464"/>
      <c r="Q159" s="465"/>
      <c r="R159" s="465"/>
      <c r="S159" s="465"/>
      <c r="T159" s="465"/>
    </row>
    <row r="160" spans="2:20">
      <c r="B160" s="289"/>
      <c r="C160" s="289"/>
      <c r="D160" s="289"/>
      <c r="F160" s="8"/>
      <c r="G160" s="464"/>
      <c r="H160" s="464"/>
      <c r="I160" s="464"/>
      <c r="J160" s="464"/>
      <c r="K160" s="464"/>
      <c r="L160" s="464"/>
      <c r="M160" s="464"/>
      <c r="N160" s="464"/>
      <c r="O160" s="464"/>
      <c r="P160" s="464"/>
      <c r="Q160" s="465"/>
      <c r="R160" s="465"/>
      <c r="S160" s="465"/>
      <c r="T160" s="465"/>
    </row>
    <row r="161" spans="2:20">
      <c r="B161" s="289"/>
      <c r="C161" s="289"/>
      <c r="D161" s="289"/>
      <c r="F161" s="8"/>
      <c r="G161" s="464"/>
      <c r="H161" s="464"/>
      <c r="I161" s="464"/>
      <c r="J161" s="464"/>
      <c r="K161" s="464"/>
      <c r="L161" s="464"/>
      <c r="M161" s="464"/>
      <c r="N161" s="464"/>
      <c r="O161" s="464"/>
      <c r="P161" s="464"/>
      <c r="Q161" s="465"/>
      <c r="R161" s="465"/>
      <c r="S161" s="465"/>
      <c r="T161" s="465"/>
    </row>
    <row r="162" spans="2:20">
      <c r="B162" s="289"/>
      <c r="C162" s="289"/>
      <c r="D162" s="289"/>
      <c r="F162" s="8"/>
      <c r="G162" s="464"/>
      <c r="H162" s="464"/>
      <c r="I162" s="464"/>
      <c r="J162" s="464"/>
      <c r="K162" s="464"/>
      <c r="L162" s="464"/>
      <c r="M162" s="464"/>
      <c r="N162" s="464"/>
      <c r="O162" s="464"/>
      <c r="P162" s="464"/>
      <c r="Q162" s="465"/>
      <c r="R162" s="465"/>
      <c r="S162" s="465"/>
      <c r="T162" s="465"/>
    </row>
    <row r="163" spans="2:20">
      <c r="B163" s="289"/>
      <c r="C163" s="289"/>
      <c r="D163" s="289"/>
      <c r="F163" s="8"/>
      <c r="G163" s="464"/>
      <c r="H163" s="464"/>
      <c r="I163" s="464"/>
      <c r="J163" s="464"/>
      <c r="K163" s="464"/>
      <c r="L163" s="464"/>
      <c r="M163" s="464"/>
      <c r="N163" s="464"/>
      <c r="O163" s="464"/>
      <c r="P163" s="464"/>
      <c r="Q163" s="465"/>
      <c r="R163" s="465"/>
      <c r="S163" s="465"/>
      <c r="T163" s="465"/>
    </row>
    <row r="164" spans="2:20">
      <c r="B164" s="289"/>
      <c r="C164" s="289"/>
      <c r="D164" s="289"/>
      <c r="F164" s="8"/>
      <c r="G164" s="464"/>
      <c r="H164" s="464"/>
      <c r="I164" s="464"/>
      <c r="J164" s="464"/>
      <c r="K164" s="464"/>
      <c r="L164" s="464"/>
      <c r="M164" s="464"/>
      <c r="N164" s="464"/>
      <c r="O164" s="464"/>
      <c r="P164" s="464"/>
      <c r="Q164" s="465"/>
      <c r="R164" s="465"/>
      <c r="S164" s="465"/>
      <c r="T164" s="465"/>
    </row>
    <row r="165" spans="2:20">
      <c r="B165" s="289"/>
      <c r="C165" s="289"/>
      <c r="D165" s="289"/>
      <c r="F165" s="8"/>
      <c r="G165" s="464"/>
      <c r="H165" s="464"/>
      <c r="I165" s="464"/>
      <c r="J165" s="464"/>
      <c r="K165" s="464"/>
      <c r="L165" s="464"/>
      <c r="M165" s="464"/>
      <c r="N165" s="464"/>
      <c r="O165" s="464"/>
      <c r="P165" s="464"/>
      <c r="Q165" s="465"/>
      <c r="R165" s="465"/>
      <c r="S165" s="465"/>
      <c r="T165" s="465"/>
    </row>
    <row r="166" spans="2:20">
      <c r="B166" s="289"/>
      <c r="C166" s="289"/>
      <c r="D166" s="289"/>
      <c r="F166" s="8"/>
      <c r="G166" s="464"/>
      <c r="H166" s="464"/>
      <c r="I166" s="464"/>
      <c r="J166" s="464"/>
      <c r="K166" s="464"/>
      <c r="L166" s="464"/>
      <c r="M166" s="464"/>
      <c r="N166" s="464"/>
      <c r="O166" s="464"/>
      <c r="P166" s="464"/>
      <c r="Q166" s="465"/>
      <c r="R166" s="465"/>
      <c r="S166" s="465"/>
      <c r="T166" s="465"/>
    </row>
    <row r="167" spans="2:20">
      <c r="B167" s="289"/>
      <c r="C167" s="289"/>
      <c r="D167" s="289"/>
      <c r="F167" s="8"/>
      <c r="G167" s="464"/>
      <c r="H167" s="464"/>
      <c r="I167" s="464"/>
      <c r="J167" s="464"/>
      <c r="K167" s="464"/>
      <c r="L167" s="464"/>
      <c r="M167" s="464"/>
      <c r="N167" s="464"/>
      <c r="O167" s="464"/>
      <c r="P167" s="464"/>
      <c r="Q167" s="465"/>
      <c r="R167" s="465"/>
      <c r="S167" s="465"/>
      <c r="T167" s="465"/>
    </row>
    <row r="168" spans="2:20">
      <c r="B168" s="289"/>
      <c r="C168" s="289"/>
      <c r="D168" s="289"/>
      <c r="F168" s="8"/>
      <c r="G168" s="464"/>
      <c r="H168" s="464"/>
      <c r="I168" s="464"/>
      <c r="J168" s="464"/>
      <c r="K168" s="464"/>
      <c r="L168" s="464"/>
      <c r="M168" s="464"/>
      <c r="N168" s="464"/>
      <c r="O168" s="464"/>
      <c r="P168" s="464"/>
      <c r="Q168" s="465"/>
      <c r="R168" s="465"/>
      <c r="S168" s="465"/>
      <c r="T168" s="465"/>
    </row>
    <row r="169" spans="2:20">
      <c r="B169" s="289"/>
      <c r="C169" s="289"/>
      <c r="D169" s="289"/>
      <c r="F169" s="8"/>
      <c r="G169" s="464"/>
      <c r="H169" s="464"/>
      <c r="I169" s="464"/>
      <c r="J169" s="464"/>
      <c r="K169" s="464"/>
      <c r="L169" s="464"/>
      <c r="M169" s="464"/>
      <c r="N169" s="464"/>
      <c r="O169" s="464"/>
      <c r="P169" s="464"/>
      <c r="Q169" s="465"/>
      <c r="R169" s="465"/>
      <c r="S169" s="465"/>
      <c r="T169" s="465"/>
    </row>
    <row r="170" spans="2:20">
      <c r="B170" s="289"/>
      <c r="C170" s="289"/>
      <c r="D170" s="289"/>
      <c r="F170" s="8"/>
      <c r="G170" s="464"/>
      <c r="H170" s="464"/>
      <c r="I170" s="464"/>
      <c r="J170" s="464"/>
      <c r="K170" s="464"/>
      <c r="L170" s="464"/>
      <c r="M170" s="464"/>
      <c r="N170" s="464"/>
      <c r="O170" s="464"/>
      <c r="P170" s="464"/>
      <c r="Q170" s="465"/>
      <c r="R170" s="465"/>
      <c r="S170" s="465"/>
      <c r="T170" s="465"/>
    </row>
    <row r="171" spans="2:20">
      <c r="B171" s="289"/>
      <c r="C171" s="289"/>
      <c r="D171" s="289"/>
      <c r="F171" s="8"/>
      <c r="G171" s="464"/>
      <c r="H171" s="464"/>
      <c r="I171" s="464"/>
      <c r="J171" s="464"/>
      <c r="K171" s="464"/>
      <c r="L171" s="464"/>
      <c r="M171" s="464"/>
      <c r="N171" s="464"/>
      <c r="O171" s="464"/>
      <c r="P171" s="464"/>
      <c r="Q171" s="465"/>
      <c r="R171" s="465"/>
      <c r="S171" s="465"/>
      <c r="T171" s="465"/>
    </row>
    <row r="172" spans="2:20">
      <c r="B172" s="289"/>
      <c r="C172" s="289"/>
      <c r="D172" s="289"/>
      <c r="F172" s="8"/>
      <c r="G172" s="464"/>
      <c r="H172" s="464"/>
      <c r="I172" s="464"/>
      <c r="J172" s="464"/>
      <c r="K172" s="464"/>
      <c r="L172" s="464"/>
      <c r="M172" s="464"/>
      <c r="N172" s="464"/>
      <c r="O172" s="464"/>
      <c r="P172" s="464"/>
      <c r="Q172" s="465"/>
      <c r="R172" s="465"/>
      <c r="S172" s="465"/>
      <c r="T172" s="465"/>
    </row>
    <row r="173" spans="2:20">
      <c r="B173" s="289"/>
      <c r="C173" s="289"/>
      <c r="D173" s="289"/>
      <c r="F173" s="8"/>
      <c r="G173" s="464"/>
      <c r="H173" s="464"/>
      <c r="I173" s="464"/>
      <c r="J173" s="464"/>
      <c r="K173" s="464"/>
      <c r="L173" s="464"/>
      <c r="M173" s="464"/>
      <c r="N173" s="464"/>
      <c r="O173" s="464"/>
      <c r="P173" s="464"/>
      <c r="Q173" s="465"/>
      <c r="R173" s="465"/>
      <c r="S173" s="465"/>
      <c r="T173" s="465"/>
    </row>
    <row r="174" spans="2:20">
      <c r="B174" s="289"/>
      <c r="C174" s="289"/>
      <c r="D174" s="289"/>
      <c r="F174" s="8"/>
      <c r="G174" s="464"/>
      <c r="H174" s="464"/>
      <c r="I174" s="464"/>
      <c r="J174" s="464"/>
      <c r="K174" s="464"/>
      <c r="L174" s="464"/>
      <c r="M174" s="464"/>
      <c r="N174" s="464"/>
      <c r="O174" s="464"/>
      <c r="P174" s="464"/>
      <c r="Q174" s="465"/>
      <c r="R174" s="465"/>
      <c r="S174" s="465"/>
      <c r="T174" s="465"/>
    </row>
    <row r="175" spans="2:20">
      <c r="B175" s="289"/>
      <c r="C175" s="289"/>
      <c r="D175" s="289"/>
      <c r="F175" s="8"/>
      <c r="G175" s="464"/>
      <c r="H175" s="464"/>
      <c r="I175" s="464"/>
      <c r="J175" s="464"/>
      <c r="K175" s="464"/>
      <c r="L175" s="464"/>
      <c r="M175" s="464"/>
      <c r="N175" s="464"/>
      <c r="O175" s="464"/>
      <c r="P175" s="464"/>
      <c r="Q175" s="465"/>
      <c r="R175" s="465"/>
      <c r="S175" s="465"/>
      <c r="T175" s="465"/>
    </row>
    <row r="176" spans="2:20">
      <c r="B176" s="289"/>
      <c r="C176" s="289"/>
      <c r="D176" s="289"/>
      <c r="F176" s="8"/>
      <c r="G176" s="464"/>
      <c r="H176" s="464"/>
      <c r="I176" s="464"/>
      <c r="J176" s="464"/>
      <c r="K176" s="464"/>
      <c r="L176" s="464"/>
      <c r="M176" s="464"/>
      <c r="N176" s="464"/>
      <c r="O176" s="464"/>
      <c r="P176" s="464"/>
      <c r="Q176" s="465"/>
      <c r="R176" s="465"/>
      <c r="S176" s="465"/>
      <c r="T176" s="465"/>
    </row>
    <row r="177" spans="2:20">
      <c r="B177" s="289"/>
      <c r="C177" s="289"/>
      <c r="D177" s="289"/>
      <c r="F177" s="8"/>
      <c r="G177" s="464"/>
      <c r="H177" s="464"/>
      <c r="I177" s="464"/>
      <c r="J177" s="464"/>
      <c r="K177" s="464"/>
      <c r="L177" s="464"/>
      <c r="M177" s="464"/>
      <c r="N177" s="464"/>
      <c r="O177" s="464"/>
      <c r="P177" s="464"/>
      <c r="Q177" s="465"/>
      <c r="R177" s="465"/>
      <c r="S177" s="465"/>
      <c r="T177" s="465"/>
    </row>
    <row r="178" spans="2:20">
      <c r="B178" s="289"/>
      <c r="C178" s="289"/>
      <c r="D178" s="289"/>
      <c r="F178" s="8"/>
      <c r="G178" s="464"/>
      <c r="H178" s="464"/>
      <c r="I178" s="464"/>
      <c r="J178" s="464"/>
      <c r="K178" s="464"/>
      <c r="L178" s="464"/>
      <c r="M178" s="464"/>
      <c r="N178" s="464"/>
      <c r="O178" s="464"/>
      <c r="P178" s="464"/>
      <c r="Q178" s="465"/>
      <c r="R178" s="465"/>
      <c r="S178" s="465"/>
      <c r="T178" s="465"/>
    </row>
    <row r="179" spans="2:20">
      <c r="B179" s="289"/>
      <c r="C179" s="289"/>
      <c r="D179" s="289"/>
      <c r="F179" s="8"/>
      <c r="G179" s="464"/>
      <c r="H179" s="464"/>
      <c r="I179" s="464"/>
      <c r="J179" s="464"/>
      <c r="K179" s="464"/>
      <c r="L179" s="464"/>
      <c r="M179" s="464"/>
      <c r="N179" s="464"/>
      <c r="O179" s="464"/>
      <c r="P179" s="464"/>
      <c r="Q179" s="465"/>
      <c r="R179" s="465"/>
      <c r="S179" s="465"/>
      <c r="T179" s="465"/>
    </row>
    <row r="180" spans="2:20">
      <c r="B180" s="289"/>
      <c r="C180" s="289"/>
      <c r="D180" s="289"/>
      <c r="F180" s="8"/>
      <c r="G180" s="464"/>
      <c r="H180" s="464"/>
      <c r="I180" s="464"/>
      <c r="J180" s="464"/>
      <c r="K180" s="464"/>
      <c r="L180" s="464"/>
      <c r="M180" s="464"/>
      <c r="N180" s="464"/>
      <c r="O180" s="464"/>
      <c r="P180" s="464"/>
      <c r="Q180" s="465"/>
      <c r="R180" s="465"/>
      <c r="S180" s="465"/>
      <c r="T180" s="465"/>
    </row>
    <row r="181" spans="2:20">
      <c r="B181" s="289"/>
      <c r="C181" s="289"/>
      <c r="D181" s="289"/>
      <c r="F181" s="8"/>
      <c r="G181" s="464"/>
      <c r="H181" s="464"/>
      <c r="I181" s="464"/>
      <c r="J181" s="464"/>
      <c r="K181" s="464"/>
      <c r="L181" s="464"/>
      <c r="M181" s="464"/>
      <c r="N181" s="464"/>
      <c r="O181" s="464"/>
      <c r="P181" s="464"/>
      <c r="Q181" s="465"/>
      <c r="R181" s="465"/>
      <c r="S181" s="465"/>
      <c r="T181" s="465"/>
    </row>
    <row r="182" spans="2:20">
      <c r="B182" s="289"/>
      <c r="C182" s="289"/>
      <c r="D182" s="289"/>
      <c r="F182" s="8"/>
      <c r="G182" s="464"/>
      <c r="H182" s="464"/>
      <c r="I182" s="464"/>
      <c r="J182" s="464"/>
      <c r="K182" s="464"/>
      <c r="L182" s="464"/>
      <c r="M182" s="464"/>
      <c r="N182" s="464"/>
      <c r="O182" s="464"/>
      <c r="P182" s="464"/>
      <c r="Q182" s="465"/>
      <c r="R182" s="465"/>
      <c r="S182" s="465"/>
      <c r="T182" s="465"/>
    </row>
    <row r="183" spans="2:20">
      <c r="B183" s="289"/>
      <c r="C183" s="289"/>
      <c r="D183" s="289"/>
      <c r="F183" s="8"/>
      <c r="G183" s="464"/>
      <c r="H183" s="464"/>
      <c r="I183" s="464"/>
      <c r="J183" s="464"/>
      <c r="K183" s="464"/>
      <c r="L183" s="464"/>
      <c r="M183" s="464"/>
      <c r="N183" s="464"/>
      <c r="O183" s="464"/>
      <c r="P183" s="464"/>
      <c r="Q183" s="465"/>
      <c r="R183" s="465"/>
      <c r="S183" s="465"/>
      <c r="T183" s="465"/>
    </row>
    <row r="184" spans="2:20">
      <c r="B184" s="289"/>
      <c r="C184" s="289"/>
      <c r="D184" s="289"/>
      <c r="F184" s="8"/>
      <c r="G184" s="464"/>
      <c r="H184" s="464"/>
      <c r="I184" s="464"/>
      <c r="J184" s="464"/>
      <c r="K184" s="464"/>
      <c r="L184" s="464"/>
      <c r="M184" s="464"/>
      <c r="N184" s="464"/>
      <c r="O184" s="464"/>
      <c r="P184" s="464"/>
      <c r="Q184" s="465"/>
      <c r="R184" s="465"/>
      <c r="S184" s="465"/>
      <c r="T184" s="465"/>
    </row>
    <row r="185" spans="2:20">
      <c r="B185" s="289"/>
      <c r="C185" s="289"/>
      <c r="D185" s="289"/>
      <c r="F185" s="8"/>
      <c r="G185" s="464"/>
      <c r="H185" s="464"/>
      <c r="I185" s="464"/>
      <c r="J185" s="464"/>
      <c r="K185" s="464"/>
      <c r="L185" s="464"/>
      <c r="M185" s="464"/>
      <c r="N185" s="464"/>
      <c r="O185" s="464"/>
      <c r="P185" s="464"/>
      <c r="Q185" s="465"/>
      <c r="R185" s="465"/>
      <c r="S185" s="465"/>
      <c r="T185" s="465"/>
    </row>
    <row r="186" spans="2:20">
      <c r="B186" s="289"/>
      <c r="C186" s="289"/>
      <c r="D186" s="289"/>
      <c r="F186" s="8"/>
      <c r="G186" s="464"/>
      <c r="H186" s="464"/>
      <c r="I186" s="464"/>
      <c r="J186" s="464"/>
      <c r="K186" s="464"/>
      <c r="L186" s="464"/>
      <c r="M186" s="464"/>
      <c r="N186" s="464"/>
      <c r="O186" s="464"/>
      <c r="P186" s="464"/>
      <c r="Q186" s="465"/>
      <c r="R186" s="465"/>
      <c r="S186" s="465"/>
      <c r="T186" s="465"/>
    </row>
    <row r="187" spans="2:20">
      <c r="B187" s="289"/>
      <c r="C187" s="289"/>
      <c r="D187" s="289"/>
      <c r="F187" s="8"/>
      <c r="G187" s="464"/>
      <c r="H187" s="464"/>
      <c r="I187" s="464"/>
      <c r="J187" s="464"/>
      <c r="K187" s="464"/>
      <c r="L187" s="464"/>
      <c r="M187" s="464"/>
      <c r="N187" s="464"/>
      <c r="O187" s="464"/>
      <c r="P187" s="464"/>
      <c r="Q187" s="465"/>
      <c r="R187" s="465"/>
      <c r="S187" s="465"/>
      <c r="T187" s="465"/>
    </row>
    <row r="188" spans="2:20">
      <c r="B188" s="289"/>
      <c r="C188" s="289"/>
      <c r="D188" s="289"/>
      <c r="F188" s="8"/>
      <c r="G188" s="464"/>
      <c r="H188" s="464"/>
      <c r="I188" s="464"/>
      <c r="J188" s="464"/>
      <c r="K188" s="464"/>
      <c r="L188" s="464"/>
      <c r="M188" s="464"/>
      <c r="N188" s="464"/>
      <c r="O188" s="464"/>
      <c r="P188" s="464"/>
      <c r="Q188" s="465"/>
      <c r="R188" s="465"/>
      <c r="S188" s="465"/>
      <c r="T188" s="465"/>
    </row>
    <row r="189" spans="2:20">
      <c r="B189" s="289"/>
      <c r="C189" s="289"/>
      <c r="D189" s="289"/>
      <c r="F189" s="8"/>
      <c r="G189" s="464"/>
      <c r="H189" s="464"/>
      <c r="I189" s="464"/>
      <c r="J189" s="464"/>
      <c r="K189" s="464"/>
      <c r="L189" s="464"/>
      <c r="M189" s="464"/>
      <c r="N189" s="464"/>
      <c r="O189" s="464"/>
      <c r="P189" s="464"/>
      <c r="Q189" s="465"/>
      <c r="R189" s="465"/>
      <c r="S189" s="465"/>
      <c r="T189" s="465"/>
    </row>
    <row r="190" spans="2:20">
      <c r="B190" s="289"/>
      <c r="C190" s="289"/>
      <c r="D190" s="289"/>
      <c r="F190" s="8"/>
      <c r="G190" s="464"/>
      <c r="H190" s="464"/>
      <c r="I190" s="464"/>
      <c r="J190" s="464"/>
      <c r="K190" s="464"/>
      <c r="L190" s="464"/>
      <c r="M190" s="464"/>
      <c r="N190" s="464"/>
      <c r="O190" s="464"/>
      <c r="P190" s="464"/>
      <c r="Q190" s="465"/>
      <c r="R190" s="465"/>
      <c r="S190" s="465"/>
      <c r="T190" s="465"/>
    </row>
    <row r="191" spans="2:20">
      <c r="B191" s="289"/>
      <c r="C191" s="289"/>
      <c r="D191" s="289"/>
      <c r="F191" s="8"/>
      <c r="G191" s="464"/>
      <c r="H191" s="464"/>
      <c r="I191" s="464"/>
      <c r="J191" s="464"/>
      <c r="K191" s="464"/>
      <c r="L191" s="464"/>
      <c r="M191" s="464"/>
      <c r="N191" s="464"/>
      <c r="O191" s="464"/>
      <c r="P191" s="464"/>
      <c r="Q191" s="465"/>
      <c r="R191" s="465"/>
      <c r="S191" s="465"/>
      <c r="T191" s="465"/>
    </row>
    <row r="192" spans="2:20">
      <c r="B192" s="289"/>
      <c r="C192" s="289"/>
      <c r="D192" s="289"/>
      <c r="F192" s="8"/>
      <c r="G192" s="464"/>
      <c r="H192" s="464"/>
      <c r="I192" s="464"/>
      <c r="J192" s="464"/>
      <c r="K192" s="464"/>
      <c r="L192" s="464"/>
      <c r="M192" s="464"/>
      <c r="N192" s="464"/>
      <c r="O192" s="464"/>
      <c r="P192" s="464"/>
      <c r="Q192" s="465"/>
      <c r="R192" s="465"/>
      <c r="S192" s="465"/>
      <c r="T192" s="465"/>
    </row>
    <row r="193" spans="2:20">
      <c r="B193" s="289"/>
      <c r="C193" s="289"/>
      <c r="D193" s="289"/>
      <c r="F193" s="8"/>
      <c r="G193" s="464"/>
      <c r="H193" s="464"/>
      <c r="I193" s="464"/>
      <c r="J193" s="464"/>
      <c r="K193" s="464"/>
      <c r="L193" s="464"/>
      <c r="M193" s="464"/>
      <c r="N193" s="464"/>
      <c r="O193" s="464"/>
      <c r="P193" s="464"/>
      <c r="Q193" s="465"/>
      <c r="R193" s="465"/>
      <c r="S193" s="465"/>
      <c r="T193" s="465"/>
    </row>
    <row r="194" spans="2:20">
      <c r="B194" s="289"/>
      <c r="C194" s="289"/>
      <c r="D194" s="289"/>
      <c r="F194" s="8"/>
      <c r="G194" s="464"/>
      <c r="H194" s="464"/>
      <c r="I194" s="464"/>
      <c r="J194" s="464"/>
      <c r="K194" s="464"/>
      <c r="L194" s="464"/>
      <c r="M194" s="464"/>
      <c r="N194" s="464"/>
      <c r="O194" s="464"/>
      <c r="P194" s="464"/>
      <c r="Q194" s="465"/>
      <c r="R194" s="465"/>
      <c r="S194" s="465"/>
      <c r="T194" s="465"/>
    </row>
    <row r="195" spans="2:20">
      <c r="B195" s="289"/>
      <c r="C195" s="289"/>
      <c r="D195" s="289"/>
      <c r="F195" s="8"/>
      <c r="G195" s="464"/>
      <c r="H195" s="464"/>
      <c r="I195" s="464"/>
      <c r="J195" s="464"/>
      <c r="K195" s="464"/>
      <c r="L195" s="464"/>
      <c r="M195" s="464"/>
      <c r="N195" s="464"/>
      <c r="O195" s="464"/>
      <c r="P195" s="464"/>
      <c r="Q195" s="465"/>
      <c r="R195" s="465"/>
      <c r="S195" s="465"/>
      <c r="T195" s="465"/>
    </row>
    <row r="196" spans="2:20">
      <c r="B196" s="289"/>
      <c r="C196" s="289"/>
      <c r="D196" s="289"/>
      <c r="F196" s="8"/>
      <c r="G196" s="464"/>
      <c r="H196" s="464"/>
      <c r="I196" s="464"/>
      <c r="J196" s="464"/>
      <c r="K196" s="464"/>
      <c r="L196" s="464"/>
      <c r="M196" s="464"/>
      <c r="N196" s="464"/>
      <c r="O196" s="464"/>
      <c r="P196" s="464"/>
      <c r="Q196" s="465"/>
      <c r="R196" s="465"/>
      <c r="S196" s="465"/>
      <c r="T196" s="465"/>
    </row>
    <row r="197" spans="2:20">
      <c r="B197" s="289"/>
      <c r="C197" s="289"/>
      <c r="D197" s="289"/>
      <c r="F197" s="8"/>
      <c r="G197" s="464"/>
      <c r="H197" s="464"/>
      <c r="I197" s="464"/>
      <c r="J197" s="464"/>
      <c r="K197" s="464"/>
      <c r="L197" s="464"/>
      <c r="M197" s="464"/>
      <c r="N197" s="464"/>
      <c r="O197" s="464"/>
      <c r="P197" s="464"/>
      <c r="Q197" s="465"/>
      <c r="R197" s="465"/>
      <c r="S197" s="465"/>
      <c r="T197" s="465"/>
    </row>
    <row r="198" spans="2:20">
      <c r="B198" s="289"/>
      <c r="C198" s="289"/>
      <c r="D198" s="289"/>
      <c r="F198" s="8"/>
      <c r="G198" s="464"/>
      <c r="H198" s="464"/>
      <c r="I198" s="464"/>
      <c r="J198" s="464"/>
      <c r="K198" s="464"/>
      <c r="L198" s="464"/>
      <c r="M198" s="464"/>
      <c r="N198" s="464"/>
      <c r="O198" s="464"/>
      <c r="P198" s="464"/>
      <c r="Q198" s="465"/>
      <c r="R198" s="465"/>
      <c r="S198" s="465"/>
      <c r="T198" s="465"/>
    </row>
    <row r="199" spans="2:20">
      <c r="B199" s="289"/>
      <c r="C199" s="289"/>
      <c r="D199" s="289"/>
      <c r="F199" s="8"/>
      <c r="G199" s="464"/>
      <c r="H199" s="464"/>
      <c r="I199" s="464"/>
      <c r="J199" s="464"/>
      <c r="K199" s="464"/>
      <c r="L199" s="464"/>
      <c r="M199" s="464"/>
      <c r="N199" s="464"/>
      <c r="O199" s="464"/>
      <c r="P199" s="464"/>
      <c r="Q199" s="465"/>
      <c r="R199" s="465"/>
      <c r="S199" s="465"/>
      <c r="T199" s="465"/>
    </row>
    <row r="200" spans="2:20">
      <c r="B200" s="289"/>
      <c r="C200" s="289"/>
      <c r="D200" s="289"/>
      <c r="F200" s="8"/>
      <c r="G200" s="464"/>
      <c r="H200" s="464"/>
      <c r="I200" s="464"/>
      <c r="J200" s="464"/>
      <c r="K200" s="464"/>
      <c r="L200" s="464"/>
      <c r="M200" s="464"/>
      <c r="N200" s="464"/>
      <c r="O200" s="464"/>
      <c r="P200" s="464"/>
      <c r="Q200" s="465"/>
      <c r="R200" s="465"/>
      <c r="S200" s="465"/>
      <c r="T200" s="465"/>
    </row>
    <row r="201" spans="2:20">
      <c r="F201" s="9"/>
      <c r="G201" s="10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</row>
  </sheetData>
  <mergeCells count="756">
    <mergeCell ref="B197:D197"/>
    <mergeCell ref="B198:D198"/>
    <mergeCell ref="B199:D199"/>
    <mergeCell ref="B200:D200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188:D188"/>
    <mergeCell ref="B189:D189"/>
    <mergeCell ref="B190:D190"/>
    <mergeCell ref="B191:D191"/>
    <mergeCell ref="B192:D192"/>
    <mergeCell ref="B193:D193"/>
    <mergeCell ref="B194:D194"/>
    <mergeCell ref="B195:D195"/>
    <mergeCell ref="B196:D196"/>
    <mergeCell ref="B179:D179"/>
    <mergeCell ref="B180:D180"/>
    <mergeCell ref="B181:D181"/>
    <mergeCell ref="B182:D182"/>
    <mergeCell ref="B183:D183"/>
    <mergeCell ref="B184:D184"/>
    <mergeCell ref="B185:D185"/>
    <mergeCell ref="B186:D186"/>
    <mergeCell ref="B187:D187"/>
    <mergeCell ref="B170:D170"/>
    <mergeCell ref="B171:D171"/>
    <mergeCell ref="B172:D172"/>
    <mergeCell ref="B173:D173"/>
    <mergeCell ref="B174:D174"/>
    <mergeCell ref="B175:D175"/>
    <mergeCell ref="B176:D176"/>
    <mergeCell ref="B177:D177"/>
    <mergeCell ref="B178:D178"/>
    <mergeCell ref="B161:D161"/>
    <mergeCell ref="B162:D162"/>
    <mergeCell ref="B163:D163"/>
    <mergeCell ref="B164:D164"/>
    <mergeCell ref="B165:D165"/>
    <mergeCell ref="B166:D166"/>
    <mergeCell ref="B167:D167"/>
    <mergeCell ref="B168:D168"/>
    <mergeCell ref="B169:D169"/>
    <mergeCell ref="B152:D152"/>
    <mergeCell ref="B153:D153"/>
    <mergeCell ref="B154:D154"/>
    <mergeCell ref="B155:D155"/>
    <mergeCell ref="B156:D156"/>
    <mergeCell ref="B157:D157"/>
    <mergeCell ref="B158:D158"/>
    <mergeCell ref="B159:D159"/>
    <mergeCell ref="B160:D160"/>
    <mergeCell ref="B143:D143"/>
    <mergeCell ref="B144:D144"/>
    <mergeCell ref="B145:D145"/>
    <mergeCell ref="B146:D146"/>
    <mergeCell ref="B147:D147"/>
    <mergeCell ref="B148:D148"/>
    <mergeCell ref="B149:D149"/>
    <mergeCell ref="B150:D150"/>
    <mergeCell ref="B151:D151"/>
    <mergeCell ref="B134:D134"/>
    <mergeCell ref="B135:D135"/>
    <mergeCell ref="B136:D136"/>
    <mergeCell ref="B137:D137"/>
    <mergeCell ref="B138:D138"/>
    <mergeCell ref="B139:D139"/>
    <mergeCell ref="B140:D140"/>
    <mergeCell ref="B141:D141"/>
    <mergeCell ref="B142:D142"/>
    <mergeCell ref="B125:D125"/>
    <mergeCell ref="B126:D126"/>
    <mergeCell ref="B127:D127"/>
    <mergeCell ref="B128:D128"/>
    <mergeCell ref="B129:D129"/>
    <mergeCell ref="B130:D130"/>
    <mergeCell ref="B131:D131"/>
    <mergeCell ref="B132:D132"/>
    <mergeCell ref="B133:D133"/>
    <mergeCell ref="B116:D116"/>
    <mergeCell ref="B117:D117"/>
    <mergeCell ref="B118:D118"/>
    <mergeCell ref="B119:D119"/>
    <mergeCell ref="B120:D120"/>
    <mergeCell ref="B121:D121"/>
    <mergeCell ref="B122:D122"/>
    <mergeCell ref="B123:D123"/>
    <mergeCell ref="B124:D124"/>
    <mergeCell ref="B107:D107"/>
    <mergeCell ref="B108:D108"/>
    <mergeCell ref="B109:D109"/>
    <mergeCell ref="B110:D110"/>
    <mergeCell ref="B111:D111"/>
    <mergeCell ref="B112:D112"/>
    <mergeCell ref="B113:D113"/>
    <mergeCell ref="B114:D114"/>
    <mergeCell ref="B115:D115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62:D62"/>
    <mergeCell ref="B63:D63"/>
    <mergeCell ref="B64:D64"/>
    <mergeCell ref="B65:D65"/>
    <mergeCell ref="B66:D66"/>
    <mergeCell ref="B67:D67"/>
    <mergeCell ref="B68:D68"/>
    <mergeCell ref="B69:D69"/>
    <mergeCell ref="B70:D70"/>
    <mergeCell ref="B58:D58"/>
    <mergeCell ref="B59:D59"/>
    <mergeCell ref="B60:D60"/>
    <mergeCell ref="B61:D61"/>
    <mergeCell ref="B35:D35"/>
    <mergeCell ref="B36:D36"/>
    <mergeCell ref="B37:D37"/>
    <mergeCell ref="B38:D38"/>
    <mergeCell ref="B39:D39"/>
    <mergeCell ref="B40:D40"/>
    <mergeCell ref="B41:D41"/>
    <mergeCell ref="B42:D42"/>
    <mergeCell ref="B43:D43"/>
    <mergeCell ref="B56:D56"/>
    <mergeCell ref="B57:D57"/>
    <mergeCell ref="B30:D30"/>
    <mergeCell ref="B31:D31"/>
    <mergeCell ref="B32:D32"/>
    <mergeCell ref="B33:D33"/>
    <mergeCell ref="B34:D34"/>
    <mergeCell ref="B27:D27"/>
    <mergeCell ref="B28:D28"/>
    <mergeCell ref="B29:D29"/>
    <mergeCell ref="B8:D8"/>
    <mergeCell ref="B9:D9"/>
    <mergeCell ref="B26:D26"/>
    <mergeCell ref="F2:N4"/>
    <mergeCell ref="F5:G6"/>
    <mergeCell ref="F7:I8"/>
    <mergeCell ref="G10:P10"/>
    <mergeCell ref="G13:P13"/>
    <mergeCell ref="G16:P16"/>
    <mergeCell ref="G19:P19"/>
    <mergeCell ref="G23:P23"/>
    <mergeCell ref="G34:P34"/>
    <mergeCell ref="G22:P22"/>
    <mergeCell ref="G17:P17"/>
    <mergeCell ref="Q10:R10"/>
    <mergeCell ref="S10:T10"/>
    <mergeCell ref="G11:P11"/>
    <mergeCell ref="Q11:R11"/>
    <mergeCell ref="S11:T11"/>
    <mergeCell ref="G12:P12"/>
    <mergeCell ref="Q12:R12"/>
    <mergeCell ref="S12:T12"/>
    <mergeCell ref="Q16:R16"/>
    <mergeCell ref="S16:T16"/>
    <mergeCell ref="Q13:R13"/>
    <mergeCell ref="S13:T13"/>
    <mergeCell ref="G14:P14"/>
    <mergeCell ref="Q14:R14"/>
    <mergeCell ref="S14:T14"/>
    <mergeCell ref="G15:P15"/>
    <mergeCell ref="Q15:R15"/>
    <mergeCell ref="S15:T15"/>
    <mergeCell ref="S21:T21"/>
    <mergeCell ref="G28:P28"/>
    <mergeCell ref="G31:P31"/>
    <mergeCell ref="G25:P25"/>
    <mergeCell ref="G40:P40"/>
    <mergeCell ref="G44:P44"/>
    <mergeCell ref="G30:P30"/>
    <mergeCell ref="Q30:R30"/>
    <mergeCell ref="S30:T30"/>
    <mergeCell ref="Q25:R25"/>
    <mergeCell ref="S25:T25"/>
    <mergeCell ref="G26:P26"/>
    <mergeCell ref="Q26:R26"/>
    <mergeCell ref="S26:T26"/>
    <mergeCell ref="G37:P37"/>
    <mergeCell ref="G27:P27"/>
    <mergeCell ref="Q27:R27"/>
    <mergeCell ref="S27:T27"/>
    <mergeCell ref="Q34:R34"/>
    <mergeCell ref="S34:T34"/>
    <mergeCell ref="G35:P35"/>
    <mergeCell ref="Q35:R35"/>
    <mergeCell ref="S35:T35"/>
    <mergeCell ref="G36:P36"/>
    <mergeCell ref="Q17:R17"/>
    <mergeCell ref="S17:T17"/>
    <mergeCell ref="G18:P18"/>
    <mergeCell ref="Q18:R18"/>
    <mergeCell ref="S18:T18"/>
    <mergeCell ref="Q28:R28"/>
    <mergeCell ref="S28:T28"/>
    <mergeCell ref="G29:P29"/>
    <mergeCell ref="Q29:R29"/>
    <mergeCell ref="S29:T29"/>
    <mergeCell ref="Q22:R22"/>
    <mergeCell ref="S22:T22"/>
    <mergeCell ref="G24:P24"/>
    <mergeCell ref="Q23:R23"/>
    <mergeCell ref="S23:T23"/>
    <mergeCell ref="Q24:R24"/>
    <mergeCell ref="S24:T24"/>
    <mergeCell ref="Q19:R19"/>
    <mergeCell ref="S19:T19"/>
    <mergeCell ref="G20:P20"/>
    <mergeCell ref="Q20:R20"/>
    <mergeCell ref="S20:T20"/>
    <mergeCell ref="G21:P21"/>
    <mergeCell ref="Q21:R21"/>
    <mergeCell ref="Q36:R36"/>
    <mergeCell ref="S36:T36"/>
    <mergeCell ref="Q31:R31"/>
    <mergeCell ref="S31:T31"/>
    <mergeCell ref="G32:P32"/>
    <mergeCell ref="Q32:R32"/>
    <mergeCell ref="S32:T32"/>
    <mergeCell ref="G33:P33"/>
    <mergeCell ref="Q33:R33"/>
    <mergeCell ref="S33:T33"/>
    <mergeCell ref="Q40:R40"/>
    <mergeCell ref="S40:T40"/>
    <mergeCell ref="G41:P41"/>
    <mergeCell ref="Q41:R41"/>
    <mergeCell ref="S41:T41"/>
    <mergeCell ref="Q37:R37"/>
    <mergeCell ref="S37:T37"/>
    <mergeCell ref="G39:P39"/>
    <mergeCell ref="Q38:R38"/>
    <mergeCell ref="S38:T38"/>
    <mergeCell ref="Q39:R39"/>
    <mergeCell ref="S39:T39"/>
    <mergeCell ref="Q44:R44"/>
    <mergeCell ref="S44:T44"/>
    <mergeCell ref="G45:P45"/>
    <mergeCell ref="Q45:R45"/>
    <mergeCell ref="S45:T45"/>
    <mergeCell ref="G42:P42"/>
    <mergeCell ref="Q42:R42"/>
    <mergeCell ref="S42:T42"/>
    <mergeCell ref="G43:P43"/>
    <mergeCell ref="Q43:R43"/>
    <mergeCell ref="S43:T43"/>
    <mergeCell ref="G48:P48"/>
    <mergeCell ref="Q48:R48"/>
    <mergeCell ref="S48:T48"/>
    <mergeCell ref="G49:P49"/>
    <mergeCell ref="Q49:R49"/>
    <mergeCell ref="S49:T49"/>
    <mergeCell ref="G46:P46"/>
    <mergeCell ref="Q46:R46"/>
    <mergeCell ref="S46:T46"/>
    <mergeCell ref="G47:P47"/>
    <mergeCell ref="Q47:R47"/>
    <mergeCell ref="S47:T47"/>
    <mergeCell ref="G52:P52"/>
    <mergeCell ref="Q52:R52"/>
    <mergeCell ref="S52:T52"/>
    <mergeCell ref="G53:P53"/>
    <mergeCell ref="Q53:R53"/>
    <mergeCell ref="S53:T53"/>
    <mergeCell ref="G50:P50"/>
    <mergeCell ref="Q50:R50"/>
    <mergeCell ref="S50:T50"/>
    <mergeCell ref="G51:P51"/>
    <mergeCell ref="Q51:R51"/>
    <mergeCell ref="S51:T51"/>
    <mergeCell ref="G56:P56"/>
    <mergeCell ref="Q56:R56"/>
    <mergeCell ref="S56:T56"/>
    <mergeCell ref="G57:P57"/>
    <mergeCell ref="Q57:R57"/>
    <mergeCell ref="S57:T57"/>
    <mergeCell ref="G54:P54"/>
    <mergeCell ref="Q54:R54"/>
    <mergeCell ref="S54:T54"/>
    <mergeCell ref="G55:P55"/>
    <mergeCell ref="Q55:R55"/>
    <mergeCell ref="S55:T55"/>
    <mergeCell ref="G60:P60"/>
    <mergeCell ref="Q60:R60"/>
    <mergeCell ref="S60:T60"/>
    <mergeCell ref="G61:P61"/>
    <mergeCell ref="Q61:R61"/>
    <mergeCell ref="S61:T61"/>
    <mergeCell ref="G58:P58"/>
    <mergeCell ref="Q58:R58"/>
    <mergeCell ref="S58:T58"/>
    <mergeCell ref="G59:P59"/>
    <mergeCell ref="Q59:R59"/>
    <mergeCell ref="S59:T59"/>
    <mergeCell ref="G64:P64"/>
    <mergeCell ref="Q64:R64"/>
    <mergeCell ref="S64:T64"/>
    <mergeCell ref="G65:P65"/>
    <mergeCell ref="Q65:R65"/>
    <mergeCell ref="S65:T65"/>
    <mergeCell ref="G62:P62"/>
    <mergeCell ref="Q62:R62"/>
    <mergeCell ref="S62:T62"/>
    <mergeCell ref="G63:P63"/>
    <mergeCell ref="Q63:R63"/>
    <mergeCell ref="S63:T63"/>
    <mergeCell ref="G68:P68"/>
    <mergeCell ref="Q68:R68"/>
    <mergeCell ref="S68:T68"/>
    <mergeCell ref="G69:P69"/>
    <mergeCell ref="Q69:R69"/>
    <mergeCell ref="S69:T69"/>
    <mergeCell ref="G66:P66"/>
    <mergeCell ref="Q66:R66"/>
    <mergeCell ref="S66:T66"/>
    <mergeCell ref="G67:P67"/>
    <mergeCell ref="Q67:R67"/>
    <mergeCell ref="S67:T67"/>
    <mergeCell ref="G72:P72"/>
    <mergeCell ref="Q72:R72"/>
    <mergeCell ref="S72:T72"/>
    <mergeCell ref="G73:P73"/>
    <mergeCell ref="Q73:R73"/>
    <mergeCell ref="S73:T73"/>
    <mergeCell ref="G70:P70"/>
    <mergeCell ref="Q70:R70"/>
    <mergeCell ref="S70:T70"/>
    <mergeCell ref="G71:P71"/>
    <mergeCell ref="Q71:R71"/>
    <mergeCell ref="S71:T71"/>
    <mergeCell ref="G76:P76"/>
    <mergeCell ref="Q76:R76"/>
    <mergeCell ref="S76:T76"/>
    <mergeCell ref="G77:P77"/>
    <mergeCell ref="Q77:R77"/>
    <mergeCell ref="S77:T77"/>
    <mergeCell ref="G74:P74"/>
    <mergeCell ref="Q74:R74"/>
    <mergeCell ref="S74:T74"/>
    <mergeCell ref="G75:P75"/>
    <mergeCell ref="Q75:R75"/>
    <mergeCell ref="S75:T75"/>
    <mergeCell ref="G80:P80"/>
    <mergeCell ref="Q80:R80"/>
    <mergeCell ref="S80:T80"/>
    <mergeCell ref="G81:P81"/>
    <mergeCell ref="Q81:R81"/>
    <mergeCell ref="S81:T81"/>
    <mergeCell ref="G78:P78"/>
    <mergeCell ref="Q78:R78"/>
    <mergeCell ref="S78:T78"/>
    <mergeCell ref="G79:P79"/>
    <mergeCell ref="Q79:R79"/>
    <mergeCell ref="S79:T79"/>
    <mergeCell ref="G84:P84"/>
    <mergeCell ref="Q84:R84"/>
    <mergeCell ref="S84:T84"/>
    <mergeCell ref="G85:P85"/>
    <mergeCell ref="Q85:R85"/>
    <mergeCell ref="S85:T85"/>
    <mergeCell ref="G82:P82"/>
    <mergeCell ref="Q82:R82"/>
    <mergeCell ref="S82:T82"/>
    <mergeCell ref="G83:P83"/>
    <mergeCell ref="Q83:R83"/>
    <mergeCell ref="S83:T83"/>
    <mergeCell ref="G88:P88"/>
    <mergeCell ref="Q88:R88"/>
    <mergeCell ref="S88:T88"/>
    <mergeCell ref="G89:P89"/>
    <mergeCell ref="Q89:R89"/>
    <mergeCell ref="S89:T89"/>
    <mergeCell ref="G86:P86"/>
    <mergeCell ref="Q86:R86"/>
    <mergeCell ref="S86:T86"/>
    <mergeCell ref="G87:P87"/>
    <mergeCell ref="Q87:R87"/>
    <mergeCell ref="S87:T87"/>
    <mergeCell ref="G92:P92"/>
    <mergeCell ref="Q92:R92"/>
    <mergeCell ref="S92:T92"/>
    <mergeCell ref="G93:P93"/>
    <mergeCell ref="Q93:R93"/>
    <mergeCell ref="S93:T93"/>
    <mergeCell ref="G90:P90"/>
    <mergeCell ref="Q90:R90"/>
    <mergeCell ref="S90:T90"/>
    <mergeCell ref="G91:P91"/>
    <mergeCell ref="Q91:R91"/>
    <mergeCell ref="S91:T91"/>
    <mergeCell ref="G96:P96"/>
    <mergeCell ref="Q96:R96"/>
    <mergeCell ref="S96:T96"/>
    <mergeCell ref="G97:P97"/>
    <mergeCell ref="Q97:R97"/>
    <mergeCell ref="S97:T97"/>
    <mergeCell ref="G94:P94"/>
    <mergeCell ref="Q94:R94"/>
    <mergeCell ref="S94:T94"/>
    <mergeCell ref="G95:P95"/>
    <mergeCell ref="Q95:R95"/>
    <mergeCell ref="S95:T95"/>
    <mergeCell ref="G100:P100"/>
    <mergeCell ref="Q100:R100"/>
    <mergeCell ref="S100:T100"/>
    <mergeCell ref="G101:P101"/>
    <mergeCell ref="Q101:R101"/>
    <mergeCell ref="S101:T101"/>
    <mergeCell ref="G98:P98"/>
    <mergeCell ref="Q98:R98"/>
    <mergeCell ref="S98:T98"/>
    <mergeCell ref="G99:P99"/>
    <mergeCell ref="Q99:R99"/>
    <mergeCell ref="S99:T99"/>
    <mergeCell ref="G104:P104"/>
    <mergeCell ref="Q104:R104"/>
    <mergeCell ref="S104:T104"/>
    <mergeCell ref="G105:P105"/>
    <mergeCell ref="Q105:R105"/>
    <mergeCell ref="S105:T105"/>
    <mergeCell ref="G102:P102"/>
    <mergeCell ref="Q102:R102"/>
    <mergeCell ref="S102:T102"/>
    <mergeCell ref="G103:P103"/>
    <mergeCell ref="Q103:R103"/>
    <mergeCell ref="S103:T103"/>
    <mergeCell ref="G108:P108"/>
    <mergeCell ref="Q108:R108"/>
    <mergeCell ref="S108:T108"/>
    <mergeCell ref="G109:P109"/>
    <mergeCell ref="Q109:R109"/>
    <mergeCell ref="S109:T109"/>
    <mergeCell ref="G106:P106"/>
    <mergeCell ref="Q106:R106"/>
    <mergeCell ref="S106:T106"/>
    <mergeCell ref="G107:P107"/>
    <mergeCell ref="Q107:R107"/>
    <mergeCell ref="S107:T107"/>
    <mergeCell ref="G112:P112"/>
    <mergeCell ref="Q112:R112"/>
    <mergeCell ref="S112:T112"/>
    <mergeCell ref="G113:P113"/>
    <mergeCell ref="Q113:R113"/>
    <mergeCell ref="S113:T113"/>
    <mergeCell ref="G110:P110"/>
    <mergeCell ref="Q110:R110"/>
    <mergeCell ref="S110:T110"/>
    <mergeCell ref="G111:P111"/>
    <mergeCell ref="Q111:R111"/>
    <mergeCell ref="S111:T111"/>
    <mergeCell ref="G116:P116"/>
    <mergeCell ref="Q116:R116"/>
    <mergeCell ref="S116:T116"/>
    <mergeCell ref="G117:P117"/>
    <mergeCell ref="Q117:R117"/>
    <mergeCell ref="S117:T117"/>
    <mergeCell ref="G114:P114"/>
    <mergeCell ref="Q114:R114"/>
    <mergeCell ref="S114:T114"/>
    <mergeCell ref="G115:P115"/>
    <mergeCell ref="Q115:R115"/>
    <mergeCell ref="S115:T115"/>
    <mergeCell ref="G120:P120"/>
    <mergeCell ref="Q120:R120"/>
    <mergeCell ref="S120:T120"/>
    <mergeCell ref="G121:P121"/>
    <mergeCell ref="Q121:R121"/>
    <mergeCell ref="S121:T121"/>
    <mergeCell ref="G118:P118"/>
    <mergeCell ref="Q118:R118"/>
    <mergeCell ref="S118:T118"/>
    <mergeCell ref="G119:P119"/>
    <mergeCell ref="Q119:R119"/>
    <mergeCell ref="S119:T119"/>
    <mergeCell ref="G124:P124"/>
    <mergeCell ref="Q124:R124"/>
    <mergeCell ref="S124:T124"/>
    <mergeCell ref="G125:P125"/>
    <mergeCell ref="Q125:R125"/>
    <mergeCell ref="S125:T125"/>
    <mergeCell ref="G122:P122"/>
    <mergeCell ref="Q122:R122"/>
    <mergeCell ref="S122:T122"/>
    <mergeCell ref="G123:P123"/>
    <mergeCell ref="Q123:R123"/>
    <mergeCell ref="S123:T123"/>
    <mergeCell ref="G128:P128"/>
    <mergeCell ref="Q128:R128"/>
    <mergeCell ref="S128:T128"/>
    <mergeCell ref="G129:P129"/>
    <mergeCell ref="Q129:R129"/>
    <mergeCell ref="S129:T129"/>
    <mergeCell ref="G126:P126"/>
    <mergeCell ref="Q126:R126"/>
    <mergeCell ref="S126:T126"/>
    <mergeCell ref="G127:P127"/>
    <mergeCell ref="Q127:R127"/>
    <mergeCell ref="S127:T127"/>
    <mergeCell ref="G132:P132"/>
    <mergeCell ref="Q132:R132"/>
    <mergeCell ref="S132:T132"/>
    <mergeCell ref="G133:P133"/>
    <mergeCell ref="Q133:R133"/>
    <mergeCell ref="S133:T133"/>
    <mergeCell ref="G130:P130"/>
    <mergeCell ref="Q130:R130"/>
    <mergeCell ref="S130:T130"/>
    <mergeCell ref="G131:P131"/>
    <mergeCell ref="Q131:R131"/>
    <mergeCell ref="S131:T131"/>
    <mergeCell ref="G136:P136"/>
    <mergeCell ref="Q136:R136"/>
    <mergeCell ref="S136:T136"/>
    <mergeCell ref="G137:P137"/>
    <mergeCell ref="Q137:R137"/>
    <mergeCell ref="S137:T137"/>
    <mergeCell ref="G134:P134"/>
    <mergeCell ref="Q134:R134"/>
    <mergeCell ref="S134:T134"/>
    <mergeCell ref="G135:P135"/>
    <mergeCell ref="Q135:R135"/>
    <mergeCell ref="S135:T135"/>
    <mergeCell ref="G140:P140"/>
    <mergeCell ref="Q140:R140"/>
    <mergeCell ref="S140:T140"/>
    <mergeCell ref="G141:P141"/>
    <mergeCell ref="Q141:R141"/>
    <mergeCell ref="S141:T141"/>
    <mergeCell ref="G138:P138"/>
    <mergeCell ref="Q138:R138"/>
    <mergeCell ref="S138:T138"/>
    <mergeCell ref="G139:P139"/>
    <mergeCell ref="Q139:R139"/>
    <mergeCell ref="S139:T139"/>
    <mergeCell ref="G144:P144"/>
    <mergeCell ref="Q144:R144"/>
    <mergeCell ref="S144:T144"/>
    <mergeCell ref="G145:P145"/>
    <mergeCell ref="Q145:R145"/>
    <mergeCell ref="S145:T145"/>
    <mergeCell ref="G142:P142"/>
    <mergeCell ref="Q142:R142"/>
    <mergeCell ref="S142:T142"/>
    <mergeCell ref="G143:P143"/>
    <mergeCell ref="Q143:R143"/>
    <mergeCell ref="S143:T143"/>
    <mergeCell ref="G148:P148"/>
    <mergeCell ref="Q148:R148"/>
    <mergeCell ref="S148:T148"/>
    <mergeCell ref="G149:P149"/>
    <mergeCell ref="Q149:R149"/>
    <mergeCell ref="S149:T149"/>
    <mergeCell ref="G146:P146"/>
    <mergeCell ref="Q146:R146"/>
    <mergeCell ref="S146:T146"/>
    <mergeCell ref="G147:P147"/>
    <mergeCell ref="Q147:R147"/>
    <mergeCell ref="S147:T147"/>
    <mergeCell ref="G152:P152"/>
    <mergeCell ref="Q152:R152"/>
    <mergeCell ref="S152:T152"/>
    <mergeCell ref="G153:P153"/>
    <mergeCell ref="Q153:R153"/>
    <mergeCell ref="S153:T153"/>
    <mergeCell ref="G150:P150"/>
    <mergeCell ref="Q150:R150"/>
    <mergeCell ref="S150:T150"/>
    <mergeCell ref="G151:P151"/>
    <mergeCell ref="Q151:R151"/>
    <mergeCell ref="S151:T151"/>
    <mergeCell ref="G156:P156"/>
    <mergeCell ref="Q156:R156"/>
    <mergeCell ref="S156:T156"/>
    <mergeCell ref="G157:P157"/>
    <mergeCell ref="Q157:R157"/>
    <mergeCell ref="S157:T157"/>
    <mergeCell ref="G154:P154"/>
    <mergeCell ref="Q154:R154"/>
    <mergeCell ref="S154:T154"/>
    <mergeCell ref="G155:P155"/>
    <mergeCell ref="Q155:R155"/>
    <mergeCell ref="S155:T155"/>
    <mergeCell ref="G160:P160"/>
    <mergeCell ref="Q160:R160"/>
    <mergeCell ref="S160:T160"/>
    <mergeCell ref="G161:P161"/>
    <mergeCell ref="Q161:R161"/>
    <mergeCell ref="S161:T161"/>
    <mergeCell ref="G158:P158"/>
    <mergeCell ref="Q158:R158"/>
    <mergeCell ref="S158:T158"/>
    <mergeCell ref="G159:P159"/>
    <mergeCell ref="Q159:R159"/>
    <mergeCell ref="S159:T159"/>
    <mergeCell ref="G164:P164"/>
    <mergeCell ref="Q164:R164"/>
    <mergeCell ref="S164:T164"/>
    <mergeCell ref="G165:P165"/>
    <mergeCell ref="Q165:R165"/>
    <mergeCell ref="S165:T165"/>
    <mergeCell ref="G162:P162"/>
    <mergeCell ref="Q162:R162"/>
    <mergeCell ref="S162:T162"/>
    <mergeCell ref="G163:P163"/>
    <mergeCell ref="Q163:R163"/>
    <mergeCell ref="S163:T163"/>
    <mergeCell ref="G168:P168"/>
    <mergeCell ref="Q168:R168"/>
    <mergeCell ref="S168:T168"/>
    <mergeCell ref="G169:P169"/>
    <mergeCell ref="Q169:R169"/>
    <mergeCell ref="S169:T169"/>
    <mergeCell ref="G166:P166"/>
    <mergeCell ref="Q166:R166"/>
    <mergeCell ref="S166:T166"/>
    <mergeCell ref="G167:P167"/>
    <mergeCell ref="Q167:R167"/>
    <mergeCell ref="S167:T167"/>
    <mergeCell ref="G172:P172"/>
    <mergeCell ref="Q172:R172"/>
    <mergeCell ref="S172:T172"/>
    <mergeCell ref="G173:P173"/>
    <mergeCell ref="Q173:R173"/>
    <mergeCell ref="S173:T173"/>
    <mergeCell ref="G170:P170"/>
    <mergeCell ref="Q170:R170"/>
    <mergeCell ref="S170:T170"/>
    <mergeCell ref="G171:P171"/>
    <mergeCell ref="Q171:R171"/>
    <mergeCell ref="S171:T171"/>
    <mergeCell ref="G176:P176"/>
    <mergeCell ref="Q176:R176"/>
    <mergeCell ref="S176:T176"/>
    <mergeCell ref="G177:P177"/>
    <mergeCell ref="Q177:R177"/>
    <mergeCell ref="S177:T177"/>
    <mergeCell ref="G174:P174"/>
    <mergeCell ref="Q174:R174"/>
    <mergeCell ref="S174:T174"/>
    <mergeCell ref="G175:P175"/>
    <mergeCell ref="Q175:R175"/>
    <mergeCell ref="S175:T175"/>
    <mergeCell ref="G180:P180"/>
    <mergeCell ref="Q180:R180"/>
    <mergeCell ref="S180:T180"/>
    <mergeCell ref="G181:P181"/>
    <mergeCell ref="Q181:R181"/>
    <mergeCell ref="S181:T181"/>
    <mergeCell ref="G178:P178"/>
    <mergeCell ref="Q178:R178"/>
    <mergeCell ref="S178:T178"/>
    <mergeCell ref="G179:P179"/>
    <mergeCell ref="Q179:R179"/>
    <mergeCell ref="S179:T179"/>
    <mergeCell ref="G184:P184"/>
    <mergeCell ref="Q184:R184"/>
    <mergeCell ref="S184:T184"/>
    <mergeCell ref="G185:P185"/>
    <mergeCell ref="Q185:R185"/>
    <mergeCell ref="S185:T185"/>
    <mergeCell ref="G182:P182"/>
    <mergeCell ref="Q182:R182"/>
    <mergeCell ref="S182:T182"/>
    <mergeCell ref="G183:P183"/>
    <mergeCell ref="Q183:R183"/>
    <mergeCell ref="S183:T183"/>
    <mergeCell ref="G188:P188"/>
    <mergeCell ref="Q188:R188"/>
    <mergeCell ref="S188:T188"/>
    <mergeCell ref="G189:P189"/>
    <mergeCell ref="Q189:R189"/>
    <mergeCell ref="S189:T189"/>
    <mergeCell ref="G186:P186"/>
    <mergeCell ref="Q186:R186"/>
    <mergeCell ref="S186:T186"/>
    <mergeCell ref="G187:P187"/>
    <mergeCell ref="Q187:R187"/>
    <mergeCell ref="S187:T187"/>
    <mergeCell ref="Q192:R192"/>
    <mergeCell ref="S192:T192"/>
    <mergeCell ref="G193:P193"/>
    <mergeCell ref="Q193:R193"/>
    <mergeCell ref="S193:T193"/>
    <mergeCell ref="G190:P190"/>
    <mergeCell ref="Q190:R190"/>
    <mergeCell ref="S190:T190"/>
    <mergeCell ref="G191:P191"/>
    <mergeCell ref="Q191:R191"/>
    <mergeCell ref="S191:T191"/>
    <mergeCell ref="G192:P192"/>
    <mergeCell ref="G200:P200"/>
    <mergeCell ref="Q200:R200"/>
    <mergeCell ref="S200:T200"/>
    <mergeCell ref="G198:P198"/>
    <mergeCell ref="Q198:R198"/>
    <mergeCell ref="S198:T198"/>
    <mergeCell ref="G199:P199"/>
    <mergeCell ref="Q199:R199"/>
    <mergeCell ref="S199:T199"/>
    <mergeCell ref="G196:P196"/>
    <mergeCell ref="Q196:R196"/>
    <mergeCell ref="S196:T196"/>
    <mergeCell ref="G197:P197"/>
    <mergeCell ref="Q197:R197"/>
    <mergeCell ref="S197:T197"/>
    <mergeCell ref="G194:P194"/>
    <mergeCell ref="Q194:R194"/>
    <mergeCell ref="S194:T194"/>
    <mergeCell ref="G195:P195"/>
    <mergeCell ref="Q195:R195"/>
    <mergeCell ref="S195:T195"/>
  </mergeCells>
  <hyperlinks>
    <hyperlink ref="B57" location="'CALC'!A1" display="POWER CALCULATOR" xr:uid="{2CEC32DD-20F5-4300-BB88-9CCEFEAA071A}"/>
    <hyperlink ref="B10" location="'DASH'!A1" display="DASHBOARD" xr:uid="{FC1BDB36-D354-4ECA-8E10-CBCEC42AB426}"/>
    <hyperlink ref="B11" location="'DES-GL'!A1" display="DESIGN GUIDELINES" xr:uid="{6E950D02-BCA4-4347-AC70-4A9A8F9485C2}"/>
    <hyperlink ref="B13" location="'EXT-MAINS-DT'!A1" display="EXISTING POWER DESIGN" xr:uid="{E885A193-FEFA-49F6-807F-0AE867FD7E20}"/>
    <hyperlink ref="B14" location="'EXT-CALC'!A1" display="EXISTING DEMAND" xr:uid="{C682F4D7-7C1D-41E1-AA3F-201BD8D4F98B}"/>
    <hyperlink ref="B16" location="'CALC'!A1" display="POWER CALCULATOR" xr:uid="{D2E35BB9-45D6-4D6D-9562-4A7B4B4432FC}"/>
    <hyperlink ref="B17" location="'PLBC-CALC'!A1" display="PLBC CALCULATOR" xr:uid="{61C20BB7-B215-47EA-9F5A-07800E0983EB}"/>
    <hyperlink ref="B18" location="'VDC'!A1" display="VD CALCULATOR" xr:uid="{B939DA76-8B5E-4E91-950A-777F3FB77F77}"/>
    <hyperlink ref="B20" location="'PRP-SOL'!A1" display="PROPOSED POWER DESIGN" xr:uid="{D194760D-C7E2-423A-9BA7-276D5A802E12}"/>
    <hyperlink ref="B25" location="'DC'!A1" display="DOCUMENT CONTROL" xr:uid="{791F845B-F8AE-4BE0-93CC-4A9EAC5FC94F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9AE04-D7AF-421B-BFFE-D62553B09ED6}">
  <sheetPr codeName="Sheet24" filterMode="1"/>
  <dimension ref="B1:P107"/>
  <sheetViews>
    <sheetView showGridLines="0" topLeftCell="B2" zoomScale="85" zoomScaleNormal="85" workbookViewId="0">
      <selection activeCell="F30" sqref="F30:P30"/>
    </sheetView>
  </sheetViews>
  <sheetFormatPr defaultRowHeight="14.45"/>
  <cols>
    <col min="1" max="1" width="0" hidden="1" customWidth="1"/>
    <col min="2" max="4" width="9.28515625" style="1"/>
    <col min="6" max="6" width="32.7109375" customWidth="1"/>
    <col min="7" max="7" width="20.28515625" customWidth="1"/>
    <col min="8" max="8" width="36.28515625" customWidth="1"/>
    <col min="9" max="9" width="9.28515625" customWidth="1"/>
    <col min="10" max="10" width="14.7109375" customWidth="1"/>
    <col min="11" max="11" width="62.7109375" customWidth="1"/>
    <col min="12" max="12" width="18.28515625" customWidth="1"/>
    <col min="13" max="13" width="15.7109375" customWidth="1"/>
    <col min="14" max="14" width="4.28515625" customWidth="1"/>
    <col min="15" max="15" width="17.5703125" customWidth="1"/>
    <col min="16" max="16" width="14.5703125" customWidth="1"/>
    <col min="17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569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570</v>
      </c>
    </row>
    <row r="7" spans="2:16">
      <c r="C7" s="2" t="s">
        <v>152</v>
      </c>
      <c r="D7" s="12">
        <f>DCVer</f>
        <v>12.7</v>
      </c>
    </row>
    <row r="8" spans="2:16" ht="15" customHeight="1">
      <c r="F8" s="320" t="s">
        <v>555</v>
      </c>
      <c r="G8" s="320" t="s">
        <v>778</v>
      </c>
      <c r="H8" s="320" t="s">
        <v>779</v>
      </c>
      <c r="I8" s="320" t="s">
        <v>780</v>
      </c>
      <c r="J8" s="320" t="s">
        <v>781</v>
      </c>
      <c r="K8" s="320" t="s">
        <v>556</v>
      </c>
      <c r="L8" s="483" t="s">
        <v>782</v>
      </c>
      <c r="M8" s="483" t="s">
        <v>783</v>
      </c>
      <c r="N8" s="320"/>
      <c r="O8" s="482" t="s">
        <v>784</v>
      </c>
      <c r="P8" s="482" t="s">
        <v>785</v>
      </c>
    </row>
    <row r="9" spans="2:16" hidden="1">
      <c r="B9" s="18"/>
      <c r="C9" s="18"/>
      <c r="D9" s="18"/>
      <c r="F9" s="320"/>
      <c r="G9" s="320"/>
      <c r="H9" s="320"/>
      <c r="I9" s="320"/>
      <c r="J9" s="320"/>
      <c r="K9" s="320"/>
      <c r="L9" s="483"/>
      <c r="M9" s="483"/>
      <c r="N9" s="320"/>
      <c r="O9" s="482"/>
      <c r="P9" s="482"/>
    </row>
    <row r="10" spans="2:16" hidden="1">
      <c r="B10" s="18" t="s">
        <v>151</v>
      </c>
      <c r="C10" s="18"/>
      <c r="D10" s="18"/>
      <c r="F10" s="73" t="s">
        <v>786</v>
      </c>
      <c r="G10" s="51"/>
      <c r="H10" s="51" t="str">
        <f>F10&amp;IF(G10="",""," -"&amp;G10)</f>
        <v>Alcatel 1642</v>
      </c>
      <c r="I10" s="26"/>
      <c r="J10" s="26"/>
      <c r="K10" s="26"/>
      <c r="L10" s="53">
        <f>O10</f>
        <v>80</v>
      </c>
      <c r="M10" s="53">
        <f>P10</f>
        <v>80</v>
      </c>
      <c r="N10" s="53"/>
      <c r="O10" s="53">
        <v>80</v>
      </c>
      <c r="P10" s="53">
        <v>80</v>
      </c>
    </row>
    <row r="11" spans="2:16" hidden="1">
      <c r="B11" s="18" t="s">
        <v>155</v>
      </c>
      <c r="C11" s="18"/>
      <c r="D11" s="18"/>
      <c r="F11" s="73" t="s">
        <v>787</v>
      </c>
      <c r="G11" s="51"/>
      <c r="H11" s="51" t="str">
        <f t="shared" ref="H11:H66" si="0">F11&amp;IF(G11="",""," -"&amp;G11)</f>
        <v>Alcatel 1662</v>
      </c>
      <c r="I11" s="26"/>
      <c r="J11" s="26"/>
      <c r="K11" s="26"/>
      <c r="L11" s="53">
        <f t="shared" ref="L11:M46" si="1">O11</f>
        <v>545</v>
      </c>
      <c r="M11" s="53">
        <f t="shared" si="1"/>
        <v>545</v>
      </c>
      <c r="N11" s="53"/>
      <c r="O11" s="53">
        <v>545</v>
      </c>
      <c r="P11" s="53">
        <v>545</v>
      </c>
    </row>
    <row r="12" spans="2:16" hidden="1">
      <c r="B12" s="18"/>
      <c r="C12" s="18"/>
      <c r="D12" s="18"/>
      <c r="F12" s="73" t="s">
        <v>788</v>
      </c>
      <c r="G12" s="51"/>
      <c r="H12" s="51" t="str">
        <f t="shared" si="0"/>
        <v>Aviat MSR Radio</v>
      </c>
      <c r="I12" s="26"/>
      <c r="J12" s="26"/>
      <c r="K12" s="26"/>
      <c r="L12" s="53">
        <f t="shared" si="1"/>
        <v>218</v>
      </c>
      <c r="M12" s="53">
        <f t="shared" si="1"/>
        <v>218</v>
      </c>
      <c r="N12" s="53"/>
      <c r="O12" s="53">
        <v>218</v>
      </c>
      <c r="P12" s="53">
        <v>218</v>
      </c>
    </row>
    <row r="13" spans="2:16" hidden="1">
      <c r="B13" s="18" t="s">
        <v>159</v>
      </c>
      <c r="C13" s="18"/>
      <c r="D13" s="18"/>
      <c r="F13" s="73" t="s">
        <v>789</v>
      </c>
      <c r="G13" s="51"/>
      <c r="H13" s="51" t="str">
        <f t="shared" si="0"/>
        <v>Ceragon 1500HP</v>
      </c>
      <c r="I13" s="26"/>
      <c r="J13" s="26"/>
      <c r="K13" s="26"/>
      <c r="L13" s="53">
        <f t="shared" si="1"/>
        <v>164</v>
      </c>
      <c r="M13" s="53">
        <f t="shared" si="1"/>
        <v>164</v>
      </c>
      <c r="N13" s="53"/>
      <c r="O13" s="53">
        <v>164</v>
      </c>
      <c r="P13" s="53">
        <v>164</v>
      </c>
    </row>
    <row r="14" spans="2:16" hidden="1">
      <c r="B14" s="18" t="s">
        <v>162</v>
      </c>
      <c r="C14" s="18"/>
      <c r="D14" s="18"/>
      <c r="F14" s="73" t="s">
        <v>790</v>
      </c>
      <c r="G14" s="51"/>
      <c r="H14" s="51" t="str">
        <f t="shared" si="0"/>
        <v>Ceragon IP10 4+0 Indoor</v>
      </c>
      <c r="I14" s="26"/>
      <c r="J14" s="26"/>
      <c r="K14" s="26"/>
      <c r="L14" s="53">
        <f t="shared" si="1"/>
        <v>218</v>
      </c>
      <c r="M14" s="53">
        <f t="shared" si="1"/>
        <v>218</v>
      </c>
      <c r="N14" s="53"/>
      <c r="O14" s="53">
        <v>218</v>
      </c>
      <c r="P14" s="53">
        <v>218</v>
      </c>
    </row>
    <row r="15" spans="2:16">
      <c r="B15" s="18"/>
      <c r="C15" s="18"/>
      <c r="D15" s="18"/>
      <c r="F15" s="73" t="s">
        <v>791</v>
      </c>
      <c r="G15" s="51"/>
      <c r="H15" s="51" t="str">
        <f t="shared" si="0"/>
        <v>Ceragon IP10 10+0 split</v>
      </c>
      <c r="I15" s="26"/>
      <c r="J15" s="26"/>
      <c r="K15" s="26"/>
      <c r="L15" s="53">
        <f t="shared" si="1"/>
        <v>1090</v>
      </c>
      <c r="M15" s="53">
        <f t="shared" si="1"/>
        <v>1090</v>
      </c>
      <c r="N15" s="53"/>
      <c r="O15" s="53">
        <v>1090</v>
      </c>
      <c r="P15" s="53">
        <v>1090</v>
      </c>
    </row>
    <row r="16" spans="2:16" hidden="1">
      <c r="B16" s="18" t="s">
        <v>167</v>
      </c>
      <c r="C16" s="18"/>
      <c r="D16" s="18"/>
      <c r="F16" s="73" t="s">
        <v>792</v>
      </c>
      <c r="G16" s="51"/>
      <c r="H16" s="51" t="str">
        <f t="shared" si="0"/>
        <v>Ceragon IP10 2+0 Split</v>
      </c>
      <c r="I16" s="26"/>
      <c r="J16" s="26"/>
      <c r="K16" s="26"/>
      <c r="L16" s="53">
        <f t="shared" si="1"/>
        <v>218</v>
      </c>
      <c r="M16" s="53">
        <f t="shared" si="1"/>
        <v>218</v>
      </c>
      <c r="N16" s="53"/>
      <c r="O16" s="53">
        <v>218</v>
      </c>
      <c r="P16" s="53">
        <v>218</v>
      </c>
    </row>
    <row r="17" spans="2:16" hidden="1">
      <c r="B17" s="18" t="s">
        <v>170</v>
      </c>
      <c r="C17" s="18"/>
      <c r="D17" s="18"/>
      <c r="F17" s="73" t="s">
        <v>793</v>
      </c>
      <c r="G17" s="51"/>
      <c r="H17" s="51" t="str">
        <f t="shared" si="0"/>
        <v>Ceragon IP10 3+0 Split</v>
      </c>
      <c r="I17" s="26"/>
      <c r="J17" s="26"/>
      <c r="K17" s="26"/>
      <c r="L17" s="53">
        <f t="shared" si="1"/>
        <v>327</v>
      </c>
      <c r="M17" s="53">
        <f t="shared" si="1"/>
        <v>327</v>
      </c>
      <c r="N17" s="53"/>
      <c r="O17" s="53">
        <v>327</v>
      </c>
      <c r="P17" s="53">
        <v>327</v>
      </c>
    </row>
    <row r="18" spans="2:16">
      <c r="B18" s="18" t="s">
        <v>173</v>
      </c>
      <c r="C18" s="18"/>
      <c r="D18" s="18"/>
      <c r="F18" s="73" t="s">
        <v>794</v>
      </c>
      <c r="G18" s="51"/>
      <c r="H18" s="51" t="str">
        <f t="shared" si="0"/>
        <v>Ceragon IP10 6+0 Indoor</v>
      </c>
      <c r="I18" s="26"/>
      <c r="J18" s="26"/>
      <c r="K18" s="26"/>
      <c r="L18" s="53">
        <f t="shared" si="1"/>
        <v>668</v>
      </c>
      <c r="M18" s="53">
        <f t="shared" si="1"/>
        <v>668</v>
      </c>
      <c r="N18" s="53"/>
      <c r="O18" s="53">
        <v>668</v>
      </c>
      <c r="P18" s="53">
        <v>668</v>
      </c>
    </row>
    <row r="19" spans="2:16">
      <c r="B19" s="18"/>
      <c r="C19" s="18"/>
      <c r="D19" s="18"/>
      <c r="F19" s="73" t="s">
        <v>795</v>
      </c>
      <c r="G19" s="51"/>
      <c r="H19" s="51" t="str">
        <f t="shared" si="0"/>
        <v>Ceragon IP10 8+0 Indoor</v>
      </c>
      <c r="I19" s="26"/>
      <c r="J19" s="26"/>
      <c r="K19" s="26"/>
      <c r="L19" s="53">
        <f t="shared" si="1"/>
        <v>899</v>
      </c>
      <c r="M19" s="53">
        <f t="shared" si="1"/>
        <v>899</v>
      </c>
      <c r="N19" s="53"/>
      <c r="O19" s="53">
        <v>899</v>
      </c>
      <c r="P19" s="53">
        <v>899</v>
      </c>
    </row>
    <row r="20" spans="2:16">
      <c r="B20" s="18" t="s">
        <v>176</v>
      </c>
      <c r="C20" s="18"/>
      <c r="D20" s="18"/>
      <c r="F20" s="73" t="s">
        <v>796</v>
      </c>
      <c r="G20" s="51"/>
      <c r="H20" s="51" t="str">
        <f t="shared" si="0"/>
        <v>Ceragon IP10 10+0 Indoor</v>
      </c>
      <c r="I20" s="26"/>
      <c r="J20" s="26"/>
      <c r="K20" s="26"/>
      <c r="L20" s="53">
        <f t="shared" si="1"/>
        <v>1090</v>
      </c>
      <c r="M20" s="53">
        <f t="shared" si="1"/>
        <v>1090</v>
      </c>
      <c r="N20" s="53"/>
      <c r="O20" s="53">
        <v>1090</v>
      </c>
      <c r="P20" s="53">
        <v>1090</v>
      </c>
    </row>
    <row r="21" spans="2:16">
      <c r="B21" s="18"/>
      <c r="C21" s="18"/>
      <c r="D21" s="18"/>
      <c r="F21" s="73" t="s">
        <v>797</v>
      </c>
      <c r="G21" s="51"/>
      <c r="H21" s="51" t="str">
        <f t="shared" si="0"/>
        <v>Ceragon IP10 4+0 Split</v>
      </c>
      <c r="I21" s="26"/>
      <c r="J21" s="26"/>
      <c r="K21" s="26"/>
      <c r="L21" s="53">
        <f t="shared" si="1"/>
        <v>613</v>
      </c>
      <c r="M21" s="53">
        <f t="shared" si="1"/>
        <v>613</v>
      </c>
      <c r="N21" s="53"/>
      <c r="O21" s="53">
        <v>613</v>
      </c>
      <c r="P21" s="53">
        <v>613</v>
      </c>
    </row>
    <row r="22" spans="2:16">
      <c r="B22" s="18"/>
      <c r="C22" s="18"/>
      <c r="D22" s="18"/>
      <c r="F22" s="73" t="s">
        <v>798</v>
      </c>
      <c r="G22" s="51"/>
      <c r="H22" s="51" t="str">
        <f t="shared" si="0"/>
        <v>Ceragon IP10 6+0 Split</v>
      </c>
      <c r="I22" s="26"/>
      <c r="J22" s="26"/>
      <c r="K22" s="26"/>
      <c r="L22" s="53">
        <f t="shared" si="1"/>
        <v>668</v>
      </c>
      <c r="M22" s="53">
        <f t="shared" si="1"/>
        <v>668</v>
      </c>
      <c r="N22" s="53"/>
      <c r="O22" s="53">
        <v>668</v>
      </c>
      <c r="P22" s="53">
        <v>668</v>
      </c>
    </row>
    <row r="23" spans="2:16">
      <c r="B23" s="18"/>
      <c r="C23" s="18"/>
      <c r="D23" s="18"/>
      <c r="F23" s="73" t="s">
        <v>799</v>
      </c>
      <c r="G23" s="51"/>
      <c r="H23" s="51" t="str">
        <f t="shared" si="0"/>
        <v>Ceragon IP10 8+0 Split</v>
      </c>
      <c r="I23" s="26"/>
      <c r="J23" s="26"/>
      <c r="K23" s="26"/>
      <c r="L23" s="53">
        <f t="shared" si="1"/>
        <v>899</v>
      </c>
      <c r="M23" s="53">
        <f t="shared" si="1"/>
        <v>899</v>
      </c>
      <c r="N23" s="53"/>
      <c r="O23" s="53">
        <v>899</v>
      </c>
      <c r="P23" s="53">
        <v>899</v>
      </c>
    </row>
    <row r="24" spans="2:16" hidden="1">
      <c r="B24" s="18"/>
      <c r="C24" s="18"/>
      <c r="D24" s="18"/>
      <c r="F24" s="73" t="s">
        <v>800</v>
      </c>
      <c r="G24" s="51"/>
      <c r="H24" s="51" t="str">
        <f t="shared" si="0"/>
        <v>Ceragon T-MARC switch 3208H</v>
      </c>
      <c r="I24" s="26"/>
      <c r="J24" s="26"/>
      <c r="K24" s="26"/>
      <c r="L24" s="53">
        <f t="shared" si="1"/>
        <v>55</v>
      </c>
      <c r="M24" s="53">
        <f t="shared" si="1"/>
        <v>55</v>
      </c>
      <c r="N24" s="53"/>
      <c r="O24" s="53">
        <v>55</v>
      </c>
      <c r="P24" s="53">
        <v>55</v>
      </c>
    </row>
    <row r="25" spans="2:16" hidden="1">
      <c r="B25" s="18" t="s">
        <v>182</v>
      </c>
      <c r="C25" s="18"/>
      <c r="D25" s="18"/>
      <c r="F25" s="50" t="s">
        <v>801</v>
      </c>
      <c r="G25" s="51"/>
      <c r="H25" s="51" t="str">
        <f t="shared" si="0"/>
        <v>R6675 Router</v>
      </c>
      <c r="I25" s="26"/>
      <c r="J25" s="26"/>
      <c r="K25" s="26"/>
      <c r="L25" s="53">
        <f t="shared" si="1"/>
        <v>280</v>
      </c>
      <c r="M25" s="53">
        <f t="shared" si="1"/>
        <v>280</v>
      </c>
      <c r="N25" s="53"/>
      <c r="O25" s="53">
        <v>280</v>
      </c>
      <c r="P25" s="53">
        <v>280</v>
      </c>
    </row>
    <row r="26" spans="2:16">
      <c r="B26" s="285"/>
      <c r="C26" s="285"/>
      <c r="D26" s="285"/>
      <c r="F26" s="73" t="s">
        <v>802</v>
      </c>
      <c r="G26" s="51"/>
      <c r="H26" s="51" t="str">
        <f t="shared" si="0"/>
        <v>Ericsson Mini-Link E</v>
      </c>
      <c r="I26" s="26"/>
      <c r="J26" s="26"/>
      <c r="K26" s="26"/>
      <c r="L26" s="53">
        <f t="shared" si="1"/>
        <v>0</v>
      </c>
      <c r="M26" s="53">
        <f t="shared" si="1"/>
        <v>0</v>
      </c>
      <c r="N26" s="53"/>
      <c r="O26" s="53"/>
      <c r="P26" s="53"/>
    </row>
    <row r="27" spans="2:16">
      <c r="B27" s="285"/>
      <c r="C27" s="285"/>
      <c r="D27" s="285"/>
      <c r="F27" s="73" t="s">
        <v>803</v>
      </c>
      <c r="G27" s="51"/>
      <c r="H27" s="51" t="str">
        <f t="shared" si="0"/>
        <v>Ericsson Mini-Link TN 6P</v>
      </c>
      <c r="I27" s="26"/>
      <c r="J27" s="26"/>
      <c r="K27" s="26"/>
      <c r="L27" s="53">
        <f t="shared" si="1"/>
        <v>0</v>
      </c>
      <c r="M27" s="53">
        <f t="shared" si="1"/>
        <v>0</v>
      </c>
      <c r="N27" s="53"/>
      <c r="O27" s="53"/>
      <c r="P27" s="53"/>
    </row>
    <row r="28" spans="2:16">
      <c r="B28" s="293"/>
      <c r="C28" s="293"/>
      <c r="D28" s="293"/>
      <c r="F28" s="73" t="s">
        <v>804</v>
      </c>
      <c r="G28" s="51"/>
      <c r="H28" s="51" t="str">
        <f t="shared" si="0"/>
        <v>FBX (Hubs for STM4)</v>
      </c>
      <c r="I28" s="26"/>
      <c r="J28" s="26"/>
      <c r="K28" s="26"/>
      <c r="L28" s="53">
        <f t="shared" si="1"/>
        <v>545</v>
      </c>
      <c r="M28" s="53">
        <f t="shared" si="1"/>
        <v>545</v>
      </c>
      <c r="N28" s="53"/>
      <c r="O28" s="53">
        <v>545</v>
      </c>
      <c r="P28" s="53">
        <v>545</v>
      </c>
    </row>
    <row r="29" spans="2:16">
      <c r="B29" s="293"/>
      <c r="C29" s="293"/>
      <c r="D29" s="293"/>
      <c r="F29" s="73" t="s">
        <v>805</v>
      </c>
      <c r="G29" s="51"/>
      <c r="H29" s="51" t="str">
        <f t="shared" si="0"/>
        <v>Cisco ASR903</v>
      </c>
      <c r="I29" s="26"/>
      <c r="J29" s="26"/>
      <c r="K29" s="26"/>
      <c r="L29" s="53">
        <f t="shared" si="1"/>
        <v>638</v>
      </c>
      <c r="M29" s="53">
        <f t="shared" si="1"/>
        <v>638</v>
      </c>
      <c r="N29" s="53"/>
      <c r="O29" s="53">
        <v>638</v>
      </c>
      <c r="P29" s="53">
        <v>638</v>
      </c>
    </row>
    <row r="30" spans="2:16">
      <c r="B30" s="293"/>
      <c r="C30" s="293"/>
      <c r="D30" s="293"/>
      <c r="F30" s="73" t="s">
        <v>383</v>
      </c>
      <c r="G30" s="51"/>
      <c r="H30" s="51" t="str">
        <f t="shared" si="0"/>
        <v>Cisco NCS540</v>
      </c>
      <c r="I30" s="26"/>
      <c r="J30" s="26"/>
      <c r="K30" s="26"/>
      <c r="L30" s="53">
        <f t="shared" si="1"/>
        <v>250</v>
      </c>
      <c r="M30" s="53">
        <f t="shared" si="1"/>
        <v>250</v>
      </c>
      <c r="N30" s="53"/>
      <c r="O30" s="53">
        <v>250</v>
      </c>
      <c r="P30" s="53">
        <v>250</v>
      </c>
    </row>
    <row r="31" spans="2:16">
      <c r="B31" s="293"/>
      <c r="C31" s="293"/>
      <c r="D31" s="293"/>
      <c r="F31" s="73" t="s">
        <v>806</v>
      </c>
      <c r="G31" s="51"/>
      <c r="H31" s="51" t="str">
        <f t="shared" si="0"/>
        <v>FNTE - E1 Interface</v>
      </c>
      <c r="I31" s="26"/>
      <c r="J31" s="26"/>
      <c r="K31" s="26"/>
      <c r="L31" s="53">
        <f t="shared" si="1"/>
        <v>27</v>
      </c>
      <c r="M31" s="53">
        <f t="shared" si="1"/>
        <v>27</v>
      </c>
      <c r="N31" s="53"/>
      <c r="O31" s="53">
        <v>27</v>
      </c>
      <c r="P31" s="53">
        <v>27</v>
      </c>
    </row>
    <row r="32" spans="2:16">
      <c r="B32" s="289"/>
      <c r="C32" s="289"/>
      <c r="D32" s="289"/>
      <c r="F32" s="73" t="s">
        <v>807</v>
      </c>
      <c r="G32" s="51"/>
      <c r="H32" s="51" t="str">
        <f t="shared" si="0"/>
        <v>Fujitsu FLM150E-E1 Interface</v>
      </c>
      <c r="I32" s="26"/>
      <c r="J32" s="26"/>
      <c r="K32" s="26"/>
      <c r="L32" s="53">
        <f t="shared" si="1"/>
        <v>164</v>
      </c>
      <c r="M32" s="53">
        <f t="shared" si="1"/>
        <v>164</v>
      </c>
      <c r="N32" s="53"/>
      <c r="O32" s="53">
        <v>164</v>
      </c>
      <c r="P32" s="53">
        <v>164</v>
      </c>
    </row>
    <row r="33" spans="2:16">
      <c r="B33" s="289"/>
      <c r="C33" s="289"/>
      <c r="D33" s="289"/>
      <c r="F33" s="73" t="s">
        <v>808</v>
      </c>
      <c r="G33" s="51"/>
      <c r="H33" s="51" t="str">
        <f t="shared" si="0"/>
        <v>Huawei ATN-910B</v>
      </c>
      <c r="I33" s="26"/>
      <c r="J33" s="26"/>
      <c r="K33" s="26"/>
      <c r="L33" s="53">
        <f t="shared" si="1"/>
        <v>109</v>
      </c>
      <c r="M33" s="53">
        <f t="shared" si="1"/>
        <v>109</v>
      </c>
      <c r="N33" s="53"/>
      <c r="O33" s="53">
        <v>109</v>
      </c>
      <c r="P33" s="53">
        <v>109</v>
      </c>
    </row>
    <row r="34" spans="2:16">
      <c r="B34" s="289"/>
      <c r="C34" s="289"/>
      <c r="D34" s="289"/>
      <c r="F34" s="73" t="s">
        <v>809</v>
      </c>
      <c r="G34" s="51"/>
      <c r="H34" s="51" t="str">
        <f t="shared" si="0"/>
        <v>Huawei ATN-905</v>
      </c>
      <c r="I34" s="26"/>
      <c r="J34" s="26"/>
      <c r="K34" s="26"/>
      <c r="L34" s="53">
        <f t="shared" si="1"/>
        <v>109</v>
      </c>
      <c r="M34" s="53">
        <f t="shared" si="1"/>
        <v>109</v>
      </c>
      <c r="N34" s="53"/>
      <c r="O34" s="53">
        <v>109</v>
      </c>
      <c r="P34" s="53">
        <v>109</v>
      </c>
    </row>
    <row r="35" spans="2:16">
      <c r="B35" s="289"/>
      <c r="C35" s="289"/>
      <c r="D35" s="289"/>
      <c r="F35" s="73" t="s">
        <v>810</v>
      </c>
      <c r="G35" s="51"/>
      <c r="H35" s="51" t="str">
        <f t="shared" si="0"/>
        <v>Huawei ATN-950</v>
      </c>
      <c r="I35" s="26"/>
      <c r="J35" s="26"/>
      <c r="K35" s="26"/>
      <c r="L35" s="53">
        <f t="shared" si="1"/>
        <v>109</v>
      </c>
      <c r="M35" s="53">
        <f t="shared" si="1"/>
        <v>109</v>
      </c>
      <c r="N35" s="53"/>
      <c r="O35" s="53">
        <v>109</v>
      </c>
      <c r="P35" s="53">
        <v>109</v>
      </c>
    </row>
    <row r="36" spans="2:16">
      <c r="B36" s="289"/>
      <c r="C36" s="289"/>
      <c r="D36" s="289"/>
      <c r="F36" s="73" t="s">
        <v>811</v>
      </c>
      <c r="G36" s="51"/>
      <c r="H36" s="51" t="str">
        <f t="shared" si="0"/>
        <v>Huawei ATN-910C</v>
      </c>
      <c r="I36" s="26"/>
      <c r="J36" s="26"/>
      <c r="K36" s="26"/>
      <c r="L36" s="53">
        <f t="shared" si="1"/>
        <v>109</v>
      </c>
      <c r="M36" s="53">
        <f t="shared" si="1"/>
        <v>109</v>
      </c>
      <c r="N36" s="53"/>
      <c r="O36" s="53">
        <v>109</v>
      </c>
      <c r="P36" s="53">
        <v>109</v>
      </c>
    </row>
    <row r="37" spans="2:16">
      <c r="B37" s="289"/>
      <c r="C37" s="289"/>
      <c r="D37" s="289"/>
      <c r="F37" s="73" t="s">
        <v>812</v>
      </c>
      <c r="G37" s="51"/>
      <c r="H37" s="51" t="str">
        <f t="shared" si="0"/>
        <v>Huawei CX600</v>
      </c>
      <c r="I37" s="26"/>
      <c r="J37" s="26"/>
      <c r="K37" s="26"/>
      <c r="L37" s="53">
        <f t="shared" si="1"/>
        <v>545</v>
      </c>
      <c r="M37" s="53">
        <f t="shared" si="1"/>
        <v>545</v>
      </c>
      <c r="N37" s="53"/>
      <c r="O37" s="53">
        <v>545</v>
      </c>
      <c r="P37" s="53">
        <v>545</v>
      </c>
    </row>
    <row r="38" spans="2:16">
      <c r="B38" s="289"/>
      <c r="C38" s="289"/>
      <c r="D38" s="289"/>
      <c r="F38" s="73" t="s">
        <v>813</v>
      </c>
      <c r="G38" s="51"/>
      <c r="H38" s="51" t="str">
        <f t="shared" si="0"/>
        <v>Quidway S3300</v>
      </c>
      <c r="I38" s="26"/>
      <c r="J38" s="26"/>
      <c r="K38" s="26"/>
      <c r="L38" s="53">
        <f t="shared" si="1"/>
        <v>150</v>
      </c>
      <c r="M38" s="53">
        <f t="shared" si="1"/>
        <v>150</v>
      </c>
      <c r="N38" s="53"/>
      <c r="O38" s="53">
        <v>150</v>
      </c>
      <c r="P38" s="53">
        <v>150</v>
      </c>
    </row>
    <row r="39" spans="2:16">
      <c r="B39" s="289"/>
      <c r="C39" s="289"/>
      <c r="D39" s="289"/>
      <c r="F39" s="73" t="s">
        <v>814</v>
      </c>
      <c r="G39" s="51"/>
      <c r="H39" s="51" t="str">
        <f t="shared" si="0"/>
        <v>MNI 1+0 Radio</v>
      </c>
      <c r="I39" s="26"/>
      <c r="J39" s="26"/>
      <c r="K39" s="26"/>
      <c r="L39" s="53">
        <f t="shared" si="1"/>
        <v>109</v>
      </c>
      <c r="M39" s="53">
        <f t="shared" si="1"/>
        <v>109</v>
      </c>
      <c r="N39" s="53"/>
      <c r="O39" s="53">
        <v>109</v>
      </c>
      <c r="P39" s="53">
        <v>109</v>
      </c>
    </row>
    <row r="40" spans="2:16">
      <c r="B40" s="289"/>
      <c r="C40" s="289"/>
      <c r="D40" s="289"/>
      <c r="F40" s="73" t="s">
        <v>815</v>
      </c>
      <c r="G40" s="51"/>
      <c r="H40" s="51" t="str">
        <f t="shared" si="0"/>
        <v>None</v>
      </c>
      <c r="I40" s="26"/>
      <c r="J40" s="26"/>
      <c r="K40" s="26"/>
      <c r="L40" s="53">
        <f t="shared" si="1"/>
        <v>0</v>
      </c>
      <c r="M40" s="53">
        <f t="shared" si="1"/>
        <v>0</v>
      </c>
      <c r="N40" s="53"/>
      <c r="O40" s="53">
        <v>0</v>
      </c>
      <c r="P40" s="53">
        <v>0</v>
      </c>
    </row>
    <row r="41" spans="2:16">
      <c r="B41" s="289"/>
      <c r="C41" s="289"/>
      <c r="D41" s="289"/>
      <c r="F41" s="73" t="s">
        <v>816</v>
      </c>
      <c r="G41" s="51"/>
      <c r="H41" s="51" t="str">
        <f t="shared" si="0"/>
        <v>Nortel OM1400 (Hub)</v>
      </c>
      <c r="I41" s="26"/>
      <c r="J41" s="26"/>
      <c r="K41" s="26"/>
      <c r="L41" s="53">
        <f t="shared" si="1"/>
        <v>327</v>
      </c>
      <c r="M41" s="53">
        <f t="shared" si="1"/>
        <v>327</v>
      </c>
      <c r="N41" s="53"/>
      <c r="O41" s="53">
        <v>327</v>
      </c>
      <c r="P41" s="53">
        <v>327</v>
      </c>
    </row>
    <row r="42" spans="2:16">
      <c r="B42" s="289"/>
      <c r="C42" s="289"/>
      <c r="D42" s="289"/>
      <c r="F42" s="73" t="s">
        <v>817</v>
      </c>
      <c r="G42" s="51"/>
      <c r="H42" s="51" t="str">
        <f t="shared" si="0"/>
        <v>NSN 1+0 flexihopper</v>
      </c>
      <c r="I42" s="26"/>
      <c r="J42" s="26"/>
      <c r="K42" s="26"/>
      <c r="L42" s="53">
        <f t="shared" si="1"/>
        <v>55</v>
      </c>
      <c r="M42" s="53">
        <f t="shared" si="1"/>
        <v>55</v>
      </c>
      <c r="N42" s="53"/>
      <c r="O42" s="53">
        <v>55</v>
      </c>
      <c r="P42" s="53">
        <v>55</v>
      </c>
    </row>
    <row r="43" spans="2:16">
      <c r="B43" s="289"/>
      <c r="C43" s="289"/>
      <c r="D43" s="289"/>
      <c r="F43" s="73" t="s">
        <v>818</v>
      </c>
      <c r="G43" s="51"/>
      <c r="H43" s="51" t="str">
        <f t="shared" si="0"/>
        <v>NSN 1+1 flexihopper</v>
      </c>
      <c r="I43" s="26"/>
      <c r="J43" s="26"/>
      <c r="K43" s="26"/>
      <c r="L43" s="53">
        <f t="shared" si="1"/>
        <v>109</v>
      </c>
      <c r="M43" s="53">
        <f t="shared" si="1"/>
        <v>109</v>
      </c>
      <c r="N43" s="53"/>
      <c r="O43" s="53">
        <v>109</v>
      </c>
      <c r="P43" s="53">
        <v>109</v>
      </c>
    </row>
    <row r="44" spans="2:16">
      <c r="B44" s="289"/>
      <c r="C44" s="289"/>
      <c r="D44" s="289"/>
      <c r="F44" s="73" t="s">
        <v>819</v>
      </c>
      <c r="G44" s="51"/>
      <c r="H44" s="51" t="str">
        <f t="shared" si="0"/>
        <v>NSN DMR Radio</v>
      </c>
      <c r="I44" s="26"/>
      <c r="J44" s="26"/>
      <c r="K44" s="26"/>
      <c r="L44" s="53">
        <f t="shared" si="1"/>
        <v>55</v>
      </c>
      <c r="M44" s="53">
        <f t="shared" si="1"/>
        <v>55</v>
      </c>
      <c r="N44" s="53"/>
      <c r="O44" s="53">
        <v>55</v>
      </c>
      <c r="P44" s="53">
        <v>55</v>
      </c>
    </row>
    <row r="45" spans="2:16">
      <c r="B45" s="289"/>
      <c r="C45" s="289"/>
      <c r="D45" s="289"/>
      <c r="F45" s="73" t="s">
        <v>820</v>
      </c>
      <c r="G45" s="51"/>
      <c r="H45" s="51" t="str">
        <f t="shared" si="0"/>
        <v>Satellite Gear</v>
      </c>
      <c r="I45" s="26"/>
      <c r="J45" s="26"/>
      <c r="K45" s="26"/>
      <c r="L45" s="53">
        <f t="shared" si="1"/>
        <v>327</v>
      </c>
      <c r="M45" s="53">
        <f t="shared" si="1"/>
        <v>327</v>
      </c>
      <c r="N45" s="53"/>
      <c r="O45" s="53">
        <v>327</v>
      </c>
      <c r="P45" s="53">
        <v>327</v>
      </c>
    </row>
    <row r="46" spans="2:16">
      <c r="B46" s="289"/>
      <c r="C46" s="289"/>
      <c r="D46" s="289"/>
      <c r="F46" s="73" t="s">
        <v>821</v>
      </c>
      <c r="G46" s="51"/>
      <c r="H46" s="51" t="str">
        <f t="shared" si="0"/>
        <v>VR4 1+0</v>
      </c>
      <c r="I46" s="26"/>
      <c r="J46" s="26"/>
      <c r="K46" s="26"/>
      <c r="L46" s="53">
        <f t="shared" si="1"/>
        <v>159.80000000000001</v>
      </c>
      <c r="M46" s="53">
        <f t="shared" si="1"/>
        <v>228.5</v>
      </c>
      <c r="N46" s="53"/>
      <c r="O46" s="53">
        <v>159.80000000000001</v>
      </c>
      <c r="P46" s="53">
        <v>228.5</v>
      </c>
    </row>
    <row r="47" spans="2:16">
      <c r="B47" s="289"/>
      <c r="C47" s="289"/>
      <c r="D47" s="289"/>
      <c r="F47" s="51" t="s">
        <v>382</v>
      </c>
      <c r="G47" s="51"/>
      <c r="H47" s="51" t="str">
        <f t="shared" si="0"/>
        <v>VR4 2+0</v>
      </c>
      <c r="I47" s="26"/>
      <c r="J47" s="26"/>
      <c r="K47" s="26"/>
      <c r="L47" s="53">
        <f t="shared" ref="L47:M66" si="2">O47</f>
        <v>208.4</v>
      </c>
      <c r="M47" s="53">
        <f t="shared" si="2"/>
        <v>299.3</v>
      </c>
      <c r="N47" s="53"/>
      <c r="O47" s="53">
        <v>208.4</v>
      </c>
      <c r="P47" s="53">
        <v>299.3</v>
      </c>
    </row>
    <row r="48" spans="2:16">
      <c r="B48" s="289"/>
      <c r="C48" s="289"/>
      <c r="D48" s="289"/>
      <c r="F48" s="51" t="s">
        <v>822</v>
      </c>
      <c r="G48" s="51"/>
      <c r="H48" s="51" t="str">
        <f t="shared" si="0"/>
        <v>VR10 3+0</v>
      </c>
      <c r="I48" s="26"/>
      <c r="J48" s="26"/>
      <c r="K48" s="26"/>
      <c r="L48" s="53">
        <f t="shared" si="2"/>
        <v>208.6</v>
      </c>
      <c r="M48" s="53">
        <f t="shared" si="2"/>
        <v>270.7</v>
      </c>
      <c r="N48" s="53"/>
      <c r="O48" s="53">
        <v>208.6</v>
      </c>
      <c r="P48" s="53">
        <v>270.7</v>
      </c>
    </row>
    <row r="49" spans="6:16">
      <c r="F49" s="51" t="s">
        <v>823</v>
      </c>
      <c r="G49" s="51"/>
      <c r="H49" s="51" t="str">
        <f t="shared" si="0"/>
        <v>VR10 4+0</v>
      </c>
      <c r="I49" s="26"/>
      <c r="J49" s="26"/>
      <c r="K49" s="26"/>
      <c r="L49" s="53">
        <f t="shared" si="2"/>
        <v>257.2</v>
      </c>
      <c r="M49" s="53">
        <f t="shared" si="2"/>
        <v>341.5</v>
      </c>
      <c r="N49" s="53"/>
      <c r="O49" s="53">
        <v>257.2</v>
      </c>
      <c r="P49" s="53">
        <v>341.5</v>
      </c>
    </row>
    <row r="50" spans="6:16">
      <c r="F50" s="51" t="s">
        <v>824</v>
      </c>
      <c r="G50" s="51"/>
      <c r="H50" s="51" t="str">
        <f t="shared" si="0"/>
        <v>VR10 multi-directions (6 slots used)</v>
      </c>
      <c r="I50" s="26"/>
      <c r="J50" s="26"/>
      <c r="K50" s="26"/>
      <c r="L50" s="53">
        <f t="shared" si="2"/>
        <v>305.8</v>
      </c>
      <c r="M50" s="53">
        <f t="shared" si="2"/>
        <v>412.3</v>
      </c>
      <c r="N50" s="53"/>
      <c r="O50" s="53">
        <v>305.8</v>
      </c>
      <c r="P50" s="53">
        <v>412.3</v>
      </c>
    </row>
    <row r="51" spans="6:16">
      <c r="F51" s="51" t="s">
        <v>825</v>
      </c>
      <c r="G51" s="51"/>
      <c r="H51" s="51" t="str">
        <f t="shared" si="0"/>
        <v>VR10 multi-directions (8 slots used)</v>
      </c>
      <c r="I51" s="26"/>
      <c r="J51" s="26"/>
      <c r="K51" s="26"/>
      <c r="L51" s="53">
        <f t="shared" si="2"/>
        <v>451.6</v>
      </c>
      <c r="M51" s="53">
        <f t="shared" si="2"/>
        <v>624.70000000000005</v>
      </c>
      <c r="N51" s="53"/>
      <c r="O51" s="53">
        <v>451.6</v>
      </c>
      <c r="P51" s="53">
        <v>624.70000000000005</v>
      </c>
    </row>
    <row r="52" spans="6:16">
      <c r="F52" s="51" t="s">
        <v>826</v>
      </c>
      <c r="G52" s="51"/>
      <c r="H52" s="51" t="str">
        <f t="shared" si="0"/>
        <v>EXAD</v>
      </c>
      <c r="I52" s="26"/>
      <c r="J52" s="26"/>
      <c r="K52" s="26"/>
      <c r="L52" s="53">
        <f t="shared" si="2"/>
        <v>170</v>
      </c>
      <c r="M52" s="53">
        <f t="shared" si="2"/>
        <v>170</v>
      </c>
      <c r="N52" s="53"/>
      <c r="O52" s="53">
        <v>170</v>
      </c>
      <c r="P52" s="53">
        <v>170</v>
      </c>
    </row>
    <row r="53" spans="6:16">
      <c r="F53" s="51" t="s">
        <v>827</v>
      </c>
      <c r="G53" s="51"/>
      <c r="H53" s="51" t="str">
        <f t="shared" si="0"/>
        <v>iXA-HC</v>
      </c>
      <c r="I53" s="26"/>
      <c r="J53" s="26"/>
      <c r="K53" s="26"/>
      <c r="L53" s="53">
        <f t="shared" si="2"/>
        <v>65</v>
      </c>
      <c r="M53" s="53">
        <f t="shared" si="2"/>
        <v>165</v>
      </c>
      <c r="N53" s="53"/>
      <c r="O53" s="53">
        <v>65</v>
      </c>
      <c r="P53" s="53">
        <v>165</v>
      </c>
    </row>
    <row r="54" spans="6:16">
      <c r="F54" s="51" t="s">
        <v>828</v>
      </c>
      <c r="G54" s="51"/>
      <c r="H54" s="51" t="str">
        <f t="shared" si="0"/>
        <v>Ceragon IP20N 1+0 (IDU)</v>
      </c>
      <c r="I54" s="26"/>
      <c r="J54" s="26"/>
      <c r="K54" s="26"/>
      <c r="L54" s="53">
        <f t="shared" si="2"/>
        <v>57</v>
      </c>
      <c r="M54" s="53">
        <f t="shared" si="2"/>
        <v>71</v>
      </c>
      <c r="N54" s="53"/>
      <c r="O54" s="53">
        <v>57</v>
      </c>
      <c r="P54" s="53">
        <v>71</v>
      </c>
    </row>
    <row r="55" spans="6:16">
      <c r="F55" s="51" t="s">
        <v>829</v>
      </c>
      <c r="G55" s="51"/>
      <c r="H55" s="51" t="str">
        <f t="shared" si="0"/>
        <v>Ceragon IP20N 2+0 (IDU)</v>
      </c>
      <c r="I55" s="26"/>
      <c r="J55" s="26"/>
      <c r="K55" s="26"/>
      <c r="L55" s="53">
        <f t="shared" si="2"/>
        <v>74</v>
      </c>
      <c r="M55" s="53">
        <f t="shared" si="2"/>
        <v>88</v>
      </c>
      <c r="N55" s="53"/>
      <c r="O55" s="53">
        <v>74</v>
      </c>
      <c r="P55" s="53">
        <v>88</v>
      </c>
    </row>
    <row r="56" spans="6:16">
      <c r="F56" s="51" t="s">
        <v>830</v>
      </c>
      <c r="G56" s="51"/>
      <c r="H56" s="51" t="str">
        <f t="shared" si="0"/>
        <v>Ceragon IP20N 3+0 (IDU)</v>
      </c>
      <c r="I56" s="26"/>
      <c r="J56" s="26"/>
      <c r="K56" s="26"/>
      <c r="L56" s="53">
        <f t="shared" si="2"/>
        <v>91</v>
      </c>
      <c r="M56" s="53">
        <f t="shared" si="2"/>
        <v>113</v>
      </c>
      <c r="N56" s="53"/>
      <c r="O56" s="53">
        <v>91</v>
      </c>
      <c r="P56" s="53">
        <v>113</v>
      </c>
    </row>
    <row r="57" spans="6:16">
      <c r="F57" s="51" t="s">
        <v>831</v>
      </c>
      <c r="G57" s="51"/>
      <c r="H57" s="51" t="str">
        <f t="shared" si="0"/>
        <v>Ceragon IP20N 4+0 (IDU)</v>
      </c>
      <c r="I57" s="26"/>
      <c r="J57" s="26"/>
      <c r="K57" s="26"/>
      <c r="L57" s="53">
        <f t="shared" si="2"/>
        <v>108</v>
      </c>
      <c r="M57" s="53">
        <f t="shared" si="2"/>
        <v>138</v>
      </c>
      <c r="N57" s="53"/>
      <c r="O57" s="53">
        <v>108</v>
      </c>
      <c r="P57" s="53">
        <v>138</v>
      </c>
    </row>
    <row r="58" spans="6:16">
      <c r="F58" s="51" t="s">
        <v>832</v>
      </c>
      <c r="G58" s="51"/>
      <c r="H58" s="51" t="str">
        <f t="shared" si="0"/>
        <v>Ceragon IP20N 5+0 (IDU)</v>
      </c>
      <c r="I58" s="26"/>
      <c r="J58" s="26"/>
      <c r="K58" s="26"/>
      <c r="L58" s="53">
        <f t="shared" si="2"/>
        <v>125</v>
      </c>
      <c r="M58" s="53">
        <f t="shared" si="2"/>
        <v>163</v>
      </c>
      <c r="N58" s="53"/>
      <c r="O58" s="53">
        <v>125</v>
      </c>
      <c r="P58" s="53">
        <v>163</v>
      </c>
    </row>
    <row r="59" spans="6:16">
      <c r="F59" s="51" t="s">
        <v>833</v>
      </c>
      <c r="G59" s="51"/>
      <c r="H59" s="51" t="str">
        <f t="shared" si="0"/>
        <v>Ceragon IP20N 6+0 (IDU)</v>
      </c>
      <c r="I59" s="26"/>
      <c r="J59" s="26"/>
      <c r="K59" s="26"/>
      <c r="L59" s="53">
        <f t="shared" si="2"/>
        <v>142</v>
      </c>
      <c r="M59" s="53">
        <f t="shared" si="2"/>
        <v>188</v>
      </c>
      <c r="N59" s="53"/>
      <c r="O59" s="53">
        <v>142</v>
      </c>
      <c r="P59" s="53">
        <v>188</v>
      </c>
    </row>
    <row r="60" spans="6:16">
      <c r="F60" s="51" t="s">
        <v>834</v>
      </c>
      <c r="G60" s="51"/>
      <c r="H60" s="51" t="str">
        <f t="shared" si="0"/>
        <v>Ceragon RFU-C (ODU)</v>
      </c>
      <c r="I60" s="26"/>
      <c r="J60" s="26"/>
      <c r="K60" s="26"/>
      <c r="L60" s="53">
        <f t="shared" si="2"/>
        <v>22</v>
      </c>
      <c r="M60" s="53">
        <f t="shared" si="2"/>
        <v>22</v>
      </c>
      <c r="N60" s="53"/>
      <c r="O60" s="53">
        <v>22</v>
      </c>
      <c r="P60" s="53">
        <v>22</v>
      </c>
    </row>
    <row r="61" spans="6:16">
      <c r="F61" s="51" t="s">
        <v>835</v>
      </c>
      <c r="G61" s="51"/>
      <c r="H61" s="51" t="str">
        <f t="shared" si="0"/>
        <v>Ceragon RFU-HP (ODU)</v>
      </c>
      <c r="I61" s="26"/>
      <c r="J61" s="26"/>
      <c r="K61" s="26"/>
      <c r="L61" s="53">
        <f t="shared" si="2"/>
        <v>48</v>
      </c>
      <c r="M61" s="53">
        <f t="shared" si="2"/>
        <v>73</v>
      </c>
      <c r="N61" s="53"/>
      <c r="O61" s="53">
        <v>48</v>
      </c>
      <c r="P61" s="53">
        <v>73</v>
      </c>
    </row>
    <row r="62" spans="6:16">
      <c r="F62" s="51" t="s">
        <v>836</v>
      </c>
      <c r="G62" s="51"/>
      <c r="H62" s="51" t="str">
        <f t="shared" si="0"/>
        <v>Ceragon RFU-D (ODU)</v>
      </c>
      <c r="I62" s="26"/>
      <c r="J62" s="26"/>
      <c r="K62" s="26"/>
      <c r="L62" s="53">
        <f t="shared" si="2"/>
        <v>65</v>
      </c>
      <c r="M62" s="53">
        <f t="shared" si="2"/>
        <v>65</v>
      </c>
      <c r="N62" s="53"/>
      <c r="O62" s="53">
        <v>65</v>
      </c>
      <c r="P62" s="53">
        <v>65</v>
      </c>
    </row>
    <row r="63" spans="6:16">
      <c r="F63" s="51" t="s">
        <v>837</v>
      </c>
      <c r="G63" s="51"/>
      <c r="H63" s="51" t="str">
        <f t="shared" si="0"/>
        <v>Ceragon RFU-D-HP (ODU)</v>
      </c>
      <c r="I63" s="26"/>
      <c r="J63" s="26"/>
      <c r="K63" s="26"/>
      <c r="L63" s="53">
        <f t="shared" si="2"/>
        <v>130</v>
      </c>
      <c r="M63" s="53">
        <f t="shared" si="2"/>
        <v>130</v>
      </c>
      <c r="N63" s="53"/>
      <c r="O63" s="53">
        <v>130</v>
      </c>
      <c r="P63" s="53">
        <v>130</v>
      </c>
    </row>
    <row r="64" spans="6:16">
      <c r="F64" s="51" t="s">
        <v>838</v>
      </c>
      <c r="G64" s="51"/>
      <c r="H64" s="51" t="str">
        <f t="shared" si="0"/>
        <v>Ceragon IP-50E (all outdoor)</v>
      </c>
      <c r="I64" s="26"/>
      <c r="J64" s="26"/>
      <c r="K64" s="26"/>
      <c r="L64" s="53">
        <f t="shared" si="2"/>
        <v>70</v>
      </c>
      <c r="M64" s="53">
        <f t="shared" si="2"/>
        <v>70</v>
      </c>
      <c r="N64" s="53"/>
      <c r="O64" s="53">
        <v>70</v>
      </c>
      <c r="P64" s="53">
        <v>70</v>
      </c>
    </row>
    <row r="65" spans="6:16">
      <c r="F65" s="51" t="s">
        <v>839</v>
      </c>
      <c r="G65" s="51"/>
      <c r="H65" s="51" t="str">
        <f t="shared" si="0"/>
        <v>Ceragon IP-20C-HP (all outdoor)</v>
      </c>
      <c r="I65" s="26"/>
      <c r="J65" s="26"/>
      <c r="K65" s="26"/>
      <c r="L65" s="53">
        <f t="shared" si="2"/>
        <v>135</v>
      </c>
      <c r="M65" s="53">
        <f t="shared" si="2"/>
        <v>135</v>
      </c>
      <c r="N65" s="53"/>
      <c r="O65" s="53">
        <v>135</v>
      </c>
      <c r="P65" s="53">
        <v>135</v>
      </c>
    </row>
    <row r="66" spans="6:16">
      <c r="F66" s="49" t="s">
        <v>384</v>
      </c>
      <c r="G66" s="26"/>
      <c r="H66" s="49" t="str">
        <f t="shared" si="0"/>
        <v>Nokia 7250 IXR-e</v>
      </c>
      <c r="I66" s="26"/>
      <c r="J66" s="26"/>
      <c r="K66" s="26"/>
      <c r="L66" s="26">
        <f t="shared" si="2"/>
        <v>72</v>
      </c>
      <c r="M66" s="26">
        <f t="shared" si="2"/>
        <v>72</v>
      </c>
      <c r="N66" s="26"/>
      <c r="O66" s="26">
        <v>72</v>
      </c>
      <c r="P66" s="26">
        <v>72</v>
      </c>
    </row>
    <row r="67" spans="6:16"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6:16"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6:16"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6:16"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6:16"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6:16"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6:16"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6:16"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6:16"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6:16"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6:16"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6:16"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6:16"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6:16"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6:16"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6:16"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6:16"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6:16"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6:16"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6:16"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6:16"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6:16"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6:16"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6:16"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6:16"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6:16"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6:16"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6:16"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6:16"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6:16"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6:16"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6:16"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6:16"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6:16"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6:16"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6:16"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6:16"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6:16"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6:16"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6:16"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6:16"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autoFilter ref="O8:P25" xr:uid="{8A99AE04-D7AF-421B-BFFE-D62553B09ED6}">
    <filterColumn colId="1">
      <filters>
        <filter val="1090"/>
        <filter val="613"/>
        <filter val="668"/>
        <filter val="899"/>
      </filters>
    </filterColumn>
  </autoFilter>
  <mergeCells count="35">
    <mergeCell ref="B44:D44"/>
    <mergeCell ref="B45:D45"/>
    <mergeCell ref="B46:D46"/>
    <mergeCell ref="B47:D47"/>
    <mergeCell ref="B48:D48"/>
    <mergeCell ref="B29:D29"/>
    <mergeCell ref="B30:D30"/>
    <mergeCell ref="B43:D43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B41:D41"/>
    <mergeCell ref="B42:D42"/>
    <mergeCell ref="B31:D31"/>
    <mergeCell ref="F2:N4"/>
    <mergeCell ref="F8:F9"/>
    <mergeCell ref="G8:G9"/>
    <mergeCell ref="H8:H9"/>
    <mergeCell ref="I8:I9"/>
    <mergeCell ref="J8:J9"/>
    <mergeCell ref="K8:K9"/>
    <mergeCell ref="L8:L9"/>
    <mergeCell ref="M8:M9"/>
    <mergeCell ref="N8:N9"/>
    <mergeCell ref="B26:D26"/>
    <mergeCell ref="B27:D27"/>
    <mergeCell ref="B28:D28"/>
    <mergeCell ref="O8:O9"/>
    <mergeCell ref="P8:P9"/>
  </mergeCells>
  <hyperlinks>
    <hyperlink ref="B10" location="'DASH'!A1" display="DASHBOARD" xr:uid="{8E60F62B-7CFB-4142-AC1B-CBECEC61CE86}"/>
    <hyperlink ref="B11" location="'DES-GL'!A1" display="DESIGN GUIDELINES" xr:uid="{D9C90C33-D834-4843-8582-079292AA24B9}"/>
    <hyperlink ref="B13" location="'EXT-MAINS-DT'!A1" display="EXISTING POWER DESIGN" xr:uid="{A405F187-3D4F-40DE-8598-2550CD5EFBA3}"/>
    <hyperlink ref="B14" location="'EXT-CALC'!A1" display="EXISTING DEMAND" xr:uid="{D03A9866-7409-46DF-BCE2-025E4D055E69}"/>
    <hyperlink ref="B16" location="'CALC'!A1" display="POWER CALCULATOR" xr:uid="{85D1AB0F-7062-49D8-86B1-6EB9BEC7F9C2}"/>
    <hyperlink ref="B17" location="'PLBC-CALC'!A1" display="PLBC CALCULATOR" xr:uid="{D5DAA9DD-8893-4CF1-B486-1F6C11BC6F55}"/>
    <hyperlink ref="B18" location="'VDC'!A1" display="VD CALCULATOR" xr:uid="{6993A539-31EB-4921-9249-054A867F782D}"/>
    <hyperlink ref="B20" location="'PRP-SOL'!A1" display="PROPOSED POWER DESIGN" xr:uid="{012A0366-09A2-4DD5-83DA-ED8BCCBC2D1C}"/>
    <hyperlink ref="B25" location="'DC'!A1" display="DOCUMENT CONTROL" xr:uid="{1D2A36FC-9422-4736-B0F3-65CE9B59DA85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A1C6-565D-4C52-880B-2CD14DDE385C}">
  <sheetPr codeName="Sheet25"/>
  <dimension ref="B1:P48"/>
  <sheetViews>
    <sheetView showGridLines="0" topLeftCell="B2" workbookViewId="0">
      <selection activeCell="F30" sqref="F30:P30"/>
    </sheetView>
  </sheetViews>
  <sheetFormatPr defaultRowHeight="14.45"/>
  <cols>
    <col min="1" max="1" width="0" hidden="1" customWidth="1"/>
    <col min="2" max="4" width="9.28515625" style="1"/>
    <col min="6" max="6" width="19.5703125" customWidth="1"/>
    <col min="7" max="7" width="15" customWidth="1"/>
    <col min="8" max="8" width="19" customWidth="1"/>
    <col min="9" max="9" width="9.28515625" customWidth="1"/>
    <col min="10" max="10" width="14.7109375" style="17" customWidth="1"/>
    <col min="11" max="11" width="8.7109375" style="17" customWidth="1"/>
    <col min="12" max="12" width="15.28515625" customWidth="1"/>
    <col min="13" max="13" width="13.5703125" customWidth="1"/>
    <col min="14" max="14" width="13.7109375" customWidth="1"/>
    <col min="15" max="15" width="16" customWidth="1"/>
    <col min="16" max="16" width="21" customWidth="1"/>
    <col min="17" max="17" width="15.28515625" customWidth="1"/>
    <col min="18" max="18" width="20.28515625" customWidth="1"/>
    <col min="19" max="19" width="20.7109375" customWidth="1"/>
    <col min="20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571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572</v>
      </c>
    </row>
    <row r="7" spans="2:16">
      <c r="C7" s="2" t="s">
        <v>152</v>
      </c>
      <c r="D7" s="12">
        <f>DCVer</f>
        <v>12.7</v>
      </c>
    </row>
    <row r="8" spans="2:16" ht="15" customHeight="1">
      <c r="F8" s="69"/>
      <c r="G8" s="69"/>
      <c r="H8" s="69"/>
      <c r="I8" s="70"/>
      <c r="J8" s="53"/>
      <c r="K8" s="53"/>
      <c r="L8" s="70"/>
      <c r="M8" s="70"/>
      <c r="N8" s="70"/>
      <c r="O8" s="70"/>
      <c r="P8" s="53"/>
    </row>
    <row r="9" spans="2:16" ht="27.6">
      <c r="B9" s="18"/>
      <c r="C9" s="18"/>
      <c r="D9" s="18"/>
      <c r="F9" s="51" t="s">
        <v>555</v>
      </c>
      <c r="G9" s="51" t="s">
        <v>778</v>
      </c>
      <c r="H9" s="51" t="s">
        <v>779</v>
      </c>
      <c r="I9" s="51" t="s">
        <v>780</v>
      </c>
      <c r="J9" s="51" t="s">
        <v>781</v>
      </c>
      <c r="K9" s="51" t="s">
        <v>840</v>
      </c>
      <c r="L9" s="59" t="s">
        <v>841</v>
      </c>
      <c r="M9" s="59" t="s">
        <v>842</v>
      </c>
      <c r="N9" s="59" t="s">
        <v>843</v>
      </c>
      <c r="O9" s="53" t="s">
        <v>844</v>
      </c>
      <c r="P9" s="53" t="s">
        <v>845</v>
      </c>
    </row>
    <row r="10" spans="2:16">
      <c r="B10" s="18" t="s">
        <v>151</v>
      </c>
      <c r="C10" s="18"/>
      <c r="D10" s="18"/>
      <c r="F10" s="50" t="s">
        <v>846</v>
      </c>
      <c r="G10" s="51"/>
      <c r="H10" s="51" t="s">
        <v>334</v>
      </c>
      <c r="I10" s="53"/>
      <c r="J10" s="53"/>
      <c r="K10" s="59"/>
      <c r="L10" s="50">
        <v>0</v>
      </c>
      <c r="M10" s="50">
        <v>0</v>
      </c>
      <c r="N10" s="50">
        <v>0</v>
      </c>
      <c r="O10" s="50">
        <v>0</v>
      </c>
      <c r="P10" s="53"/>
    </row>
    <row r="11" spans="2:16">
      <c r="B11" s="18" t="s">
        <v>155</v>
      </c>
      <c r="C11" s="18"/>
      <c r="D11" s="18"/>
      <c r="F11" s="51" t="s">
        <v>404</v>
      </c>
      <c r="G11" s="69"/>
      <c r="H11" s="51" t="s">
        <v>404</v>
      </c>
      <c r="I11" s="53" t="s">
        <v>847</v>
      </c>
      <c r="J11" s="53" t="s">
        <v>848</v>
      </c>
      <c r="K11" s="53">
        <v>100</v>
      </c>
      <c r="L11" s="51">
        <v>10</v>
      </c>
      <c r="M11" s="51">
        <v>5</v>
      </c>
      <c r="N11" s="51">
        <v>100</v>
      </c>
      <c r="O11" s="51">
        <v>0.95</v>
      </c>
      <c r="P11" s="53"/>
    </row>
    <row r="12" spans="2:16">
      <c r="B12" s="18"/>
      <c r="C12" s="18"/>
      <c r="D12" s="18"/>
      <c r="F12" s="51" t="s">
        <v>849</v>
      </c>
      <c r="G12" s="69"/>
      <c r="H12" s="51" t="s">
        <v>849</v>
      </c>
      <c r="I12" s="53" t="s">
        <v>847</v>
      </c>
      <c r="J12" s="53" t="s">
        <v>848</v>
      </c>
      <c r="K12" s="53">
        <v>150</v>
      </c>
      <c r="L12" s="51">
        <v>15</v>
      </c>
      <c r="M12" s="51">
        <v>5</v>
      </c>
      <c r="N12" s="51">
        <v>100</v>
      </c>
      <c r="O12" s="51">
        <v>0.95</v>
      </c>
      <c r="P12" s="53"/>
    </row>
    <row r="13" spans="2:16">
      <c r="B13" s="18" t="s">
        <v>159</v>
      </c>
      <c r="C13" s="18"/>
      <c r="D13" s="18"/>
      <c r="F13" s="51" t="s">
        <v>850</v>
      </c>
      <c r="G13" s="69"/>
      <c r="H13" s="51" t="s">
        <v>850</v>
      </c>
      <c r="I13" s="53" t="s">
        <v>847</v>
      </c>
      <c r="J13" s="53" t="s">
        <v>851</v>
      </c>
      <c r="K13" s="53">
        <v>150</v>
      </c>
      <c r="L13" s="51">
        <v>10</v>
      </c>
      <c r="M13" s="51">
        <v>5</v>
      </c>
      <c r="N13" s="51">
        <v>10</v>
      </c>
      <c r="O13" s="51">
        <v>0.95</v>
      </c>
      <c r="P13" s="70"/>
    </row>
    <row r="14" spans="2:16">
      <c r="B14" s="18" t="s">
        <v>162</v>
      </c>
      <c r="C14" s="18"/>
      <c r="D14" s="18"/>
      <c r="F14" s="73" t="s">
        <v>405</v>
      </c>
      <c r="G14" s="69"/>
      <c r="H14" s="73" t="s">
        <v>405</v>
      </c>
      <c r="I14" s="53" t="s">
        <v>852</v>
      </c>
      <c r="J14" s="53" t="s">
        <v>848</v>
      </c>
      <c r="K14" s="53">
        <v>100</v>
      </c>
      <c r="L14" s="50">
        <v>10</v>
      </c>
      <c r="M14" s="50">
        <v>5</v>
      </c>
      <c r="N14" s="50">
        <v>10</v>
      </c>
      <c r="O14" s="50">
        <v>0.8</v>
      </c>
      <c r="P14" s="70"/>
    </row>
    <row r="15" spans="2:16">
      <c r="B15" s="18"/>
      <c r="C15" s="18"/>
      <c r="D15" s="18"/>
      <c r="F15" s="73" t="s">
        <v>853</v>
      </c>
      <c r="G15" s="51"/>
      <c r="H15" s="73" t="s">
        <v>853</v>
      </c>
      <c r="I15" s="53" t="s">
        <v>852</v>
      </c>
      <c r="J15" s="53" t="s">
        <v>848</v>
      </c>
      <c r="K15" s="53">
        <v>100</v>
      </c>
      <c r="L15" s="50">
        <v>10</v>
      </c>
      <c r="M15" s="50">
        <v>5</v>
      </c>
      <c r="N15" s="50">
        <v>10</v>
      </c>
      <c r="O15" s="50">
        <v>0.8</v>
      </c>
      <c r="P15" s="53"/>
    </row>
    <row r="16" spans="2:16">
      <c r="B16" s="18" t="s">
        <v>167</v>
      </c>
      <c r="C16" s="18"/>
      <c r="D16" s="18"/>
      <c r="F16" s="73" t="s">
        <v>854</v>
      </c>
      <c r="G16" s="69"/>
      <c r="H16" s="73" t="s">
        <v>854</v>
      </c>
      <c r="I16" s="53" t="s">
        <v>852</v>
      </c>
      <c r="J16" s="53" t="s">
        <v>848</v>
      </c>
      <c r="K16" s="53">
        <v>190</v>
      </c>
      <c r="L16" s="50">
        <v>19</v>
      </c>
      <c r="M16" s="50">
        <v>10</v>
      </c>
      <c r="N16" s="50">
        <v>19</v>
      </c>
      <c r="O16" s="50">
        <v>0.8</v>
      </c>
      <c r="P16" s="70"/>
    </row>
    <row r="17" spans="2:16">
      <c r="B17" s="18" t="s">
        <v>170</v>
      </c>
      <c r="C17" s="18"/>
      <c r="D17" s="18"/>
      <c r="F17" s="73" t="s">
        <v>855</v>
      </c>
      <c r="G17" s="51"/>
      <c r="H17" s="73" t="s">
        <v>855</v>
      </c>
      <c r="I17" s="53" t="s">
        <v>852</v>
      </c>
      <c r="J17" s="53" t="s">
        <v>848</v>
      </c>
      <c r="K17" s="53">
        <v>100</v>
      </c>
      <c r="L17" s="50">
        <v>10</v>
      </c>
      <c r="M17" s="50">
        <v>5</v>
      </c>
      <c r="N17" s="50">
        <v>10</v>
      </c>
      <c r="O17" s="50">
        <v>0.8</v>
      </c>
      <c r="P17" s="70"/>
    </row>
    <row r="18" spans="2:16">
      <c r="B18" s="18" t="s">
        <v>173</v>
      </c>
      <c r="C18" s="18"/>
      <c r="D18" s="18"/>
      <c r="F18" s="73" t="s">
        <v>856</v>
      </c>
      <c r="G18" s="51"/>
      <c r="H18" s="73" t="s">
        <v>856</v>
      </c>
      <c r="I18" s="53" t="s">
        <v>852</v>
      </c>
      <c r="J18" s="53" t="s">
        <v>848</v>
      </c>
      <c r="K18" s="53">
        <v>210</v>
      </c>
      <c r="L18" s="50">
        <v>21</v>
      </c>
      <c r="M18" s="50">
        <v>10</v>
      </c>
      <c r="N18" s="50">
        <v>21</v>
      </c>
      <c r="O18" s="50">
        <v>0.8</v>
      </c>
      <c r="P18" s="26"/>
    </row>
    <row r="19" spans="2:16">
      <c r="B19" s="18"/>
      <c r="C19" s="18"/>
      <c r="D19" s="18"/>
      <c r="F19" s="73" t="s">
        <v>857</v>
      </c>
      <c r="G19" s="51"/>
      <c r="H19" s="73" t="s">
        <v>857</v>
      </c>
      <c r="I19" s="53" t="s">
        <v>852</v>
      </c>
      <c r="J19" s="53" t="s">
        <v>848</v>
      </c>
      <c r="K19" s="53">
        <v>100</v>
      </c>
      <c r="L19" s="50">
        <v>10</v>
      </c>
      <c r="M19" s="50">
        <v>5</v>
      </c>
      <c r="N19" s="50">
        <v>10</v>
      </c>
      <c r="O19" s="50">
        <v>0.8</v>
      </c>
      <c r="P19" s="53"/>
    </row>
    <row r="20" spans="2:16">
      <c r="B20" s="18" t="s">
        <v>176</v>
      </c>
      <c r="C20" s="18"/>
      <c r="D20" s="18"/>
      <c r="F20" s="73" t="s">
        <v>858</v>
      </c>
      <c r="G20" s="51"/>
      <c r="H20" s="73" t="s">
        <v>858</v>
      </c>
      <c r="I20" s="53" t="s">
        <v>852</v>
      </c>
      <c r="J20" s="53" t="s">
        <v>848</v>
      </c>
      <c r="K20" s="53">
        <v>190</v>
      </c>
      <c r="L20" s="50">
        <v>19</v>
      </c>
      <c r="M20" s="50">
        <v>10</v>
      </c>
      <c r="N20" s="50">
        <v>19</v>
      </c>
      <c r="O20" s="50">
        <v>0.8</v>
      </c>
      <c r="P20" s="53"/>
    </row>
    <row r="21" spans="2:16">
      <c r="B21" s="18"/>
      <c r="C21" s="18"/>
      <c r="D21" s="18"/>
      <c r="F21" s="73" t="s">
        <v>859</v>
      </c>
      <c r="G21" s="51"/>
      <c r="H21" s="73" t="s">
        <v>859</v>
      </c>
      <c r="I21" s="53" t="s">
        <v>852</v>
      </c>
      <c r="J21" s="53" t="s">
        <v>860</v>
      </c>
      <c r="K21" s="53">
        <v>100</v>
      </c>
      <c r="L21" s="50">
        <v>10</v>
      </c>
      <c r="M21" s="50">
        <v>5</v>
      </c>
      <c r="N21" s="50">
        <v>10</v>
      </c>
      <c r="O21" s="50">
        <v>0.8</v>
      </c>
      <c r="P21" s="53"/>
    </row>
    <row r="22" spans="2:16">
      <c r="B22" s="18"/>
      <c r="C22" s="18"/>
      <c r="D22" s="18"/>
      <c r="F22" s="73" t="s">
        <v>861</v>
      </c>
      <c r="G22" s="69"/>
      <c r="H22" s="73" t="s">
        <v>861</v>
      </c>
      <c r="I22" s="53" t="s">
        <v>862</v>
      </c>
      <c r="J22" s="53" t="s">
        <v>863</v>
      </c>
      <c r="K22" s="53">
        <v>200</v>
      </c>
      <c r="L22" s="50">
        <v>40</v>
      </c>
      <c r="M22" s="50">
        <v>20</v>
      </c>
      <c r="N22" s="50">
        <v>50</v>
      </c>
      <c r="O22" s="50">
        <v>0.95</v>
      </c>
      <c r="P22" s="53"/>
    </row>
    <row r="23" spans="2:16">
      <c r="B23" s="18"/>
      <c r="C23" s="18"/>
      <c r="D23" s="18"/>
      <c r="F23" s="26" t="s">
        <v>864</v>
      </c>
      <c r="G23" s="26"/>
      <c r="H23" s="26" t="s">
        <v>864</v>
      </c>
      <c r="I23" s="53" t="s">
        <v>847</v>
      </c>
      <c r="J23" s="49" t="s">
        <v>865</v>
      </c>
      <c r="K23" s="49">
        <v>200</v>
      </c>
      <c r="L23" s="26">
        <v>10</v>
      </c>
      <c r="M23" s="26">
        <v>10</v>
      </c>
      <c r="N23" s="26">
        <v>10</v>
      </c>
      <c r="O23" s="26">
        <v>0.95</v>
      </c>
      <c r="P23" s="26"/>
    </row>
    <row r="24" spans="2:16">
      <c r="B24" s="18"/>
      <c r="C24" s="18"/>
      <c r="D24" s="18"/>
      <c r="F24" s="26"/>
      <c r="G24" s="26"/>
      <c r="H24" s="26"/>
      <c r="I24" s="26"/>
      <c r="J24" s="49"/>
      <c r="K24" s="49"/>
      <c r="L24" s="26"/>
      <c r="M24" s="26"/>
      <c r="N24" s="26"/>
      <c r="O24" s="26"/>
      <c r="P24" s="26"/>
    </row>
    <row r="25" spans="2:16">
      <c r="B25" s="18" t="s">
        <v>182</v>
      </c>
      <c r="C25" s="18"/>
      <c r="D25" s="18"/>
      <c r="F25" s="26"/>
      <c r="G25" s="26"/>
      <c r="H25" s="26"/>
      <c r="I25" s="26"/>
      <c r="J25" s="49"/>
      <c r="K25" s="49"/>
      <c r="L25" s="26"/>
      <c r="M25" s="26"/>
      <c r="N25" s="26"/>
      <c r="O25" s="26"/>
      <c r="P25" s="26"/>
    </row>
    <row r="26" spans="2:16">
      <c r="B26" s="285"/>
      <c r="C26" s="285"/>
      <c r="D26" s="285"/>
      <c r="F26" s="26"/>
      <c r="G26" s="26"/>
      <c r="H26" s="26"/>
      <c r="I26" s="26"/>
      <c r="J26" s="49"/>
      <c r="K26" s="49"/>
      <c r="L26" s="26"/>
      <c r="M26" s="26"/>
      <c r="N26" s="26"/>
      <c r="O26" s="26"/>
      <c r="P26" s="26"/>
    </row>
    <row r="27" spans="2:16">
      <c r="B27" s="285"/>
      <c r="C27" s="285"/>
      <c r="D27" s="285"/>
      <c r="F27" s="26"/>
      <c r="G27" s="26"/>
      <c r="H27" s="26"/>
      <c r="I27" s="26"/>
      <c r="J27" s="49"/>
      <c r="K27" s="49"/>
      <c r="L27" s="26"/>
      <c r="M27" s="26"/>
      <c r="N27" s="26"/>
      <c r="O27" s="26"/>
      <c r="P27" s="26"/>
    </row>
    <row r="28" spans="2:16">
      <c r="B28" s="293"/>
      <c r="C28" s="293"/>
      <c r="D28" s="293"/>
      <c r="F28" s="26"/>
      <c r="G28" s="26"/>
      <c r="H28" s="26"/>
      <c r="I28" s="26"/>
      <c r="J28" s="49"/>
      <c r="K28" s="49"/>
      <c r="L28" s="26"/>
      <c r="M28" s="26"/>
      <c r="N28" s="26"/>
      <c r="O28" s="26"/>
      <c r="P28" s="26"/>
    </row>
    <row r="29" spans="2:16">
      <c r="B29" s="293"/>
      <c r="C29" s="293"/>
      <c r="D29" s="293"/>
      <c r="F29" s="26"/>
      <c r="G29" s="26"/>
      <c r="H29" s="26"/>
      <c r="I29" s="26"/>
      <c r="J29" s="49"/>
      <c r="K29" s="49"/>
      <c r="L29" s="26"/>
      <c r="M29" s="26"/>
      <c r="N29" s="26"/>
      <c r="O29" s="26"/>
      <c r="P29" s="26"/>
    </row>
    <row r="30" spans="2:16">
      <c r="B30" s="293"/>
      <c r="C30" s="293"/>
      <c r="D30" s="293"/>
      <c r="F30" s="26"/>
      <c r="G30" s="26"/>
      <c r="H30" s="26"/>
      <c r="I30" s="26"/>
      <c r="J30" s="49"/>
      <c r="K30" s="49"/>
      <c r="L30" s="26"/>
      <c r="M30" s="26"/>
      <c r="N30" s="26"/>
      <c r="O30" s="26"/>
      <c r="P30" s="26"/>
    </row>
    <row r="31" spans="2:16">
      <c r="B31" s="293"/>
      <c r="C31" s="293"/>
      <c r="D31" s="293"/>
      <c r="F31" s="26"/>
      <c r="G31" s="26"/>
      <c r="H31" s="26"/>
      <c r="I31" s="26"/>
      <c r="J31" s="49"/>
      <c r="K31" s="49"/>
      <c r="L31" s="26"/>
      <c r="M31" s="26"/>
      <c r="N31" s="26"/>
      <c r="O31" s="26"/>
      <c r="P31" s="26"/>
    </row>
    <row r="32" spans="2:16">
      <c r="B32" s="289"/>
      <c r="C32" s="289"/>
      <c r="D32" s="289"/>
      <c r="F32" s="26"/>
      <c r="G32" s="26"/>
      <c r="H32" s="26"/>
      <c r="I32" s="26"/>
      <c r="J32" s="49"/>
      <c r="K32" s="49"/>
      <c r="L32" s="26"/>
      <c r="M32" s="26"/>
      <c r="N32" s="26"/>
      <c r="O32" s="26"/>
      <c r="P32" s="26"/>
    </row>
    <row r="33" spans="2:16">
      <c r="B33" s="289"/>
      <c r="C33" s="289"/>
      <c r="D33" s="289"/>
      <c r="F33" s="26"/>
      <c r="G33" s="26"/>
      <c r="H33" s="26"/>
      <c r="I33" s="26"/>
      <c r="J33" s="49"/>
      <c r="K33" s="49"/>
      <c r="L33" s="26"/>
      <c r="M33" s="26"/>
      <c r="N33" s="26"/>
      <c r="O33" s="26"/>
      <c r="P33" s="26"/>
    </row>
    <row r="34" spans="2:16">
      <c r="B34" s="289"/>
      <c r="C34" s="289"/>
      <c r="D34" s="289"/>
      <c r="F34" s="26"/>
      <c r="G34" s="26"/>
      <c r="H34" s="26"/>
      <c r="I34" s="26"/>
      <c r="J34" s="49"/>
      <c r="K34" s="49"/>
      <c r="L34" s="26"/>
      <c r="M34" s="26"/>
      <c r="N34" s="26"/>
      <c r="O34" s="26"/>
      <c r="P34" s="26"/>
    </row>
    <row r="35" spans="2:16">
      <c r="B35" s="289"/>
      <c r="C35" s="289"/>
      <c r="D35" s="289"/>
      <c r="F35" s="26"/>
      <c r="G35" s="26"/>
      <c r="H35" s="26"/>
      <c r="I35" s="26"/>
      <c r="J35" s="49"/>
      <c r="K35" s="49"/>
      <c r="L35" s="26"/>
      <c r="M35" s="26"/>
      <c r="N35" s="26"/>
      <c r="O35" s="26"/>
      <c r="P35" s="26"/>
    </row>
    <row r="36" spans="2:16">
      <c r="B36" s="289"/>
      <c r="C36" s="289"/>
      <c r="D36" s="289"/>
      <c r="F36" s="26"/>
      <c r="G36" s="26"/>
      <c r="H36" s="26"/>
      <c r="I36" s="26"/>
      <c r="J36" s="49"/>
      <c r="K36" s="49"/>
      <c r="L36" s="26"/>
      <c r="M36" s="26"/>
      <c r="N36" s="26"/>
      <c r="O36" s="26"/>
      <c r="P36" s="26"/>
    </row>
    <row r="37" spans="2:16">
      <c r="B37" s="289"/>
      <c r="C37" s="289"/>
      <c r="D37" s="289"/>
      <c r="F37" s="26"/>
      <c r="G37" s="26"/>
      <c r="H37" s="26"/>
      <c r="I37" s="26"/>
      <c r="J37" s="49"/>
      <c r="K37" s="49"/>
      <c r="L37" s="26"/>
      <c r="M37" s="26"/>
      <c r="N37" s="26"/>
      <c r="O37" s="26"/>
      <c r="P37" s="26"/>
    </row>
    <row r="38" spans="2:16">
      <c r="B38" s="289"/>
      <c r="C38" s="289"/>
      <c r="D38" s="289"/>
      <c r="F38" s="26"/>
      <c r="G38" s="26"/>
      <c r="H38" s="26"/>
      <c r="I38" s="26"/>
      <c r="J38" s="49"/>
      <c r="K38" s="49"/>
      <c r="L38" s="26"/>
      <c r="M38" s="26"/>
      <c r="N38" s="26"/>
      <c r="O38" s="26"/>
      <c r="P38" s="26"/>
    </row>
    <row r="39" spans="2:16">
      <c r="B39" s="289"/>
      <c r="C39" s="289"/>
      <c r="D39" s="289"/>
      <c r="F39" s="26"/>
      <c r="G39" s="26"/>
      <c r="H39" s="26"/>
      <c r="I39" s="26"/>
      <c r="J39" s="49"/>
      <c r="K39" s="49"/>
      <c r="L39" s="26"/>
      <c r="M39" s="26"/>
      <c r="N39" s="26"/>
      <c r="O39" s="26"/>
      <c r="P39" s="26"/>
    </row>
    <row r="40" spans="2:16">
      <c r="B40" s="289"/>
      <c r="C40" s="289"/>
      <c r="D40" s="289"/>
      <c r="F40" s="26"/>
      <c r="G40" s="26"/>
      <c r="H40" s="26"/>
      <c r="I40" s="26"/>
      <c r="J40" s="49"/>
      <c r="K40" s="49"/>
      <c r="L40" s="26"/>
      <c r="M40" s="26"/>
      <c r="N40" s="26"/>
      <c r="O40" s="26"/>
      <c r="P40" s="26"/>
    </row>
    <row r="41" spans="2:16">
      <c r="B41" s="289"/>
      <c r="C41" s="289"/>
      <c r="D41" s="289"/>
      <c r="F41" s="26"/>
      <c r="G41" s="26"/>
      <c r="H41" s="26"/>
      <c r="I41" s="26"/>
      <c r="J41" s="49"/>
      <c r="K41" s="49"/>
      <c r="L41" s="26"/>
      <c r="M41" s="26"/>
      <c r="N41" s="26"/>
      <c r="O41" s="26"/>
      <c r="P41" s="26"/>
    </row>
    <row r="42" spans="2:16">
      <c r="B42" s="289"/>
      <c r="C42" s="289"/>
      <c r="D42" s="289"/>
      <c r="F42" s="26"/>
      <c r="G42" s="26"/>
      <c r="H42" s="26"/>
      <c r="I42" s="26"/>
      <c r="J42" s="49"/>
      <c r="K42" s="49"/>
      <c r="L42" s="26"/>
      <c r="M42" s="26"/>
      <c r="N42" s="26"/>
      <c r="O42" s="26"/>
      <c r="P42" s="26"/>
    </row>
    <row r="43" spans="2:16">
      <c r="B43" s="289"/>
      <c r="C43" s="289"/>
      <c r="D43" s="289"/>
      <c r="F43" s="26"/>
      <c r="G43" s="26"/>
      <c r="H43" s="26"/>
      <c r="I43" s="26"/>
      <c r="J43" s="49"/>
      <c r="K43" s="49"/>
      <c r="L43" s="26"/>
      <c r="M43" s="26"/>
      <c r="N43" s="26"/>
      <c r="O43" s="26"/>
      <c r="P43" s="26"/>
    </row>
    <row r="44" spans="2:16">
      <c r="B44" s="289"/>
      <c r="C44" s="289"/>
      <c r="D44" s="289"/>
      <c r="F44" s="26"/>
      <c r="G44" s="26"/>
      <c r="H44" s="26"/>
      <c r="I44" s="26"/>
      <c r="J44" s="49"/>
      <c r="K44" s="49"/>
      <c r="L44" s="26"/>
      <c r="M44" s="26"/>
      <c r="N44" s="26"/>
      <c r="O44" s="26"/>
      <c r="P44" s="26"/>
    </row>
    <row r="45" spans="2:16">
      <c r="B45" s="289"/>
      <c r="C45" s="289"/>
      <c r="D45" s="289"/>
      <c r="F45" s="26"/>
      <c r="G45" s="26"/>
      <c r="H45" s="26"/>
      <c r="I45" s="26"/>
      <c r="J45" s="49"/>
      <c r="K45" s="49"/>
      <c r="L45" s="26"/>
      <c r="M45" s="26"/>
      <c r="N45" s="26"/>
      <c r="O45" s="26"/>
      <c r="P45" s="26"/>
    </row>
    <row r="46" spans="2:16">
      <c r="B46" s="289"/>
      <c r="C46" s="289"/>
      <c r="D46" s="289"/>
      <c r="F46" s="26"/>
      <c r="G46" s="26"/>
      <c r="H46" s="26"/>
      <c r="I46" s="26"/>
      <c r="J46" s="49"/>
      <c r="K46" s="49"/>
      <c r="L46" s="26"/>
      <c r="M46" s="26"/>
      <c r="N46" s="26"/>
      <c r="O46" s="26"/>
      <c r="P46" s="26"/>
    </row>
    <row r="47" spans="2:16">
      <c r="B47" s="289"/>
      <c r="C47" s="289"/>
      <c r="D47" s="289"/>
    </row>
    <row r="48" spans="2:16">
      <c r="B48" s="289"/>
      <c r="C48" s="289"/>
      <c r="D48" s="289"/>
    </row>
  </sheetData>
  <mergeCells count="24">
    <mergeCell ref="B48:D48"/>
    <mergeCell ref="B42:D42"/>
    <mergeCell ref="B43:D43"/>
    <mergeCell ref="B44:D44"/>
    <mergeCell ref="B45:D45"/>
    <mergeCell ref="B46:D46"/>
    <mergeCell ref="B47:D47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F2:N4"/>
    <mergeCell ref="B26:D26"/>
    <mergeCell ref="B27:D27"/>
    <mergeCell ref="B28:D28"/>
    <mergeCell ref="B29:D29"/>
  </mergeCells>
  <hyperlinks>
    <hyperlink ref="B10" location="'DASH'!A1" display="DASHBOARD" xr:uid="{9B24954F-468B-4341-966B-70D74627BCCC}"/>
    <hyperlink ref="B11" location="'DES-GL'!A1" display="DESIGN GUIDELINES" xr:uid="{2CD3E631-CA8C-4CC7-9670-A5096F1823D5}"/>
    <hyperlink ref="B13" location="'EXT-MAINS-DT'!A1" display="EXISTING POWER DESIGN" xr:uid="{E6ADCF0C-1368-4146-BAE2-DED96A3864F9}"/>
    <hyperlink ref="B14" location="'EXT-CALC'!A1" display="EXISTING DEMAND" xr:uid="{E0F4639F-4EF4-47ED-B1CF-F5ACD2EBE57B}"/>
    <hyperlink ref="B16" location="'CALC'!A1" display="POWER CALCULATOR" xr:uid="{BCE941A8-A0B8-4F1A-80D8-F49D9B60897D}"/>
    <hyperlink ref="B17" location="'PLBC-CALC'!A1" display="PLBC CALCULATOR" xr:uid="{6E7EBF66-5C73-4FA2-AB3A-F92C479D02F0}"/>
    <hyperlink ref="B18" location="'VDC'!A1" display="VD CALCULATOR" xr:uid="{0B2D9283-87CF-4ABC-959D-08A7182F4E03}"/>
    <hyperlink ref="B20" location="'PRP-SOL'!A1" display="PROPOSED POWER DESIGN" xr:uid="{2F48A5D4-1FEF-43B3-AED7-1091DE974A9C}"/>
    <hyperlink ref="B25" location="'DC'!A1" display="DOCUMENT CONTROL" xr:uid="{DDDD04A3-AA79-450F-9EF1-63C5836CAD13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DD3AA-2975-4CD7-ACFD-DAE5183B1169}">
  <sheetPr codeName="Sheet22"/>
  <dimension ref="B1:U48"/>
  <sheetViews>
    <sheetView showGridLines="0" topLeftCell="B2" workbookViewId="0">
      <selection activeCell="F30" sqref="F30:P30"/>
    </sheetView>
  </sheetViews>
  <sheetFormatPr defaultRowHeight="14.45"/>
  <cols>
    <col min="1" max="1" width="0" hidden="1" customWidth="1"/>
    <col min="2" max="4" width="9.28515625" style="1"/>
    <col min="6" max="6" width="19.5703125" customWidth="1"/>
    <col min="7" max="7" width="20.28515625" customWidth="1"/>
    <col min="8" max="8" width="36.28515625" customWidth="1"/>
    <col min="9" max="9" width="9.28515625" customWidth="1"/>
    <col min="10" max="10" width="14.7109375" customWidth="1"/>
    <col min="11" max="11" width="62.7109375" customWidth="1"/>
    <col min="12" max="12" width="18.28515625" customWidth="1"/>
    <col min="13" max="13" width="22.28515625" customWidth="1"/>
    <col min="14" max="14" width="32.28515625" customWidth="1"/>
    <col min="15" max="15" width="23" customWidth="1"/>
    <col min="16" max="16" width="21" customWidth="1"/>
    <col min="17" max="17" width="15.28515625" customWidth="1"/>
    <col min="18" max="18" width="20.28515625" customWidth="1"/>
    <col min="19" max="19" width="20.7109375" customWidth="1"/>
    <col min="20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21" ht="15" hidden="1" customHeight="1"/>
    <row r="2" spans="2:21" ht="15" customHeight="1">
      <c r="F2" s="287" t="s">
        <v>573</v>
      </c>
      <c r="G2" s="287"/>
      <c r="H2" s="287"/>
      <c r="I2" s="287"/>
      <c r="J2" s="287"/>
      <c r="K2" s="287"/>
      <c r="L2" s="287"/>
      <c r="M2" s="287"/>
      <c r="N2" s="287"/>
    </row>
    <row r="3" spans="2:21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21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21">
      <c r="F5" t="s">
        <v>574</v>
      </c>
    </row>
    <row r="7" spans="2:21">
      <c r="C7" s="2" t="s">
        <v>152</v>
      </c>
      <c r="D7" s="12">
        <f>DCVer</f>
        <v>12.7</v>
      </c>
    </row>
    <row r="8" spans="2:21" ht="15" customHeight="1">
      <c r="F8" s="69"/>
      <c r="G8" s="69"/>
      <c r="H8" s="69"/>
      <c r="I8" s="70"/>
      <c r="J8" s="70"/>
      <c r="K8" s="70"/>
      <c r="L8" s="70"/>
      <c r="M8" s="70"/>
      <c r="N8" s="70"/>
      <c r="O8" s="70"/>
      <c r="P8" s="53"/>
      <c r="Q8" s="484" t="s">
        <v>866</v>
      </c>
      <c r="R8" s="484"/>
      <c r="S8" s="484"/>
      <c r="T8" s="484"/>
      <c r="U8" s="484"/>
    </row>
    <row r="9" spans="2:21">
      <c r="B9" s="18"/>
      <c r="C9" s="18"/>
      <c r="D9" s="18"/>
      <c r="F9" s="51" t="s">
        <v>555</v>
      </c>
      <c r="G9" s="51" t="s">
        <v>778</v>
      </c>
      <c r="H9" s="51" t="s">
        <v>779</v>
      </c>
      <c r="I9" s="51" t="s">
        <v>780</v>
      </c>
      <c r="J9" s="51" t="s">
        <v>781</v>
      </c>
      <c r="K9" s="51" t="s">
        <v>556</v>
      </c>
      <c r="L9" s="53" t="s">
        <v>867</v>
      </c>
      <c r="M9" s="53" t="s">
        <v>868</v>
      </c>
      <c r="N9" s="53" t="s">
        <v>869</v>
      </c>
      <c r="O9" s="53" t="s">
        <v>870</v>
      </c>
      <c r="P9" s="53" t="s">
        <v>871</v>
      </c>
      <c r="Q9" s="50" t="s">
        <v>872</v>
      </c>
      <c r="R9" s="50" t="s">
        <v>873</v>
      </c>
      <c r="S9" s="50" t="s">
        <v>874</v>
      </c>
      <c r="T9" s="50" t="s">
        <v>875</v>
      </c>
      <c r="U9" s="50" t="s">
        <v>876</v>
      </c>
    </row>
    <row r="10" spans="2:21" ht="27.6">
      <c r="B10" s="18" t="s">
        <v>151</v>
      </c>
      <c r="C10" s="18"/>
      <c r="D10" s="18"/>
      <c r="F10" s="51" t="s">
        <v>877</v>
      </c>
      <c r="G10" s="51"/>
      <c r="H10" s="51" t="s">
        <v>386</v>
      </c>
      <c r="I10" s="53" t="s">
        <v>878</v>
      </c>
      <c r="J10" s="53" t="s">
        <v>879</v>
      </c>
      <c r="K10" s="59" t="s">
        <v>880</v>
      </c>
      <c r="L10" s="53">
        <v>9</v>
      </c>
      <c r="M10" s="53" t="s">
        <v>881</v>
      </c>
      <c r="N10" s="53" t="s">
        <v>882</v>
      </c>
      <c r="O10" s="53">
        <v>50</v>
      </c>
      <c r="P10" s="53" t="s">
        <v>883</v>
      </c>
      <c r="Q10" s="51">
        <v>6</v>
      </c>
      <c r="R10" s="51">
        <v>10</v>
      </c>
      <c r="S10" s="51" t="s">
        <v>404</v>
      </c>
      <c r="T10" s="51">
        <v>5</v>
      </c>
      <c r="U10" s="51" t="s">
        <v>172</v>
      </c>
    </row>
    <row r="11" spans="2:21" ht="27.6">
      <c r="B11" s="18" t="s">
        <v>155</v>
      </c>
      <c r="C11" s="18"/>
      <c r="D11" s="18"/>
      <c r="F11" s="51" t="s">
        <v>877</v>
      </c>
      <c r="G11" s="51"/>
      <c r="H11" s="51" t="s">
        <v>884</v>
      </c>
      <c r="I11" s="53" t="s">
        <v>878</v>
      </c>
      <c r="J11" s="53" t="s">
        <v>879</v>
      </c>
      <c r="K11" s="59" t="s">
        <v>880</v>
      </c>
      <c r="L11" s="53">
        <v>9</v>
      </c>
      <c r="M11" s="53" t="s">
        <v>881</v>
      </c>
      <c r="N11" s="53" t="s">
        <v>882</v>
      </c>
      <c r="O11" s="53">
        <v>50</v>
      </c>
      <c r="P11" s="53" t="s">
        <v>883</v>
      </c>
      <c r="Q11" s="51">
        <v>6</v>
      </c>
      <c r="R11" s="51">
        <v>10</v>
      </c>
      <c r="S11" s="51" t="s">
        <v>404</v>
      </c>
      <c r="T11" s="51">
        <v>5</v>
      </c>
      <c r="U11" s="51" t="s">
        <v>172</v>
      </c>
    </row>
    <row r="12" spans="2:21">
      <c r="B12" s="18"/>
      <c r="C12" s="18"/>
      <c r="D12" s="18"/>
      <c r="F12" s="51" t="s">
        <v>885</v>
      </c>
      <c r="G12" s="51"/>
      <c r="H12" s="51" t="s">
        <v>886</v>
      </c>
      <c r="I12" s="53" t="s">
        <v>887</v>
      </c>
      <c r="J12" s="53"/>
      <c r="K12" s="53"/>
      <c r="L12" s="53">
        <v>3</v>
      </c>
      <c r="M12" s="53">
        <v>2000</v>
      </c>
      <c r="N12" s="53" t="s">
        <v>888</v>
      </c>
      <c r="O12" s="53"/>
      <c r="P12" s="53" t="s">
        <v>889</v>
      </c>
      <c r="Q12" s="53">
        <v>3</v>
      </c>
      <c r="R12" s="53">
        <v>5</v>
      </c>
      <c r="S12" s="53"/>
      <c r="T12" s="53">
        <v>1</v>
      </c>
      <c r="U12" s="53" t="s">
        <v>172</v>
      </c>
    </row>
    <row r="13" spans="2:21">
      <c r="B13" s="18" t="s">
        <v>159</v>
      </c>
      <c r="C13" s="18"/>
      <c r="D13" s="18"/>
      <c r="F13" s="51" t="s">
        <v>890</v>
      </c>
      <c r="G13" s="51"/>
      <c r="H13" s="51" t="s">
        <v>541</v>
      </c>
      <c r="I13" s="53" t="s">
        <v>891</v>
      </c>
      <c r="J13" s="53"/>
      <c r="K13" s="53"/>
      <c r="L13" s="51">
        <v>6</v>
      </c>
      <c r="M13" s="51">
        <v>3000</v>
      </c>
      <c r="N13" s="53" t="s">
        <v>892</v>
      </c>
      <c r="O13" s="51">
        <v>32</v>
      </c>
      <c r="P13" s="53" t="s">
        <v>893</v>
      </c>
      <c r="Q13" s="51">
        <v>6</v>
      </c>
      <c r="R13" s="51">
        <v>10</v>
      </c>
      <c r="S13" s="51" t="s">
        <v>404</v>
      </c>
      <c r="T13" s="51">
        <v>5</v>
      </c>
      <c r="U13" s="51" t="s">
        <v>172</v>
      </c>
    </row>
    <row r="14" spans="2:21">
      <c r="B14" s="18" t="s">
        <v>162</v>
      </c>
      <c r="C14" s="18"/>
      <c r="D14" s="18"/>
      <c r="F14" s="69"/>
      <c r="G14" s="69"/>
      <c r="H14" s="51" t="s">
        <v>540</v>
      </c>
      <c r="I14" s="53" t="s">
        <v>887</v>
      </c>
      <c r="J14" s="70"/>
      <c r="K14" s="70"/>
      <c r="L14" s="51">
        <v>8</v>
      </c>
      <c r="M14" s="51" t="s">
        <v>894</v>
      </c>
      <c r="N14" s="53" t="s">
        <v>895</v>
      </c>
      <c r="O14" s="51">
        <v>40</v>
      </c>
      <c r="P14" s="53"/>
      <c r="Q14" s="51">
        <v>6</v>
      </c>
      <c r="R14" s="51">
        <v>10</v>
      </c>
      <c r="S14" s="51" t="s">
        <v>404</v>
      </c>
      <c r="T14" s="51">
        <v>5</v>
      </c>
      <c r="U14" s="51" t="s">
        <v>172</v>
      </c>
    </row>
    <row r="15" spans="2:21">
      <c r="B15" s="18"/>
      <c r="C15" s="18"/>
      <c r="D15" s="18"/>
      <c r="F15" s="69"/>
      <c r="G15" s="69"/>
      <c r="H15" s="51" t="s">
        <v>896</v>
      </c>
      <c r="I15" s="53" t="s">
        <v>891</v>
      </c>
      <c r="J15" s="70"/>
      <c r="K15" s="70"/>
      <c r="L15" s="51">
        <v>8</v>
      </c>
      <c r="M15" s="51" t="s">
        <v>894</v>
      </c>
      <c r="N15" s="53" t="s">
        <v>895</v>
      </c>
      <c r="O15" s="51">
        <v>40</v>
      </c>
      <c r="P15" s="53"/>
      <c r="Q15" s="51">
        <v>6</v>
      </c>
      <c r="R15" s="51">
        <v>10</v>
      </c>
      <c r="S15" s="51" t="s">
        <v>404</v>
      </c>
      <c r="T15" s="51">
        <v>5</v>
      </c>
      <c r="U15" s="51" t="s">
        <v>172</v>
      </c>
    </row>
    <row r="16" spans="2:21">
      <c r="B16" s="18" t="s">
        <v>167</v>
      </c>
      <c r="C16" s="18"/>
      <c r="D16" s="18"/>
      <c r="F16" s="51"/>
      <c r="G16" s="51"/>
      <c r="H16" s="51" t="s">
        <v>897</v>
      </c>
      <c r="I16" s="53" t="s">
        <v>891</v>
      </c>
      <c r="J16" s="53"/>
      <c r="K16" s="53"/>
      <c r="L16" s="51">
        <v>12</v>
      </c>
      <c r="M16" s="51">
        <v>3000</v>
      </c>
      <c r="N16" s="53" t="s">
        <v>898</v>
      </c>
      <c r="O16" s="51">
        <v>50</v>
      </c>
      <c r="P16" s="53"/>
      <c r="Q16" s="51">
        <v>6</v>
      </c>
      <c r="R16" s="51">
        <v>10</v>
      </c>
      <c r="S16" s="51" t="s">
        <v>404</v>
      </c>
      <c r="T16" s="51">
        <v>5</v>
      </c>
      <c r="U16" s="51" t="s">
        <v>172</v>
      </c>
    </row>
    <row r="17" spans="2:21">
      <c r="B17" s="18" t="s">
        <v>170</v>
      </c>
      <c r="C17" s="18"/>
      <c r="D17" s="18"/>
      <c r="F17" s="51"/>
      <c r="G17" s="51"/>
      <c r="H17" s="51" t="s">
        <v>899</v>
      </c>
      <c r="I17" s="53" t="s">
        <v>887</v>
      </c>
      <c r="J17" s="53"/>
      <c r="K17" s="53"/>
      <c r="L17" s="51">
        <v>8</v>
      </c>
      <c r="M17" s="51">
        <v>2000</v>
      </c>
      <c r="N17" s="53" t="s">
        <v>900</v>
      </c>
      <c r="O17" s="51">
        <v>32</v>
      </c>
      <c r="P17" s="53"/>
      <c r="Q17" s="51">
        <v>8</v>
      </c>
      <c r="R17" s="51">
        <v>10</v>
      </c>
      <c r="S17" s="51" t="s">
        <v>404</v>
      </c>
      <c r="T17" s="51">
        <v>5</v>
      </c>
      <c r="U17" s="51" t="s">
        <v>172</v>
      </c>
    </row>
    <row r="18" spans="2:21">
      <c r="B18" s="18" t="s">
        <v>173</v>
      </c>
      <c r="C18" s="18"/>
      <c r="D18" s="18"/>
      <c r="F18" s="69"/>
      <c r="G18" s="69"/>
      <c r="H18" s="51" t="s">
        <v>901</v>
      </c>
      <c r="I18" s="53" t="s">
        <v>891</v>
      </c>
      <c r="J18" s="70"/>
      <c r="K18" s="70"/>
      <c r="L18" s="51">
        <v>8</v>
      </c>
      <c r="M18" s="51">
        <v>2000</v>
      </c>
      <c r="N18" s="53" t="s">
        <v>900</v>
      </c>
      <c r="O18" s="51">
        <v>32</v>
      </c>
      <c r="P18" s="53"/>
      <c r="Q18" s="51">
        <v>8</v>
      </c>
      <c r="R18" s="51">
        <v>10</v>
      </c>
      <c r="S18" s="51" t="s">
        <v>404</v>
      </c>
      <c r="T18" s="51">
        <v>5</v>
      </c>
      <c r="U18" s="51" t="s">
        <v>172</v>
      </c>
    </row>
    <row r="19" spans="2:21">
      <c r="B19" s="18"/>
      <c r="C19" s="18"/>
      <c r="D19" s="18"/>
      <c r="F19" s="51"/>
      <c r="G19" s="51"/>
      <c r="H19" s="51" t="s">
        <v>902</v>
      </c>
      <c r="I19" s="53" t="s">
        <v>891</v>
      </c>
      <c r="J19" s="53"/>
      <c r="K19" s="53"/>
      <c r="L19" s="51">
        <v>6</v>
      </c>
      <c r="M19" s="51">
        <v>1396</v>
      </c>
      <c r="N19" s="53" t="s">
        <v>329</v>
      </c>
      <c r="O19" s="51">
        <v>20</v>
      </c>
      <c r="P19" s="53"/>
      <c r="Q19" s="51">
        <v>6</v>
      </c>
      <c r="R19" s="51">
        <v>10</v>
      </c>
      <c r="S19" s="51" t="s">
        <v>853</v>
      </c>
      <c r="T19" s="51">
        <v>5</v>
      </c>
      <c r="U19" s="51" t="s">
        <v>172</v>
      </c>
    </row>
    <row r="20" spans="2:21">
      <c r="B20" s="18" t="s">
        <v>176</v>
      </c>
      <c r="C20" s="18"/>
      <c r="D20" s="18"/>
      <c r="F20" s="26"/>
      <c r="G20" s="26"/>
      <c r="H20" s="51" t="s">
        <v>903</v>
      </c>
      <c r="I20" s="53" t="s">
        <v>887</v>
      </c>
      <c r="J20" s="53"/>
      <c r="K20" s="53"/>
      <c r="L20" s="53">
        <v>9</v>
      </c>
      <c r="M20" s="53">
        <v>3000</v>
      </c>
      <c r="N20" s="53" t="s">
        <v>904</v>
      </c>
      <c r="O20" s="53">
        <v>50</v>
      </c>
      <c r="P20" s="53"/>
      <c r="Q20" s="53">
        <v>6</v>
      </c>
      <c r="R20" s="53">
        <v>21</v>
      </c>
      <c r="S20" s="53" t="s">
        <v>856</v>
      </c>
      <c r="T20" s="53">
        <v>2</v>
      </c>
      <c r="U20" s="53" t="s">
        <v>172</v>
      </c>
    </row>
    <row r="21" spans="2:21">
      <c r="B21" s="18"/>
      <c r="C21" s="18"/>
      <c r="D21" s="18"/>
      <c r="F21" s="69"/>
      <c r="G21" s="69"/>
      <c r="H21" s="51" t="s">
        <v>905</v>
      </c>
      <c r="I21" s="53" t="s">
        <v>891</v>
      </c>
      <c r="J21" s="70"/>
      <c r="K21" s="70"/>
      <c r="L21" s="53">
        <v>9</v>
      </c>
      <c r="M21" s="53">
        <v>3000</v>
      </c>
      <c r="N21" s="53" t="s">
        <v>904</v>
      </c>
      <c r="O21" s="53">
        <v>50</v>
      </c>
      <c r="P21" s="53"/>
      <c r="Q21" s="53">
        <v>6</v>
      </c>
      <c r="R21" s="53">
        <v>21</v>
      </c>
      <c r="S21" s="53" t="s">
        <v>856</v>
      </c>
      <c r="T21" s="53">
        <v>2</v>
      </c>
      <c r="U21" s="53" t="s">
        <v>172</v>
      </c>
    </row>
    <row r="22" spans="2:21">
      <c r="B22" s="18"/>
      <c r="C22" s="18"/>
      <c r="D22" s="18"/>
      <c r="F22" s="69"/>
      <c r="G22" s="69"/>
      <c r="H22" s="51" t="s">
        <v>906</v>
      </c>
      <c r="I22" s="53" t="s">
        <v>891</v>
      </c>
      <c r="J22" s="70"/>
      <c r="K22" s="70"/>
      <c r="L22" s="51">
        <v>5</v>
      </c>
      <c r="M22" s="51">
        <v>1160</v>
      </c>
      <c r="N22" s="53" t="s">
        <v>329</v>
      </c>
      <c r="O22" s="51">
        <v>20</v>
      </c>
      <c r="P22" s="53"/>
      <c r="Q22" s="51">
        <v>5</v>
      </c>
      <c r="R22" s="51">
        <v>10</v>
      </c>
      <c r="S22" s="51" t="s">
        <v>853</v>
      </c>
      <c r="T22" s="51">
        <v>5</v>
      </c>
      <c r="U22" s="51" t="s">
        <v>172</v>
      </c>
    </row>
    <row r="23" spans="2:21">
      <c r="B23" s="18"/>
      <c r="C23" s="18"/>
      <c r="D23" s="18"/>
      <c r="F23" s="51" t="s">
        <v>907</v>
      </c>
      <c r="G23" s="69"/>
      <c r="H23" s="51" t="s">
        <v>908</v>
      </c>
      <c r="I23" s="53" t="s">
        <v>909</v>
      </c>
      <c r="J23" s="70"/>
      <c r="K23" s="70"/>
      <c r="L23" s="51">
        <v>3</v>
      </c>
      <c r="M23" s="51">
        <v>1362</v>
      </c>
      <c r="N23" s="53" t="s">
        <v>329</v>
      </c>
      <c r="O23" s="51">
        <v>15</v>
      </c>
      <c r="P23" s="53"/>
      <c r="Q23" s="51">
        <v>3</v>
      </c>
      <c r="R23" s="51">
        <v>10</v>
      </c>
      <c r="S23" s="51" t="s">
        <v>853</v>
      </c>
      <c r="T23" s="51">
        <v>5</v>
      </c>
      <c r="U23" s="51" t="s">
        <v>172</v>
      </c>
    </row>
    <row r="24" spans="2:21">
      <c r="B24" s="18"/>
      <c r="C24" s="18"/>
      <c r="D24" s="18"/>
      <c r="F24" s="51" t="s">
        <v>910</v>
      </c>
      <c r="G24" s="69"/>
      <c r="H24" s="71" t="s">
        <v>911</v>
      </c>
      <c r="I24" s="53" t="s">
        <v>909</v>
      </c>
      <c r="J24" s="70"/>
      <c r="K24" s="70"/>
      <c r="L24" s="71">
        <v>1</v>
      </c>
      <c r="M24" s="71">
        <v>2000</v>
      </c>
      <c r="N24" s="53" t="s">
        <v>329</v>
      </c>
      <c r="O24" s="71">
        <v>10</v>
      </c>
      <c r="P24" s="53"/>
      <c r="Q24" s="51">
        <v>1</v>
      </c>
      <c r="R24" s="51">
        <v>10</v>
      </c>
      <c r="S24" s="51" t="s">
        <v>329</v>
      </c>
      <c r="T24" s="51">
        <v>5</v>
      </c>
      <c r="U24" s="51" t="s">
        <v>172</v>
      </c>
    </row>
    <row r="25" spans="2:21">
      <c r="B25" s="18" t="s">
        <v>182</v>
      </c>
      <c r="C25" s="18"/>
      <c r="D25" s="18"/>
      <c r="F25" s="69"/>
      <c r="G25" s="69"/>
      <c r="H25" s="71" t="s">
        <v>912</v>
      </c>
      <c r="I25" s="70"/>
      <c r="J25" s="70"/>
      <c r="K25" s="70"/>
      <c r="L25" s="71">
        <v>1</v>
      </c>
      <c r="M25" s="71">
        <v>1000</v>
      </c>
      <c r="N25" s="53" t="s">
        <v>329</v>
      </c>
      <c r="O25" s="71">
        <v>6</v>
      </c>
      <c r="P25" s="53"/>
      <c r="Q25" s="51">
        <v>1</v>
      </c>
      <c r="R25" s="51">
        <v>10</v>
      </c>
      <c r="S25" s="51" t="s">
        <v>329</v>
      </c>
      <c r="T25" s="51">
        <v>5</v>
      </c>
      <c r="U25" s="51" t="s">
        <v>172</v>
      </c>
    </row>
    <row r="26" spans="2:21">
      <c r="B26" s="285"/>
      <c r="C26" s="285"/>
      <c r="D26" s="285"/>
      <c r="F26" s="26"/>
      <c r="G26" s="26"/>
      <c r="H26" s="51" t="s">
        <v>913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2:21">
      <c r="B27" s="285"/>
      <c r="C27" s="285"/>
      <c r="D27" s="285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</row>
    <row r="28" spans="2:21">
      <c r="B28" s="293"/>
      <c r="C28" s="293"/>
      <c r="D28" s="293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</row>
    <row r="29" spans="2:21">
      <c r="B29" s="293"/>
      <c r="C29" s="293"/>
      <c r="D29" s="293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</row>
    <row r="30" spans="2:21">
      <c r="B30" s="293"/>
      <c r="C30" s="293"/>
      <c r="D30" s="293"/>
    </row>
    <row r="31" spans="2:21">
      <c r="B31" s="293"/>
      <c r="C31" s="293"/>
      <c r="D31" s="293"/>
    </row>
    <row r="32" spans="2:21">
      <c r="B32" s="289"/>
      <c r="C32" s="289"/>
      <c r="D32" s="289"/>
    </row>
    <row r="33" spans="2:4">
      <c r="B33" s="289"/>
      <c r="C33" s="289"/>
      <c r="D33" s="289"/>
    </row>
    <row r="34" spans="2:4">
      <c r="B34" s="289"/>
      <c r="C34" s="289"/>
      <c r="D34" s="289"/>
    </row>
    <row r="35" spans="2:4">
      <c r="B35" s="289"/>
      <c r="C35" s="289"/>
      <c r="D35" s="289"/>
    </row>
    <row r="36" spans="2:4">
      <c r="B36" s="289"/>
      <c r="C36" s="289"/>
      <c r="D36" s="289"/>
    </row>
    <row r="37" spans="2:4">
      <c r="B37" s="289"/>
      <c r="C37" s="289"/>
      <c r="D37" s="289"/>
    </row>
    <row r="38" spans="2:4">
      <c r="B38" s="289"/>
      <c r="C38" s="289"/>
      <c r="D38" s="289"/>
    </row>
    <row r="39" spans="2:4">
      <c r="B39" s="289"/>
      <c r="C39" s="289"/>
      <c r="D39" s="289"/>
    </row>
    <row r="40" spans="2:4">
      <c r="B40" s="289"/>
      <c r="C40" s="289"/>
      <c r="D40" s="289"/>
    </row>
    <row r="41" spans="2:4">
      <c r="B41" s="289"/>
      <c r="C41" s="289"/>
      <c r="D41" s="289"/>
    </row>
    <row r="42" spans="2:4">
      <c r="B42" s="289"/>
      <c r="C42" s="289"/>
      <c r="D42" s="289"/>
    </row>
    <row r="43" spans="2:4">
      <c r="B43" s="289"/>
      <c r="C43" s="289"/>
      <c r="D43" s="289"/>
    </row>
    <row r="44" spans="2:4">
      <c r="B44" s="289"/>
      <c r="C44" s="289"/>
      <c r="D44" s="289"/>
    </row>
    <row r="45" spans="2:4">
      <c r="B45" s="289"/>
      <c r="C45" s="289"/>
      <c r="D45" s="289"/>
    </row>
    <row r="46" spans="2:4">
      <c r="B46" s="289"/>
      <c r="C46" s="289"/>
      <c r="D46" s="289"/>
    </row>
    <row r="47" spans="2:4">
      <c r="B47" s="289"/>
      <c r="C47" s="289"/>
      <c r="D47" s="289"/>
    </row>
    <row r="48" spans="2:4">
      <c r="B48" s="289"/>
      <c r="C48" s="289"/>
      <c r="D48" s="289"/>
    </row>
  </sheetData>
  <mergeCells count="25">
    <mergeCell ref="B44:D44"/>
    <mergeCell ref="B45:D45"/>
    <mergeCell ref="B46:D46"/>
    <mergeCell ref="B47:D47"/>
    <mergeCell ref="B48:D48"/>
    <mergeCell ref="Q8:U8"/>
    <mergeCell ref="B38:D38"/>
    <mergeCell ref="B39:D39"/>
    <mergeCell ref="B40:D40"/>
    <mergeCell ref="B41:D41"/>
    <mergeCell ref="B26:D26"/>
    <mergeCell ref="B27:D27"/>
    <mergeCell ref="B28:D28"/>
    <mergeCell ref="B29:D29"/>
    <mergeCell ref="B30:D30"/>
    <mergeCell ref="B31:D31"/>
    <mergeCell ref="F2:N4"/>
    <mergeCell ref="B42:D42"/>
    <mergeCell ref="B43:D43"/>
    <mergeCell ref="B32:D32"/>
    <mergeCell ref="B33:D33"/>
    <mergeCell ref="B34:D34"/>
    <mergeCell ref="B35:D35"/>
    <mergeCell ref="B36:D36"/>
    <mergeCell ref="B37:D37"/>
  </mergeCells>
  <hyperlinks>
    <hyperlink ref="B10" location="'DASH'!A1" display="DASHBOARD" xr:uid="{DEB6FE31-A13A-44FA-8010-B88F386D9838}"/>
    <hyperlink ref="B11" location="'DES-GL'!A1" display="DESIGN GUIDELINES" xr:uid="{7C642BD7-37EC-4E53-8EF4-BDC4C7589C3B}"/>
    <hyperlink ref="B13" location="'EXT-MAINS-DT'!A1" display="EXISTING POWER DESIGN" xr:uid="{3B0A8317-8FCF-4183-BD14-2CCEC0E7300D}"/>
    <hyperlink ref="B14" location="'EXT-CALC'!A1" display="EXISTING DEMAND" xr:uid="{9BE49CED-7B44-426C-B6CD-3682DD99D3C6}"/>
    <hyperlink ref="B16" location="'CALC'!A1" display="POWER CALCULATOR" xr:uid="{024811F4-6CF4-4D53-837B-8B2509F0BE08}"/>
    <hyperlink ref="B17" location="'PLBC-CALC'!A1" display="PLBC CALCULATOR" xr:uid="{7B89F318-7D51-466B-958D-404C89761466}"/>
    <hyperlink ref="B18" location="'VDC'!A1" display="VD CALCULATOR" xr:uid="{E8533AEC-DD70-486E-8808-DF1FBCF1C853}"/>
    <hyperlink ref="B20" location="'PRP-SOL'!A1" display="PROPOSED POWER DESIGN" xr:uid="{DF4C57B6-BA24-4FEA-9DCD-A073FB5A4669}"/>
    <hyperlink ref="B25" location="'DC'!A1" display="DOCUMENT CONTROL" xr:uid="{8FD41F32-9692-44AA-A3BE-81BF44C75328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77DF6-98D7-446D-9434-7DD9C5A49DBD}">
  <sheetPr codeName="Sheet20"/>
  <dimension ref="B1:AB1000"/>
  <sheetViews>
    <sheetView showGridLines="0" topLeftCell="D266" zoomScale="115" zoomScaleNormal="115" workbookViewId="0">
      <selection activeCell="B8" sqref="B8:D8"/>
    </sheetView>
  </sheetViews>
  <sheetFormatPr defaultRowHeight="14.45"/>
  <cols>
    <col min="1" max="1" width="0" hidden="1" customWidth="1"/>
    <col min="2" max="4" width="9.28515625" style="1"/>
    <col min="6" max="6" width="19.5703125" style="17" customWidth="1"/>
    <col min="7" max="7" width="20.28515625" style="17" customWidth="1"/>
    <col min="8" max="8" width="36.28515625" style="17" customWidth="1"/>
    <col min="9" max="9" width="9.28515625" style="17" customWidth="1"/>
    <col min="10" max="10" width="14.7109375" style="17" customWidth="1"/>
    <col min="11" max="11" width="62.7109375" style="17" customWidth="1"/>
    <col min="12" max="12" width="18.28515625" customWidth="1"/>
    <col min="13" max="13" width="15.7109375" customWidth="1"/>
    <col min="14" max="14" width="4.28515625" customWidth="1"/>
    <col min="15" max="15" width="17.5703125" style="35" customWidth="1"/>
    <col min="16" max="16" width="14.5703125" style="35" customWidth="1"/>
    <col min="17" max="21" width="16.28515625" customWidth="1"/>
    <col min="22" max="22" width="13" customWidth="1"/>
    <col min="23" max="23" width="3" customWidth="1"/>
    <col min="24" max="24" width="38.7109375" customWidth="1"/>
  </cols>
  <sheetData>
    <row r="1" spans="2:21" ht="15" hidden="1" customHeight="1"/>
    <row r="2" spans="2:21" ht="15" customHeight="1">
      <c r="F2" s="287" t="s">
        <v>567</v>
      </c>
      <c r="G2" s="287"/>
      <c r="H2" s="287"/>
      <c r="I2" s="287"/>
      <c r="J2" s="287"/>
      <c r="K2" s="287"/>
      <c r="L2" s="287"/>
      <c r="M2" s="287"/>
      <c r="N2" s="287"/>
    </row>
    <row r="3" spans="2:21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21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21">
      <c r="F5" s="17" t="s">
        <v>568</v>
      </c>
    </row>
    <row r="7" spans="2:21">
      <c r="C7" s="2" t="s">
        <v>152</v>
      </c>
      <c r="D7" s="12">
        <f>DCVer</f>
        <v>12.7</v>
      </c>
    </row>
    <row r="8" spans="2:21" ht="15" customHeight="1">
      <c r="F8" s="320" t="s">
        <v>555</v>
      </c>
      <c r="G8" s="320" t="s">
        <v>778</v>
      </c>
      <c r="H8" s="320" t="s">
        <v>779</v>
      </c>
      <c r="I8" s="320" t="s">
        <v>780</v>
      </c>
      <c r="J8" s="320" t="s">
        <v>781</v>
      </c>
      <c r="K8" s="320" t="s">
        <v>556</v>
      </c>
      <c r="L8" s="483" t="s">
        <v>782</v>
      </c>
      <c r="M8" s="483" t="s">
        <v>783</v>
      </c>
      <c r="N8" s="320"/>
      <c r="O8" s="489" t="s">
        <v>914</v>
      </c>
      <c r="P8" s="489" t="s">
        <v>915</v>
      </c>
      <c r="Q8" s="482" t="s">
        <v>916</v>
      </c>
      <c r="R8" s="487" t="s">
        <v>917</v>
      </c>
      <c r="S8" s="487" t="s">
        <v>918</v>
      </c>
      <c r="T8" s="488" t="s">
        <v>919</v>
      </c>
      <c r="U8" s="485" t="s">
        <v>920</v>
      </c>
    </row>
    <row r="9" spans="2:21">
      <c r="B9" s="18"/>
      <c r="C9" s="18"/>
      <c r="D9" s="18"/>
      <c r="F9" s="320"/>
      <c r="G9" s="320"/>
      <c r="H9" s="320"/>
      <c r="I9" s="320"/>
      <c r="J9" s="320"/>
      <c r="K9" s="320"/>
      <c r="L9" s="483"/>
      <c r="M9" s="483"/>
      <c r="N9" s="320"/>
      <c r="O9" s="489"/>
      <c r="P9" s="489"/>
      <c r="Q9" s="482"/>
      <c r="R9" s="487"/>
      <c r="S9" s="487"/>
      <c r="T9" s="488"/>
      <c r="U9" s="486"/>
    </row>
    <row r="10" spans="2:21">
      <c r="B10" s="18" t="s">
        <v>151</v>
      </c>
      <c r="C10" s="18"/>
      <c r="D10" s="18"/>
      <c r="F10" s="51" t="s">
        <v>921</v>
      </c>
      <c r="G10" s="51"/>
      <c r="H10" s="51" t="str">
        <f>F10&amp;IF(G10="",""," - "&amp;G10)</f>
        <v>FMU</v>
      </c>
      <c r="I10" s="51" t="s">
        <v>922</v>
      </c>
      <c r="J10" s="51" t="s">
        <v>923</v>
      </c>
      <c r="K10" s="51" t="s">
        <v>924</v>
      </c>
      <c r="L10" s="53">
        <f>O10*CFGRECT!$S$10</f>
        <v>4.25</v>
      </c>
      <c r="M10" s="53">
        <f>P10*CFGRECT!$T$10</f>
        <v>25.5</v>
      </c>
      <c r="N10" s="53"/>
      <c r="O10" s="226">
        <v>5</v>
      </c>
      <c r="P10" s="226">
        <v>30</v>
      </c>
      <c r="Q10" s="51"/>
      <c r="R10" s="54"/>
      <c r="S10" s="55"/>
      <c r="T10" s="51"/>
    </row>
    <row r="11" spans="2:21">
      <c r="B11" s="18" t="s">
        <v>155</v>
      </c>
      <c r="C11" s="18"/>
      <c r="D11" s="18"/>
      <c r="F11" s="51" t="s">
        <v>925</v>
      </c>
      <c r="G11" s="51"/>
      <c r="H11" s="51" t="str">
        <f t="shared" ref="H11:H74" si="0">F11&amp;IF(G11="",""," - "&amp;G11)</f>
        <v>EMUA</v>
      </c>
      <c r="I11" s="51" t="s">
        <v>926</v>
      </c>
      <c r="J11" s="51" t="s">
        <v>923</v>
      </c>
      <c r="K11" s="51" t="s">
        <v>927</v>
      </c>
      <c r="L11" s="53">
        <f>O11*CFGRECT!$S$10</f>
        <v>6.8</v>
      </c>
      <c r="M11" s="53">
        <f>P11*CFGRECT!$T$10</f>
        <v>8.5</v>
      </c>
      <c r="N11" s="53"/>
      <c r="O11" s="226">
        <v>8</v>
      </c>
      <c r="P11" s="226">
        <v>10</v>
      </c>
      <c r="Q11" s="51"/>
      <c r="R11" s="54"/>
      <c r="S11" s="55"/>
      <c r="T11" s="51"/>
    </row>
    <row r="12" spans="2:21">
      <c r="B12" s="18"/>
      <c r="C12" s="18"/>
      <c r="D12" s="18"/>
      <c r="F12" s="51" t="s">
        <v>928</v>
      </c>
      <c r="G12" s="51"/>
      <c r="H12" s="51" t="str">
        <f t="shared" si="0"/>
        <v>EMUB</v>
      </c>
      <c r="I12" s="51" t="s">
        <v>926</v>
      </c>
      <c r="J12" s="51" t="s">
        <v>923</v>
      </c>
      <c r="K12" s="51" t="s">
        <v>927</v>
      </c>
      <c r="L12" s="53">
        <f>O12*CFGRECT!$S$10</f>
        <v>6.8</v>
      </c>
      <c r="M12" s="53">
        <f>P12*CFGRECT!$T$10</f>
        <v>8.5</v>
      </c>
      <c r="N12" s="53"/>
      <c r="O12" s="226">
        <v>8</v>
      </c>
      <c r="P12" s="226">
        <v>10</v>
      </c>
      <c r="Q12" s="51"/>
      <c r="R12" s="54"/>
      <c r="S12" s="55"/>
      <c r="T12" s="51"/>
    </row>
    <row r="13" spans="2:21">
      <c r="B13" s="18" t="s">
        <v>159</v>
      </c>
      <c r="C13" s="18"/>
      <c r="D13" s="18"/>
      <c r="F13" s="51" t="s">
        <v>929</v>
      </c>
      <c r="G13" s="51"/>
      <c r="H13" s="51" t="str">
        <f t="shared" si="0"/>
        <v>BBU3910</v>
      </c>
      <c r="I13" s="51" t="s">
        <v>930</v>
      </c>
      <c r="J13" s="51" t="s">
        <v>923</v>
      </c>
      <c r="K13" s="51" t="s">
        <v>931</v>
      </c>
      <c r="L13" s="53">
        <f>O13*CFGRECT!$S$10</f>
        <v>60.35</v>
      </c>
      <c r="M13" s="53">
        <f>P13*CFGRECT!$T$10</f>
        <v>97.75</v>
      </c>
      <c r="N13" s="53"/>
      <c r="O13" s="226">
        <v>71</v>
      </c>
      <c r="P13" s="226">
        <v>115</v>
      </c>
      <c r="Q13" s="51"/>
      <c r="R13" s="54"/>
      <c r="S13" s="55"/>
      <c r="T13" s="51"/>
    </row>
    <row r="14" spans="2:21">
      <c r="B14" s="18" t="s">
        <v>162</v>
      </c>
      <c r="C14" s="18"/>
      <c r="D14" s="18"/>
      <c r="F14" s="51" t="s">
        <v>932</v>
      </c>
      <c r="G14" s="51"/>
      <c r="H14" s="51" t="str">
        <f t="shared" si="0"/>
        <v>BBU5900</v>
      </c>
      <c r="I14" s="51" t="s">
        <v>930</v>
      </c>
      <c r="J14" s="51" t="s">
        <v>923</v>
      </c>
      <c r="K14" s="51" t="s">
        <v>933</v>
      </c>
      <c r="L14" s="53">
        <f>O14*CFGRECT!$S$10</f>
        <v>60.35</v>
      </c>
      <c r="M14" s="53">
        <f>P14*CFGRECT!$T$10</f>
        <v>97.75</v>
      </c>
      <c r="N14" s="53"/>
      <c r="O14" s="226">
        <v>71</v>
      </c>
      <c r="P14" s="226">
        <v>115</v>
      </c>
      <c r="Q14" s="51"/>
      <c r="R14" s="54"/>
      <c r="S14" s="55"/>
      <c r="T14" s="51"/>
    </row>
    <row r="15" spans="2:21">
      <c r="B15" s="18"/>
      <c r="C15" s="18"/>
      <c r="D15" s="18"/>
      <c r="F15" s="51" t="s">
        <v>934</v>
      </c>
      <c r="G15" s="51"/>
      <c r="H15" s="51" t="str">
        <f t="shared" si="0"/>
        <v>GTMU</v>
      </c>
      <c r="I15" s="51" t="s">
        <v>935</v>
      </c>
      <c r="J15" s="51" t="s">
        <v>923</v>
      </c>
      <c r="K15" s="51" t="s">
        <v>936</v>
      </c>
      <c r="L15" s="53">
        <f>O15*CFGRECT!$S$10</f>
        <v>21.25</v>
      </c>
      <c r="M15" s="53">
        <f>P15*CFGRECT!$T$10</f>
        <v>21.25</v>
      </c>
      <c r="N15" s="53"/>
      <c r="O15" s="226">
        <v>25</v>
      </c>
      <c r="P15" s="226">
        <v>25</v>
      </c>
      <c r="Q15" s="51"/>
      <c r="R15" s="54"/>
      <c r="S15" s="55"/>
      <c r="T15" s="51"/>
    </row>
    <row r="16" spans="2:21">
      <c r="B16" s="18" t="s">
        <v>167</v>
      </c>
      <c r="C16" s="18"/>
      <c r="D16" s="18"/>
      <c r="F16" s="51" t="s">
        <v>937</v>
      </c>
      <c r="G16" s="51"/>
      <c r="H16" s="51" t="str">
        <f t="shared" si="0"/>
        <v>WMPTb1</v>
      </c>
      <c r="I16" s="51" t="s">
        <v>935</v>
      </c>
      <c r="J16" s="51" t="s">
        <v>923</v>
      </c>
      <c r="K16" s="51" t="s">
        <v>936</v>
      </c>
      <c r="L16" s="53">
        <f>O16*CFGRECT!$S$10</f>
        <v>21.25</v>
      </c>
      <c r="M16" s="53">
        <f>P16*CFGRECT!$T$10</f>
        <v>21.25</v>
      </c>
      <c r="N16" s="53"/>
      <c r="O16" s="226">
        <v>25</v>
      </c>
      <c r="P16" s="226">
        <v>25</v>
      </c>
      <c r="Q16" s="51"/>
      <c r="R16" s="54"/>
      <c r="S16" s="55"/>
      <c r="T16" s="51"/>
    </row>
    <row r="17" spans="2:20">
      <c r="B17" s="18" t="s">
        <v>170</v>
      </c>
      <c r="C17" s="18"/>
      <c r="D17" s="18"/>
      <c r="F17" s="51" t="s">
        <v>938</v>
      </c>
      <c r="G17" s="51"/>
      <c r="H17" s="51" t="str">
        <f t="shared" si="0"/>
        <v>UTRP9</v>
      </c>
      <c r="I17" s="51" t="s">
        <v>935</v>
      </c>
      <c r="J17" s="51" t="s">
        <v>923</v>
      </c>
      <c r="K17" s="51" t="s">
        <v>936</v>
      </c>
      <c r="L17" s="53">
        <f>O17*CFGRECT!$S$10</f>
        <v>4.25</v>
      </c>
      <c r="M17" s="53">
        <f>P17*CFGRECT!$T$10</f>
        <v>25.5</v>
      </c>
      <c r="N17" s="53"/>
      <c r="O17" s="226">
        <v>5</v>
      </c>
      <c r="P17" s="226">
        <v>30</v>
      </c>
      <c r="Q17" s="51"/>
      <c r="R17" s="54"/>
      <c r="S17" s="55"/>
      <c r="T17" s="51"/>
    </row>
    <row r="18" spans="2:20">
      <c r="B18" s="18" t="s">
        <v>173</v>
      </c>
      <c r="C18" s="18"/>
      <c r="D18" s="18"/>
      <c r="F18" s="51" t="s">
        <v>939</v>
      </c>
      <c r="G18" s="51"/>
      <c r="H18" s="51" t="str">
        <f t="shared" si="0"/>
        <v>UMPTa1</v>
      </c>
      <c r="I18" s="51" t="s">
        <v>935</v>
      </c>
      <c r="J18" s="51" t="s">
        <v>923</v>
      </c>
      <c r="K18" s="51" t="s">
        <v>936</v>
      </c>
      <c r="L18" s="53">
        <f>O18*CFGRECT!$S$10</f>
        <v>26.349999999999998</v>
      </c>
      <c r="M18" s="53">
        <f>P18*CFGRECT!$T$10</f>
        <v>34</v>
      </c>
      <c r="N18" s="53"/>
      <c r="O18" s="226">
        <v>31</v>
      </c>
      <c r="P18" s="226">
        <v>40</v>
      </c>
      <c r="Q18" s="51"/>
      <c r="R18" s="54"/>
      <c r="S18" s="55"/>
      <c r="T18" s="51"/>
    </row>
    <row r="19" spans="2:20">
      <c r="B19" s="18"/>
      <c r="C19" s="18"/>
      <c r="D19" s="18"/>
      <c r="F19" s="51" t="s">
        <v>940</v>
      </c>
      <c r="G19" s="51"/>
      <c r="H19" s="51" t="str">
        <f t="shared" si="0"/>
        <v>UMPTb1</v>
      </c>
      <c r="I19" s="51" t="s">
        <v>935</v>
      </c>
      <c r="J19" s="51" t="s">
        <v>923</v>
      </c>
      <c r="K19" s="51" t="s">
        <v>936</v>
      </c>
      <c r="L19" s="53">
        <f>O19*CFGRECT!$S$10</f>
        <v>26.349999999999998</v>
      </c>
      <c r="M19" s="53">
        <f>P19*CFGRECT!$T$10</f>
        <v>34</v>
      </c>
      <c r="N19" s="53"/>
      <c r="O19" s="226">
        <v>31</v>
      </c>
      <c r="P19" s="226">
        <v>40</v>
      </c>
      <c r="Q19" s="51"/>
      <c r="R19" s="54"/>
      <c r="S19" s="55"/>
      <c r="T19" s="51"/>
    </row>
    <row r="20" spans="2:20">
      <c r="B20" s="18" t="s">
        <v>176</v>
      </c>
      <c r="C20" s="18"/>
      <c r="D20" s="18"/>
      <c r="F20" s="51" t="s">
        <v>941</v>
      </c>
      <c r="G20" s="51"/>
      <c r="H20" s="51" t="str">
        <f t="shared" si="0"/>
        <v>UMPTb2</v>
      </c>
      <c r="I20" s="51" t="s">
        <v>935</v>
      </c>
      <c r="J20" s="51" t="s">
        <v>923</v>
      </c>
      <c r="K20" s="51" t="s">
        <v>936</v>
      </c>
      <c r="L20" s="53">
        <f>O20*CFGRECT!$S$10</f>
        <v>26.349999999999998</v>
      </c>
      <c r="M20" s="53">
        <f>P20*CFGRECT!$T$10</f>
        <v>34</v>
      </c>
      <c r="N20" s="53"/>
      <c r="O20" s="226">
        <v>31</v>
      </c>
      <c r="P20" s="226">
        <v>40</v>
      </c>
      <c r="Q20" s="51"/>
      <c r="R20" s="54"/>
      <c r="S20" s="55"/>
      <c r="T20" s="51"/>
    </row>
    <row r="21" spans="2:20">
      <c r="B21" s="18"/>
      <c r="C21" s="18"/>
      <c r="D21" s="18"/>
      <c r="F21" s="51" t="s">
        <v>942</v>
      </c>
      <c r="G21" s="51"/>
      <c r="H21" s="51" t="str">
        <f t="shared" si="0"/>
        <v>UMPTe2</v>
      </c>
      <c r="I21" s="51" t="s">
        <v>935</v>
      </c>
      <c r="J21" s="51" t="s">
        <v>923</v>
      </c>
      <c r="K21" s="51" t="s">
        <v>936</v>
      </c>
      <c r="L21" s="53">
        <f>O21*CFGRECT!$S$10</f>
        <v>26.349999999999998</v>
      </c>
      <c r="M21" s="53">
        <f>P21*CFGRECT!$T$10</f>
        <v>34</v>
      </c>
      <c r="N21" s="53"/>
      <c r="O21" s="226">
        <v>31</v>
      </c>
      <c r="P21" s="226">
        <v>40</v>
      </c>
      <c r="Q21" s="51"/>
      <c r="R21" s="54"/>
      <c r="S21" s="55"/>
      <c r="T21" s="51"/>
    </row>
    <row r="22" spans="2:20">
      <c r="B22" s="18"/>
      <c r="C22" s="18"/>
      <c r="D22" s="18"/>
      <c r="F22" s="51" t="s">
        <v>943</v>
      </c>
      <c r="G22" s="51"/>
      <c r="H22" s="51" t="str">
        <f t="shared" si="0"/>
        <v>WBBPd2</v>
      </c>
      <c r="I22" s="51" t="s">
        <v>935</v>
      </c>
      <c r="J22" s="51" t="s">
        <v>923</v>
      </c>
      <c r="K22" s="51" t="s">
        <v>944</v>
      </c>
      <c r="L22" s="53">
        <f>O22*CFGRECT!$S$10</f>
        <v>46.75</v>
      </c>
      <c r="M22" s="53">
        <f>P22*CFGRECT!$T$10</f>
        <v>72.25</v>
      </c>
      <c r="N22" s="53"/>
      <c r="O22" s="226">
        <v>55</v>
      </c>
      <c r="P22" s="226">
        <v>85</v>
      </c>
      <c r="Q22" s="51"/>
      <c r="R22" s="54"/>
      <c r="S22" s="55"/>
      <c r="T22" s="51"/>
    </row>
    <row r="23" spans="2:20">
      <c r="B23" s="18"/>
      <c r="C23" s="18"/>
      <c r="D23" s="18"/>
      <c r="F23" s="51" t="s">
        <v>945</v>
      </c>
      <c r="G23" s="51"/>
      <c r="H23" s="51" t="str">
        <f t="shared" si="0"/>
        <v>WBBPd3</v>
      </c>
      <c r="I23" s="51" t="s">
        <v>935</v>
      </c>
      <c r="J23" s="51" t="s">
        <v>923</v>
      </c>
      <c r="K23" s="51" t="s">
        <v>944</v>
      </c>
      <c r="L23" s="53">
        <f>O23*CFGRECT!$S$10</f>
        <v>46.75</v>
      </c>
      <c r="M23" s="53">
        <f>P23*CFGRECT!$T$10</f>
        <v>72.25</v>
      </c>
      <c r="N23" s="53"/>
      <c r="O23" s="226">
        <v>55</v>
      </c>
      <c r="P23" s="226">
        <v>85</v>
      </c>
      <c r="Q23" s="51"/>
      <c r="R23" s="54"/>
      <c r="S23" s="55"/>
      <c r="T23" s="51"/>
    </row>
    <row r="24" spans="2:20">
      <c r="B24" s="18"/>
      <c r="C24" s="18"/>
      <c r="D24" s="18"/>
      <c r="F24" s="51" t="s">
        <v>946</v>
      </c>
      <c r="G24" s="51"/>
      <c r="H24" s="51" t="str">
        <f t="shared" si="0"/>
        <v>WBBPf4</v>
      </c>
      <c r="I24" s="51" t="s">
        <v>935</v>
      </c>
      <c r="J24" s="51" t="s">
        <v>923</v>
      </c>
      <c r="K24" s="51" t="s">
        <v>944</v>
      </c>
      <c r="L24" s="53">
        <f>O24*CFGRECT!$S$10</f>
        <v>61.199999999999996</v>
      </c>
      <c r="M24" s="53">
        <f>P24*CFGRECT!$T$10</f>
        <v>72.25</v>
      </c>
      <c r="N24" s="53"/>
      <c r="O24" s="226">
        <v>72</v>
      </c>
      <c r="P24" s="226">
        <v>85</v>
      </c>
      <c r="Q24" s="51"/>
      <c r="R24" s="54"/>
      <c r="S24" s="55"/>
      <c r="T24" s="51"/>
    </row>
    <row r="25" spans="2:20">
      <c r="B25" s="18" t="s">
        <v>182</v>
      </c>
      <c r="C25" s="18"/>
      <c r="D25" s="18"/>
      <c r="F25" s="51" t="s">
        <v>947</v>
      </c>
      <c r="G25" s="51"/>
      <c r="H25" s="51" t="str">
        <f t="shared" si="0"/>
        <v>LBBPd2</v>
      </c>
      <c r="I25" s="51" t="s">
        <v>935</v>
      </c>
      <c r="J25" s="51" t="s">
        <v>923</v>
      </c>
      <c r="K25" s="51" t="s">
        <v>944</v>
      </c>
      <c r="L25" s="53">
        <f>O25*CFGRECT!$S$10</f>
        <v>61.199999999999996</v>
      </c>
      <c r="M25" s="53">
        <f>P25*CFGRECT!$T$10</f>
        <v>72.25</v>
      </c>
      <c r="N25" s="53"/>
      <c r="O25" s="226">
        <v>72</v>
      </c>
      <c r="P25" s="226">
        <v>85</v>
      </c>
      <c r="Q25" s="51"/>
      <c r="R25" s="54"/>
      <c r="S25" s="55"/>
      <c r="T25" s="51"/>
    </row>
    <row r="26" spans="2:20">
      <c r="B26" s="285"/>
      <c r="C26" s="285"/>
      <c r="D26" s="285"/>
      <c r="F26" s="51" t="s">
        <v>948</v>
      </c>
      <c r="G26" s="51"/>
      <c r="H26" s="51" t="str">
        <f t="shared" si="0"/>
        <v>UBBPd4</v>
      </c>
      <c r="I26" s="51" t="s">
        <v>935</v>
      </c>
      <c r="J26" s="51" t="s">
        <v>923</v>
      </c>
      <c r="K26" s="51" t="s">
        <v>944</v>
      </c>
      <c r="L26" s="53">
        <f>O26*CFGRECT!$S$10</f>
        <v>58.65</v>
      </c>
      <c r="M26" s="53">
        <f>P26*CFGRECT!$T$10</f>
        <v>72.25</v>
      </c>
      <c r="N26" s="53"/>
      <c r="O26" s="226">
        <v>69</v>
      </c>
      <c r="P26" s="226">
        <v>85</v>
      </c>
      <c r="Q26" s="51"/>
      <c r="R26" s="54"/>
      <c r="S26" s="55"/>
      <c r="T26" s="51"/>
    </row>
    <row r="27" spans="2:20">
      <c r="B27" s="285"/>
      <c r="C27" s="285"/>
      <c r="D27" s="285"/>
      <c r="F27" s="51" t="s">
        <v>949</v>
      </c>
      <c r="G27" s="51"/>
      <c r="H27" s="51" t="str">
        <f t="shared" si="0"/>
        <v>UBBPd6</v>
      </c>
      <c r="I27" s="51" t="s">
        <v>935</v>
      </c>
      <c r="J27" s="51" t="s">
        <v>923</v>
      </c>
      <c r="K27" s="51" t="s">
        <v>944</v>
      </c>
      <c r="L27" s="53">
        <f>O27*CFGRECT!$S$10</f>
        <v>58.65</v>
      </c>
      <c r="M27" s="53">
        <f>P27*CFGRECT!$T$10</f>
        <v>72.25</v>
      </c>
      <c r="N27" s="53"/>
      <c r="O27" s="226">
        <v>69</v>
      </c>
      <c r="P27" s="226">
        <v>85</v>
      </c>
      <c r="Q27" s="51"/>
      <c r="R27" s="54"/>
      <c r="S27" s="55"/>
      <c r="T27" s="51"/>
    </row>
    <row r="28" spans="2:20">
      <c r="B28" s="293"/>
      <c r="C28" s="293"/>
      <c r="D28" s="293"/>
      <c r="F28" s="51" t="s">
        <v>950</v>
      </c>
      <c r="G28" s="51"/>
      <c r="H28" s="51" t="str">
        <f t="shared" si="0"/>
        <v>UBBPe4</v>
      </c>
      <c r="I28" s="51" t="s">
        <v>935</v>
      </c>
      <c r="J28" s="51" t="s">
        <v>923</v>
      </c>
      <c r="K28" s="51" t="s">
        <v>944</v>
      </c>
      <c r="L28" s="53">
        <f>O28*CFGRECT!$S$10</f>
        <v>53.55</v>
      </c>
      <c r="M28" s="53">
        <f>P28*CFGRECT!$T$10</f>
        <v>72.25</v>
      </c>
      <c r="N28" s="53"/>
      <c r="O28" s="226">
        <v>63</v>
      </c>
      <c r="P28" s="226">
        <v>85</v>
      </c>
      <c r="Q28" s="51"/>
      <c r="R28" s="54"/>
      <c r="S28" s="55"/>
      <c r="T28" s="51"/>
    </row>
    <row r="29" spans="2:20">
      <c r="B29" s="293"/>
      <c r="C29" s="293"/>
      <c r="D29" s="293"/>
      <c r="F29" s="51" t="s">
        <v>951</v>
      </c>
      <c r="G29" s="51"/>
      <c r="H29" s="51" t="str">
        <f t="shared" si="0"/>
        <v>UBBPe5</v>
      </c>
      <c r="I29" s="51" t="s">
        <v>935</v>
      </c>
      <c r="J29" s="51" t="s">
        <v>923</v>
      </c>
      <c r="K29" s="51" t="s">
        <v>944</v>
      </c>
      <c r="L29" s="53">
        <f>O29*CFGRECT!$S$10</f>
        <v>55.25</v>
      </c>
      <c r="M29" s="53">
        <f>P29*CFGRECT!$T$10</f>
        <v>72.25</v>
      </c>
      <c r="N29" s="53"/>
      <c r="O29" s="226">
        <v>65</v>
      </c>
      <c r="P29" s="226">
        <v>85</v>
      </c>
      <c r="Q29" s="51"/>
      <c r="R29" s="54"/>
      <c r="S29" s="55"/>
      <c r="T29" s="51"/>
    </row>
    <row r="30" spans="2:20">
      <c r="B30" s="293"/>
      <c r="C30" s="293"/>
      <c r="D30" s="293"/>
      <c r="F30" s="51" t="s">
        <v>952</v>
      </c>
      <c r="G30" s="51"/>
      <c r="H30" s="51" t="str">
        <f t="shared" si="0"/>
        <v>UBBPe6</v>
      </c>
      <c r="I30" s="51" t="s">
        <v>935</v>
      </c>
      <c r="J30" s="51" t="s">
        <v>923</v>
      </c>
      <c r="K30" s="51" t="s">
        <v>944</v>
      </c>
      <c r="L30" s="53">
        <f>O30*CFGRECT!$S$10</f>
        <v>55.25</v>
      </c>
      <c r="M30" s="53">
        <f>P30*CFGRECT!$T$10</f>
        <v>72.25</v>
      </c>
      <c r="N30" s="53"/>
      <c r="O30" s="226">
        <v>65</v>
      </c>
      <c r="P30" s="226">
        <v>85</v>
      </c>
      <c r="Q30" s="51"/>
      <c r="R30" s="54"/>
      <c r="S30" s="55"/>
      <c r="T30" s="51"/>
    </row>
    <row r="31" spans="2:20">
      <c r="B31" s="293"/>
      <c r="C31" s="293"/>
      <c r="D31" s="293"/>
      <c r="F31" s="51" t="s">
        <v>953</v>
      </c>
      <c r="G31" s="51" t="s">
        <v>954</v>
      </c>
      <c r="H31" s="51" t="str">
        <f t="shared" si="0"/>
        <v>LRFUe B28 - 700[2*40]</v>
      </c>
      <c r="I31" s="51" t="s">
        <v>955</v>
      </c>
      <c r="J31" s="51" t="s">
        <v>923</v>
      </c>
      <c r="K31" s="51"/>
      <c r="L31" s="53">
        <f>O31*CFGRECT!$S$10</f>
        <v>213.35</v>
      </c>
      <c r="M31" s="53">
        <f>P31*CFGRECT!$T$10</f>
        <v>244.79999999999998</v>
      </c>
      <c r="N31" s="53"/>
      <c r="O31" s="226">
        <v>251</v>
      </c>
      <c r="P31" s="226">
        <v>288</v>
      </c>
      <c r="Q31" s="51"/>
      <c r="R31" s="54"/>
      <c r="S31" s="55"/>
      <c r="T31" s="51"/>
    </row>
    <row r="32" spans="2:20">
      <c r="B32" s="289"/>
      <c r="C32" s="289"/>
      <c r="D32" s="289"/>
      <c r="F32" s="51" t="s">
        <v>956</v>
      </c>
      <c r="G32" s="51" t="s">
        <v>957</v>
      </c>
      <c r="H32" s="51" t="str">
        <f t="shared" si="0"/>
        <v>MRFU B5 - 850[2*40]</v>
      </c>
      <c r="I32" s="51" t="s">
        <v>955</v>
      </c>
      <c r="J32" s="51" t="s">
        <v>923</v>
      </c>
      <c r="K32" s="51"/>
      <c r="L32" s="53">
        <f>O32*CFGRECT!$S$10</f>
        <v>172.54999999999998</v>
      </c>
      <c r="M32" s="53">
        <f>P32*CFGRECT!$T$10</f>
        <v>189.54999999999998</v>
      </c>
      <c r="N32" s="53"/>
      <c r="O32" s="226">
        <v>203</v>
      </c>
      <c r="P32" s="226">
        <v>223</v>
      </c>
      <c r="Q32" s="53"/>
      <c r="R32" s="56"/>
      <c r="S32" s="57"/>
      <c r="T32" s="53"/>
    </row>
    <row r="33" spans="2:20">
      <c r="B33" s="289"/>
      <c r="C33" s="289"/>
      <c r="D33" s="289"/>
      <c r="F33" s="51" t="s">
        <v>958</v>
      </c>
      <c r="G33" s="51" t="s">
        <v>957</v>
      </c>
      <c r="H33" s="51" t="str">
        <f t="shared" si="0"/>
        <v>MRFUd B5 - 850[2*40]</v>
      </c>
      <c r="I33" s="51" t="s">
        <v>955</v>
      </c>
      <c r="J33" s="51" t="s">
        <v>923</v>
      </c>
      <c r="K33" s="51"/>
      <c r="L33" s="53">
        <f>O33*CFGRECT!$S$10</f>
        <v>148.75</v>
      </c>
      <c r="M33" s="53">
        <f>P33*CFGRECT!$T$10</f>
        <v>164.9</v>
      </c>
      <c r="N33" s="53"/>
      <c r="O33" s="226">
        <v>175</v>
      </c>
      <c r="P33" s="226">
        <v>194</v>
      </c>
      <c r="Q33" s="53"/>
      <c r="R33" s="56"/>
      <c r="S33" s="57"/>
      <c r="T33" s="53"/>
    </row>
    <row r="34" spans="2:20">
      <c r="B34" s="289"/>
      <c r="C34" s="289"/>
      <c r="D34" s="289"/>
      <c r="F34" s="51" t="s">
        <v>959</v>
      </c>
      <c r="G34" s="51" t="s">
        <v>960</v>
      </c>
      <c r="H34" s="51" t="str">
        <f t="shared" si="0"/>
        <v>MRFU B8 - 900[2*40]</v>
      </c>
      <c r="I34" s="51" t="s">
        <v>955</v>
      </c>
      <c r="J34" s="51" t="s">
        <v>923</v>
      </c>
      <c r="K34" s="51"/>
      <c r="L34" s="53">
        <f>O34*CFGRECT!$S$10</f>
        <v>177.65</v>
      </c>
      <c r="M34" s="53">
        <f>P34*CFGRECT!$T$10</f>
        <v>195.5</v>
      </c>
      <c r="N34" s="53"/>
      <c r="O34" s="226">
        <v>209</v>
      </c>
      <c r="P34" s="226">
        <v>230</v>
      </c>
      <c r="Q34" s="53"/>
      <c r="R34" s="56"/>
      <c r="S34" s="57"/>
      <c r="T34" s="53"/>
    </row>
    <row r="35" spans="2:20">
      <c r="B35" s="289"/>
      <c r="C35" s="289"/>
      <c r="D35" s="289"/>
      <c r="F35" s="51" t="s">
        <v>961</v>
      </c>
      <c r="G35" s="51" t="s">
        <v>962</v>
      </c>
      <c r="H35" s="51" t="str">
        <f t="shared" si="0"/>
        <v>MRFUv2 B8 - 900[2*20]</v>
      </c>
      <c r="I35" s="51" t="s">
        <v>955</v>
      </c>
      <c r="J35" s="51" t="s">
        <v>923</v>
      </c>
      <c r="K35" s="51"/>
      <c r="L35" s="53">
        <f>O35*CFGRECT!$S$10</f>
        <v>181.9</v>
      </c>
      <c r="M35" s="53">
        <f>P35*CFGRECT!$T$10</f>
        <v>205.7</v>
      </c>
      <c r="N35" s="53"/>
      <c r="O35" s="226">
        <v>214</v>
      </c>
      <c r="P35" s="226">
        <v>242</v>
      </c>
      <c r="Q35" s="53"/>
      <c r="R35" s="56"/>
      <c r="S35" s="57"/>
      <c r="T35" s="53"/>
    </row>
    <row r="36" spans="2:20">
      <c r="B36" s="289"/>
      <c r="C36" s="289"/>
      <c r="D36" s="289"/>
      <c r="F36" s="51" t="s">
        <v>963</v>
      </c>
      <c r="G36" s="51" t="s">
        <v>964</v>
      </c>
      <c r="H36" s="51" t="str">
        <f t="shared" si="0"/>
        <v>MRFUd B8 - 900[2*60]</v>
      </c>
      <c r="I36" s="51" t="s">
        <v>955</v>
      </c>
      <c r="J36" s="51" t="s">
        <v>923</v>
      </c>
      <c r="K36" s="51"/>
      <c r="L36" s="53">
        <f>O36*CFGRECT!$S$10</f>
        <v>102</v>
      </c>
      <c r="M36" s="53">
        <f>P36*CFGRECT!$T$10</f>
        <v>110.5</v>
      </c>
      <c r="N36" s="53"/>
      <c r="O36" s="226">
        <v>120</v>
      </c>
      <c r="P36" s="226">
        <v>130</v>
      </c>
      <c r="Q36" s="53">
        <v>120.39999999999999</v>
      </c>
      <c r="R36" s="56">
        <v>130.9</v>
      </c>
      <c r="S36" s="57">
        <v>172</v>
      </c>
      <c r="T36" s="53">
        <v>187</v>
      </c>
    </row>
    <row r="37" spans="2:20">
      <c r="B37" s="289"/>
      <c r="C37" s="289"/>
      <c r="D37" s="289"/>
      <c r="F37" s="51" t="s">
        <v>965</v>
      </c>
      <c r="G37" s="51" t="s">
        <v>966</v>
      </c>
      <c r="H37" s="51" t="str">
        <f t="shared" si="0"/>
        <v>MRFUd B3 - 1800[2*60]</v>
      </c>
      <c r="I37" s="51" t="s">
        <v>955</v>
      </c>
      <c r="J37" s="51" t="s">
        <v>923</v>
      </c>
      <c r="K37" s="51"/>
      <c r="L37" s="53">
        <f>O37*CFGRECT!$S$10</f>
        <v>258.39999999999998</v>
      </c>
      <c r="M37" s="53">
        <f>P37*CFGRECT!$T$10</f>
        <v>292.39999999999998</v>
      </c>
      <c r="N37" s="53"/>
      <c r="O37" s="226">
        <v>304</v>
      </c>
      <c r="P37" s="226">
        <v>344</v>
      </c>
      <c r="Q37" s="53">
        <v>0</v>
      </c>
      <c r="R37" s="56">
        <v>0</v>
      </c>
      <c r="S37" s="57"/>
      <c r="T37" s="53"/>
    </row>
    <row r="38" spans="2:20">
      <c r="B38" s="289"/>
      <c r="C38" s="289"/>
      <c r="D38" s="289"/>
      <c r="F38" s="51" t="s">
        <v>967</v>
      </c>
      <c r="G38" s="51" t="s">
        <v>968</v>
      </c>
      <c r="H38" s="51" t="str">
        <f t="shared" si="0"/>
        <v>WRFU B1 - 2100[2*40]</v>
      </c>
      <c r="I38" s="51" t="s">
        <v>955</v>
      </c>
      <c r="J38" s="51" t="s">
        <v>923</v>
      </c>
      <c r="K38" s="51"/>
      <c r="L38" s="53">
        <f>O38*CFGRECT!$S$10</f>
        <v>92.649999999999991</v>
      </c>
      <c r="M38" s="53">
        <f>P38*CFGRECT!$T$10</f>
        <v>106.25</v>
      </c>
      <c r="N38" s="53"/>
      <c r="O38" s="226">
        <v>109</v>
      </c>
      <c r="P38" s="226">
        <v>125</v>
      </c>
      <c r="Q38" s="53">
        <v>109.19999999999999</v>
      </c>
      <c r="R38" s="56">
        <v>124.6</v>
      </c>
      <c r="S38" s="57">
        <v>156</v>
      </c>
      <c r="T38" s="53">
        <v>178</v>
      </c>
    </row>
    <row r="39" spans="2:20">
      <c r="B39" s="289"/>
      <c r="C39" s="289"/>
      <c r="D39" s="289"/>
      <c r="F39" s="51" t="s">
        <v>969</v>
      </c>
      <c r="G39" s="51" t="s">
        <v>968</v>
      </c>
      <c r="H39" s="51" t="str">
        <f t="shared" si="0"/>
        <v>WRFUe B1 - 2100[2*40]</v>
      </c>
      <c r="I39" s="51" t="s">
        <v>955</v>
      </c>
      <c r="J39" s="51" t="s">
        <v>923</v>
      </c>
      <c r="K39" s="51"/>
      <c r="L39" s="53">
        <f>O39*CFGRECT!$S$10</f>
        <v>127.5</v>
      </c>
      <c r="M39" s="53">
        <f>P39*CFGRECT!$T$10</f>
        <v>144.5</v>
      </c>
      <c r="N39" s="53"/>
      <c r="O39" s="226">
        <v>150</v>
      </c>
      <c r="P39" s="226">
        <v>170</v>
      </c>
      <c r="Q39" s="51"/>
      <c r="R39" s="54"/>
      <c r="S39" s="55"/>
      <c r="T39" s="51"/>
    </row>
    <row r="40" spans="2:20">
      <c r="B40" s="289"/>
      <c r="C40" s="289"/>
      <c r="D40" s="289"/>
      <c r="F40" s="51" t="s">
        <v>970</v>
      </c>
      <c r="G40" s="51" t="s">
        <v>971</v>
      </c>
      <c r="H40" s="51" t="str">
        <f t="shared" si="0"/>
        <v>LRFUe B7 - 2600[2*40]</v>
      </c>
      <c r="I40" s="51" t="s">
        <v>955</v>
      </c>
      <c r="J40" s="51" t="s">
        <v>923</v>
      </c>
      <c r="K40" s="51"/>
      <c r="L40" s="53">
        <f>O40*CFGRECT!$S$10</f>
        <v>204</v>
      </c>
      <c r="M40" s="53">
        <f>P40*CFGRECT!$T$10</f>
        <v>244.79999999999998</v>
      </c>
      <c r="N40" s="53"/>
      <c r="O40" s="226">
        <v>240</v>
      </c>
      <c r="P40" s="226">
        <v>288</v>
      </c>
      <c r="Q40" s="51"/>
      <c r="R40" s="54"/>
      <c r="S40" s="55"/>
      <c r="T40" s="51"/>
    </row>
    <row r="41" spans="2:20">
      <c r="B41" s="289"/>
      <c r="C41" s="289"/>
      <c r="D41" s="289"/>
      <c r="F41" s="51" t="s">
        <v>970</v>
      </c>
      <c r="G41" s="51" t="s">
        <v>972</v>
      </c>
      <c r="H41" s="51" t="str">
        <f t="shared" si="0"/>
        <v>LRFUe B7 - 2600[2*60]</v>
      </c>
      <c r="I41" s="51" t="s">
        <v>955</v>
      </c>
      <c r="J41" s="51" t="s">
        <v>923</v>
      </c>
      <c r="K41" s="51"/>
      <c r="L41" s="53">
        <f>O41*CFGRECT!$S$10</f>
        <v>255</v>
      </c>
      <c r="M41" s="53">
        <f>P41*CFGRECT!$T$10</f>
        <v>314.5</v>
      </c>
      <c r="N41" s="53"/>
      <c r="O41" s="226">
        <v>300</v>
      </c>
      <c r="P41" s="226">
        <v>370</v>
      </c>
      <c r="Q41" s="51"/>
      <c r="R41" s="54"/>
      <c r="S41" s="55"/>
      <c r="T41" s="51"/>
    </row>
    <row r="42" spans="2:20">
      <c r="B42" s="289"/>
      <c r="C42" s="289"/>
      <c r="D42" s="289"/>
      <c r="F42" s="51" t="s">
        <v>973</v>
      </c>
      <c r="G42" s="51" t="s">
        <v>974</v>
      </c>
      <c r="H42" s="51" t="str">
        <f t="shared" si="0"/>
        <v>RRU3268 B28 - 700[2*80]</v>
      </c>
      <c r="I42" s="51" t="s">
        <v>975</v>
      </c>
      <c r="J42" s="51" t="s">
        <v>923</v>
      </c>
      <c r="K42" s="51"/>
      <c r="L42" s="53">
        <f>O42*CFGRECT!$S$10</f>
        <v>204</v>
      </c>
      <c r="M42" s="53">
        <f>P42*CFGRECT!$T$10</f>
        <v>238</v>
      </c>
      <c r="N42" s="53"/>
      <c r="O42" s="226">
        <v>240</v>
      </c>
      <c r="P42" s="226">
        <v>280</v>
      </c>
      <c r="Q42" s="51"/>
      <c r="R42" s="54"/>
      <c r="S42" s="55"/>
      <c r="T42" s="51"/>
    </row>
    <row r="43" spans="2:20">
      <c r="B43" s="289"/>
      <c r="C43" s="289"/>
      <c r="D43" s="289"/>
      <c r="F43" s="51" t="s">
        <v>976</v>
      </c>
      <c r="G43" s="51" t="s">
        <v>977</v>
      </c>
      <c r="H43" s="51" t="str">
        <f t="shared" si="0"/>
        <v>RRU3262 B28 - 700[4*40]</v>
      </c>
      <c r="I43" s="51" t="s">
        <v>975</v>
      </c>
      <c r="J43" s="51" t="s">
        <v>923</v>
      </c>
      <c r="K43" s="51"/>
      <c r="L43" s="53">
        <f>O43*CFGRECT!$S$10</f>
        <v>215.9</v>
      </c>
      <c r="M43" s="53">
        <f>P43*CFGRECT!$T$10</f>
        <v>245.65</v>
      </c>
      <c r="N43" s="53"/>
      <c r="O43" s="226">
        <v>254</v>
      </c>
      <c r="P43" s="226">
        <v>289</v>
      </c>
      <c r="Q43" s="51"/>
      <c r="R43" s="54"/>
      <c r="S43" s="55"/>
      <c r="T43" s="51"/>
    </row>
    <row r="44" spans="2:20">
      <c r="B44" s="289"/>
      <c r="C44" s="289"/>
      <c r="D44" s="289"/>
      <c r="F44" s="51" t="s">
        <v>978</v>
      </c>
      <c r="G44" s="51" t="s">
        <v>979</v>
      </c>
      <c r="H44" s="51" t="str">
        <f t="shared" si="0"/>
        <v>RRU5301 B28 - 700[4*20]</v>
      </c>
      <c r="I44" s="51" t="s">
        <v>975</v>
      </c>
      <c r="J44" s="51" t="s">
        <v>923</v>
      </c>
      <c r="K44" s="51"/>
      <c r="L44" s="53">
        <f>O44*CFGRECT!$S$10</f>
        <v>323.84999999999997</v>
      </c>
      <c r="M44" s="53">
        <f>P44*CFGRECT!$T$10</f>
        <v>384.2</v>
      </c>
      <c r="N44" s="53"/>
      <c r="O44" s="226">
        <v>381</v>
      </c>
      <c r="P44" s="226">
        <v>452</v>
      </c>
      <c r="Q44" s="51"/>
      <c r="R44" s="54"/>
      <c r="S44" s="55"/>
      <c r="T44" s="51"/>
    </row>
    <row r="45" spans="2:20">
      <c r="B45" s="289"/>
      <c r="C45" s="289"/>
      <c r="D45" s="289"/>
      <c r="F45" s="51" t="s">
        <v>980</v>
      </c>
      <c r="G45" s="51" t="s">
        <v>981</v>
      </c>
      <c r="H45" s="51" t="str">
        <f t="shared" si="0"/>
        <v>RRU3952 B5 - 850[1*60]</v>
      </c>
      <c r="I45" s="51" t="s">
        <v>975</v>
      </c>
      <c r="J45" s="51" t="s">
        <v>923</v>
      </c>
      <c r="K45" s="51"/>
      <c r="L45" s="53">
        <f>O45*CFGRECT!$S$10</f>
        <v>209.1</v>
      </c>
      <c r="M45" s="53">
        <f>P45*CFGRECT!$T$10</f>
        <v>240.54999999999998</v>
      </c>
      <c r="N45" s="53"/>
      <c r="O45" s="226">
        <v>246</v>
      </c>
      <c r="P45" s="226">
        <v>283</v>
      </c>
      <c r="Q45" s="51"/>
      <c r="R45" s="54"/>
      <c r="S45" s="55"/>
      <c r="T45" s="51"/>
    </row>
    <row r="46" spans="2:20">
      <c r="B46" s="289"/>
      <c r="C46" s="289"/>
      <c r="D46" s="289"/>
      <c r="F46" s="51" t="s">
        <v>982</v>
      </c>
      <c r="G46" s="51" t="s">
        <v>983</v>
      </c>
      <c r="H46" s="51" t="str">
        <f t="shared" si="0"/>
        <v>RRU3936 B8 - 900[1*60]</v>
      </c>
      <c r="I46" s="51" t="s">
        <v>975</v>
      </c>
      <c r="J46" s="51" t="s">
        <v>923</v>
      </c>
      <c r="K46" s="51"/>
      <c r="L46" s="53">
        <f>O46*CFGRECT!$S$10</f>
        <v>170</v>
      </c>
      <c r="M46" s="53">
        <f>P46*CFGRECT!$T$10</f>
        <v>193.79999999999998</v>
      </c>
      <c r="N46" s="53"/>
      <c r="O46" s="226">
        <v>200</v>
      </c>
      <c r="P46" s="226">
        <v>228</v>
      </c>
      <c r="Q46" s="51"/>
      <c r="R46" s="54"/>
      <c r="S46" s="55"/>
      <c r="T46" s="51"/>
    </row>
    <row r="47" spans="2:20">
      <c r="B47" s="289"/>
      <c r="C47" s="289"/>
      <c r="D47" s="289"/>
      <c r="F47" s="51" t="s">
        <v>984</v>
      </c>
      <c r="G47" s="51" t="s">
        <v>983</v>
      </c>
      <c r="H47" s="51" t="str">
        <f t="shared" si="0"/>
        <v>RRU3953 B8 - 900[1*60]</v>
      </c>
      <c r="I47" s="51" t="s">
        <v>975</v>
      </c>
      <c r="J47" s="51" t="s">
        <v>923</v>
      </c>
      <c r="K47" s="51"/>
      <c r="L47" s="53">
        <f>O47*CFGRECT!$S$10</f>
        <v>229.5</v>
      </c>
      <c r="M47" s="53">
        <f>P47*CFGRECT!$T$10</f>
        <v>267.75</v>
      </c>
      <c r="N47" s="53"/>
      <c r="O47" s="226">
        <v>270</v>
      </c>
      <c r="P47" s="226">
        <v>315</v>
      </c>
      <c r="Q47" s="51"/>
      <c r="R47" s="54"/>
      <c r="S47" s="55"/>
      <c r="T47" s="51"/>
    </row>
    <row r="48" spans="2:20">
      <c r="B48" s="289"/>
      <c r="C48" s="289"/>
      <c r="D48" s="289"/>
      <c r="F48" s="51" t="s">
        <v>985</v>
      </c>
      <c r="G48" s="51" t="s">
        <v>983</v>
      </c>
      <c r="H48" s="51" t="str">
        <f t="shared" si="0"/>
        <v>RRU3959 B8 - 900[1*60]</v>
      </c>
      <c r="I48" s="51" t="s">
        <v>975</v>
      </c>
      <c r="J48" s="51" t="s">
        <v>923</v>
      </c>
      <c r="K48" s="51"/>
      <c r="L48" s="53">
        <f>O48*CFGRECT!$S$10</f>
        <v>142.79999999999998</v>
      </c>
      <c r="M48" s="53">
        <f>P48*CFGRECT!$T$10</f>
        <v>164.04999999999998</v>
      </c>
      <c r="N48" s="53"/>
      <c r="O48" s="226">
        <v>168</v>
      </c>
      <c r="P48" s="226">
        <v>193</v>
      </c>
      <c r="Q48" s="51"/>
      <c r="R48" s="54"/>
      <c r="S48" s="55"/>
      <c r="T48" s="51"/>
    </row>
    <row r="49" spans="6:28">
      <c r="F49" s="51" t="s">
        <v>986</v>
      </c>
      <c r="G49" s="51" t="s">
        <v>962</v>
      </c>
      <c r="H49" s="51" t="str">
        <f t="shared" si="0"/>
        <v>RRU3926 B8 - 900[2*20]</v>
      </c>
      <c r="I49" s="51" t="s">
        <v>975</v>
      </c>
      <c r="J49" s="51" t="s">
        <v>923</v>
      </c>
      <c r="K49" s="51"/>
      <c r="L49" s="53">
        <f>O49*CFGRECT!$S$10</f>
        <v>212.5</v>
      </c>
      <c r="M49" s="53">
        <f>P49*CFGRECT!$T$10</f>
        <v>238</v>
      </c>
      <c r="N49" s="53"/>
      <c r="O49" s="226">
        <v>250</v>
      </c>
      <c r="P49" s="226">
        <v>280</v>
      </c>
      <c r="Q49" s="51"/>
      <c r="R49" s="54"/>
      <c r="S49" s="55"/>
      <c r="T49" s="51"/>
    </row>
    <row r="50" spans="6:28">
      <c r="F50" s="51" t="s">
        <v>987</v>
      </c>
      <c r="G50" s="51" t="s">
        <v>988</v>
      </c>
      <c r="H50" s="51" t="str">
        <f t="shared" si="0"/>
        <v>RRU3936 B5/B8 - 85/09[2*20]</v>
      </c>
      <c r="I50" s="51" t="s">
        <v>975</v>
      </c>
      <c r="J50" s="51" t="s">
        <v>923</v>
      </c>
      <c r="K50" s="51"/>
      <c r="L50" s="53">
        <f>O50*CFGRECT!$S$10</f>
        <v>212.5</v>
      </c>
      <c r="M50" s="53">
        <f>P50*CFGRECT!$T$10</f>
        <v>238</v>
      </c>
      <c r="N50" s="53"/>
      <c r="O50" s="226">
        <v>250</v>
      </c>
      <c r="P50" s="226">
        <v>280</v>
      </c>
      <c r="Q50" s="51"/>
      <c r="R50" s="54"/>
      <c r="S50" s="55"/>
      <c r="T50" s="51"/>
    </row>
    <row r="51" spans="6:28">
      <c r="F51" s="51" t="s">
        <v>989</v>
      </c>
      <c r="G51" s="51" t="s">
        <v>966</v>
      </c>
      <c r="H51" s="51" t="str">
        <f t="shared" si="0"/>
        <v>RRU3929 B3 - 1800[2*60]</v>
      </c>
      <c r="I51" s="51" t="s">
        <v>975</v>
      </c>
      <c r="J51" s="51" t="s">
        <v>923</v>
      </c>
      <c r="K51" s="51"/>
      <c r="L51" s="53">
        <f>O51*CFGRECT!$S$10</f>
        <v>287.3</v>
      </c>
      <c r="M51" s="53">
        <f>P51*CFGRECT!$T$10</f>
        <v>343.4</v>
      </c>
      <c r="N51" s="53"/>
      <c r="O51" s="226">
        <v>338</v>
      </c>
      <c r="P51" s="226">
        <v>404</v>
      </c>
      <c r="Q51" s="51"/>
      <c r="R51" s="54"/>
      <c r="S51" s="55"/>
      <c r="T51" s="51"/>
    </row>
    <row r="52" spans="6:28">
      <c r="F52" s="51" t="s">
        <v>990</v>
      </c>
      <c r="G52" s="51" t="s">
        <v>966</v>
      </c>
      <c r="H52" s="51" t="str">
        <f t="shared" si="0"/>
        <v>RRU5907 B3 - 1800[2*60]</v>
      </c>
      <c r="I52" s="51" t="s">
        <v>975</v>
      </c>
      <c r="J52" s="51" t="s">
        <v>923</v>
      </c>
      <c r="K52" s="51"/>
      <c r="L52" s="53">
        <f>O52*CFGRECT!$S$10</f>
        <v>280.5</v>
      </c>
      <c r="M52" s="53">
        <f>P52*CFGRECT!$T$10</f>
        <v>351.9</v>
      </c>
      <c r="N52" s="53"/>
      <c r="O52" s="226">
        <v>330</v>
      </c>
      <c r="P52" s="226">
        <v>414</v>
      </c>
      <c r="Q52" s="51"/>
      <c r="R52" s="54"/>
      <c r="S52" s="55"/>
      <c r="T52" s="51"/>
    </row>
    <row r="53" spans="6:28">
      <c r="F53" s="51" t="s">
        <v>991</v>
      </c>
      <c r="G53" s="51" t="s">
        <v>966</v>
      </c>
      <c r="H53" s="51" t="str">
        <f t="shared" si="0"/>
        <v>RRU3953 B3 - 1800[2*60]</v>
      </c>
      <c r="I53" s="51" t="s">
        <v>975</v>
      </c>
      <c r="J53" s="51" t="s">
        <v>923</v>
      </c>
      <c r="K53" s="51"/>
      <c r="L53" s="53">
        <f>O53*CFGRECT!$S$10</f>
        <v>268.59999999999997</v>
      </c>
      <c r="M53" s="53">
        <f>P53*CFGRECT!$T$10</f>
        <v>329.8</v>
      </c>
      <c r="N53" s="53"/>
      <c r="O53" s="226">
        <v>316</v>
      </c>
      <c r="P53" s="226">
        <v>388</v>
      </c>
      <c r="Q53" s="51"/>
      <c r="R53" s="54"/>
      <c r="S53" s="55"/>
      <c r="T53" s="51"/>
    </row>
    <row r="54" spans="6:28">
      <c r="F54" s="51" t="s">
        <v>992</v>
      </c>
      <c r="G54" s="51" t="s">
        <v>993</v>
      </c>
      <c r="H54" s="51" t="str">
        <f t="shared" si="0"/>
        <v>RRU3971 B3 - 1800[4*40]</v>
      </c>
      <c r="I54" s="51" t="s">
        <v>975</v>
      </c>
      <c r="J54" s="51" t="s">
        <v>923</v>
      </c>
      <c r="K54" s="51"/>
      <c r="L54" s="53">
        <f>O54*CFGRECT!$S$10</f>
        <v>198.04999999999998</v>
      </c>
      <c r="M54" s="53">
        <f>P54*CFGRECT!$T$10</f>
        <v>230.35</v>
      </c>
      <c r="N54" s="53"/>
      <c r="O54" s="226">
        <v>233</v>
      </c>
      <c r="P54" s="226">
        <v>271</v>
      </c>
      <c r="Q54" s="51"/>
      <c r="R54" s="54"/>
      <c r="S54" s="55"/>
      <c r="T54" s="51"/>
      <c r="Y54" s="187"/>
      <c r="Z54" s="187"/>
      <c r="AA54" s="187"/>
      <c r="AB54" s="187"/>
    </row>
    <row r="55" spans="6:28">
      <c r="F55" s="51" t="s">
        <v>994</v>
      </c>
      <c r="G55" s="51" t="s">
        <v>993</v>
      </c>
      <c r="H55" s="51" t="str">
        <f t="shared" si="0"/>
        <v>RRU5901 B3 - 1800[4*40]</v>
      </c>
      <c r="I55" s="51" t="s">
        <v>975</v>
      </c>
      <c r="J55" s="51" t="s">
        <v>923</v>
      </c>
      <c r="K55" s="51"/>
      <c r="L55" s="53">
        <f>O55*CFGRECT!$S$10</f>
        <v>282.2</v>
      </c>
      <c r="M55" s="53">
        <f>P55*CFGRECT!$T$10</f>
        <v>334.05</v>
      </c>
      <c r="N55" s="53"/>
      <c r="O55" s="226">
        <v>332</v>
      </c>
      <c r="P55" s="226">
        <v>393</v>
      </c>
      <c r="Q55" s="51"/>
      <c r="R55" s="54"/>
      <c r="S55" s="55"/>
      <c r="T55" s="51"/>
    </row>
    <row r="56" spans="6:28">
      <c r="F56" s="51" t="s">
        <v>995</v>
      </c>
      <c r="G56" s="51" t="s">
        <v>993</v>
      </c>
      <c r="H56" s="51" t="str">
        <f t="shared" si="0"/>
        <v>RRU5904 B3 - 1800[4*40]</v>
      </c>
      <c r="I56" s="51" t="s">
        <v>975</v>
      </c>
      <c r="J56" s="51" t="s">
        <v>923</v>
      </c>
      <c r="K56" s="51"/>
      <c r="L56" s="53">
        <f>O56*CFGRECT!$S$10</f>
        <v>190.4</v>
      </c>
      <c r="M56" s="53">
        <f>P56*CFGRECT!$T$10</f>
        <v>232.04999999999998</v>
      </c>
      <c r="N56" s="53"/>
      <c r="O56" s="226">
        <v>224</v>
      </c>
      <c r="P56" s="226">
        <v>273</v>
      </c>
      <c r="Q56" s="51"/>
      <c r="R56" s="54"/>
      <c r="S56" s="55"/>
      <c r="T56" s="51"/>
    </row>
    <row r="57" spans="6:28">
      <c r="F57" s="51" t="s">
        <v>996</v>
      </c>
      <c r="G57" s="51" t="s">
        <v>997</v>
      </c>
      <c r="H57" s="51" t="str">
        <f t="shared" si="0"/>
        <v>RRU3804 B1 - 2100[2*60]</v>
      </c>
      <c r="I57" s="51" t="s">
        <v>975</v>
      </c>
      <c r="J57" s="51" t="s">
        <v>923</v>
      </c>
      <c r="K57" s="51"/>
      <c r="L57" s="53">
        <f>O57*CFGRECT!$S$10</f>
        <v>155.54999999999998</v>
      </c>
      <c r="M57" s="53">
        <f>P57*CFGRECT!$T$10</f>
        <v>183.6</v>
      </c>
      <c r="N57" s="53"/>
      <c r="O57" s="226">
        <v>183</v>
      </c>
      <c r="P57" s="226">
        <v>216</v>
      </c>
      <c r="Q57" s="51"/>
      <c r="R57" s="54"/>
      <c r="S57" s="55"/>
      <c r="T57" s="51"/>
    </row>
    <row r="58" spans="6:28">
      <c r="F58" s="51" t="s">
        <v>998</v>
      </c>
      <c r="G58" s="51" t="s">
        <v>999</v>
      </c>
      <c r="H58" s="51" t="str">
        <f t="shared" si="0"/>
        <v>RRU3806 B1 - 2100[2*80]</v>
      </c>
      <c r="I58" s="51" t="s">
        <v>975</v>
      </c>
      <c r="J58" s="51" t="s">
        <v>923</v>
      </c>
      <c r="K58" s="51"/>
      <c r="L58" s="53">
        <f>O58*CFGRECT!$S$10</f>
        <v>158.94999999999999</v>
      </c>
      <c r="M58" s="53">
        <f>P58*CFGRECT!$T$10</f>
        <v>187.85</v>
      </c>
      <c r="N58" s="53"/>
      <c r="O58" s="226">
        <v>187</v>
      </c>
      <c r="P58" s="226">
        <v>221</v>
      </c>
      <c r="Q58" s="51"/>
      <c r="R58" s="54"/>
      <c r="S58" s="55"/>
      <c r="T58" s="51"/>
    </row>
    <row r="59" spans="6:28">
      <c r="F59" s="51" t="s">
        <v>1000</v>
      </c>
      <c r="G59" s="51" t="s">
        <v>1001</v>
      </c>
      <c r="H59" s="51" t="str">
        <f t="shared" si="0"/>
        <v>RRU5507 B1 - 2100[4*80]</v>
      </c>
      <c r="I59" s="51" t="s">
        <v>975</v>
      </c>
      <c r="J59" s="51" t="s">
        <v>923</v>
      </c>
      <c r="K59" s="51"/>
      <c r="L59" s="53">
        <f>O59*CFGRECT!$S$10</f>
        <v>276.25</v>
      </c>
      <c r="M59" s="53">
        <f>P59*CFGRECT!$T$10</f>
        <v>319.59999999999997</v>
      </c>
      <c r="N59" s="53"/>
      <c r="O59" s="226">
        <v>325</v>
      </c>
      <c r="P59" s="226">
        <v>376</v>
      </c>
      <c r="Q59" s="51"/>
      <c r="R59" s="54"/>
      <c r="S59" s="55"/>
      <c r="T59" s="51"/>
    </row>
    <row r="60" spans="6:28">
      <c r="F60" s="51" t="s">
        <v>1002</v>
      </c>
      <c r="G60" s="51" t="s">
        <v>1003</v>
      </c>
      <c r="H60" s="51" t="str">
        <f t="shared" si="0"/>
        <v>RRU3832 B1 - 2100[4*60]</v>
      </c>
      <c r="I60" s="51" t="s">
        <v>975</v>
      </c>
      <c r="J60" s="51" t="s">
        <v>923</v>
      </c>
      <c r="K60" s="51"/>
      <c r="L60" s="53">
        <f>O60*CFGRECT!$S$10</f>
        <v>246.5</v>
      </c>
      <c r="M60" s="53">
        <f>P60*CFGRECT!$T$10</f>
        <v>284.75</v>
      </c>
      <c r="N60" s="53"/>
      <c r="O60" s="226">
        <v>290</v>
      </c>
      <c r="P60" s="226">
        <v>335</v>
      </c>
      <c r="Q60" s="51"/>
      <c r="R60" s="54"/>
      <c r="S60" s="55"/>
      <c r="T60" s="51"/>
    </row>
    <row r="61" spans="6:28">
      <c r="F61" s="51" t="s">
        <v>1004</v>
      </c>
      <c r="G61" s="51" t="s">
        <v>1005</v>
      </c>
      <c r="H61" s="51" t="str">
        <f t="shared" si="0"/>
        <v>RRU3971 B1 - 2100[4*40]</v>
      </c>
      <c r="I61" s="51" t="s">
        <v>975</v>
      </c>
      <c r="J61" s="51" t="s">
        <v>923</v>
      </c>
      <c r="K61" s="51"/>
      <c r="L61" s="53">
        <f>O61*CFGRECT!$S$10</f>
        <v>192.1</v>
      </c>
      <c r="M61" s="53">
        <f>P61*CFGRECT!$T$10</f>
        <v>220.15</v>
      </c>
      <c r="N61" s="53"/>
      <c r="O61" s="226">
        <v>226</v>
      </c>
      <c r="P61" s="226">
        <v>259</v>
      </c>
      <c r="Q61" s="51"/>
      <c r="R61" s="54"/>
      <c r="S61" s="55"/>
      <c r="T61" s="51"/>
    </row>
    <row r="62" spans="6:28">
      <c r="F62" s="51" t="s">
        <v>1006</v>
      </c>
      <c r="G62" s="51" t="s">
        <v>1005</v>
      </c>
      <c r="H62" s="51" t="str">
        <f t="shared" si="0"/>
        <v>RRU5904 B1 - 2100[4*40]</v>
      </c>
      <c r="I62" s="51" t="s">
        <v>975</v>
      </c>
      <c r="J62" s="51" t="s">
        <v>923</v>
      </c>
      <c r="K62" s="51"/>
      <c r="L62" s="53">
        <f>O62*CFGRECT!$S$10</f>
        <v>276.25</v>
      </c>
      <c r="M62" s="53">
        <f>P62*CFGRECT!$T$10</f>
        <v>323.84999999999997</v>
      </c>
      <c r="N62" s="53"/>
      <c r="O62" s="226">
        <v>325</v>
      </c>
      <c r="P62" s="226">
        <v>381</v>
      </c>
      <c r="Q62" s="51"/>
      <c r="R62" s="54"/>
      <c r="S62" s="55"/>
      <c r="T62" s="51"/>
    </row>
    <row r="63" spans="6:28">
      <c r="F63" s="51" t="s">
        <v>1007</v>
      </c>
      <c r="G63" s="51" t="s">
        <v>1008</v>
      </c>
      <c r="H63" s="51" t="str">
        <f t="shared" si="0"/>
        <v>RRU3971 B3/B1 - 18+21[4*20]</v>
      </c>
      <c r="I63" s="51" t="s">
        <v>975</v>
      </c>
      <c r="J63" s="51" t="s">
        <v>923</v>
      </c>
      <c r="K63" s="51"/>
      <c r="L63" s="53">
        <f>O63*CFGRECT!$S$10</f>
        <v>193.79999999999998</v>
      </c>
      <c r="M63" s="53">
        <f>P63*CFGRECT!$T$10</f>
        <v>224.4</v>
      </c>
      <c r="N63" s="53"/>
      <c r="O63" s="226">
        <v>228</v>
      </c>
      <c r="P63" s="226">
        <v>264</v>
      </c>
      <c r="Q63" s="51"/>
      <c r="R63" s="54"/>
      <c r="S63" s="55"/>
      <c r="T63" s="51"/>
    </row>
    <row r="64" spans="6:28">
      <c r="F64" s="51" t="s">
        <v>1009</v>
      </c>
      <c r="G64" s="51" t="s">
        <v>1010</v>
      </c>
      <c r="H64" s="51" t="str">
        <f t="shared" si="0"/>
        <v>RRU5501 B3/B1 - 18+21[4*80]</v>
      </c>
      <c r="I64" s="51" t="s">
        <v>975</v>
      </c>
      <c r="J64" s="51" t="s">
        <v>923</v>
      </c>
      <c r="K64" s="51"/>
      <c r="L64" s="53">
        <f>O64*CFGRECT!$S$10</f>
        <v>572.9</v>
      </c>
      <c r="M64" s="53">
        <f>P64*CFGRECT!$T$10</f>
        <v>674.05</v>
      </c>
      <c r="N64" s="53"/>
      <c r="O64" s="226">
        <v>674</v>
      </c>
      <c r="P64" s="226">
        <v>793</v>
      </c>
      <c r="Q64" s="51"/>
      <c r="R64" s="54"/>
      <c r="S64" s="55"/>
      <c r="T64" s="51"/>
    </row>
    <row r="65" spans="6:20">
      <c r="F65" s="51" t="s">
        <v>1011</v>
      </c>
      <c r="G65" s="51" t="s">
        <v>1012</v>
      </c>
      <c r="H65" s="51" t="str">
        <f t="shared" si="0"/>
        <v>RRU5502 B3/B1 - 18+21[4*60]</v>
      </c>
      <c r="I65" s="51" t="s">
        <v>975</v>
      </c>
      <c r="J65" s="51" t="s">
        <v>923</v>
      </c>
      <c r="K65" s="51"/>
      <c r="L65" s="53">
        <f>O65*CFGRECT!$S$10</f>
        <v>496.4</v>
      </c>
      <c r="M65" s="53">
        <f>P65*CFGRECT!$T$10</f>
        <v>641.75</v>
      </c>
      <c r="N65" s="53"/>
      <c r="O65" s="226">
        <v>584</v>
      </c>
      <c r="P65" s="226">
        <v>755</v>
      </c>
      <c r="Q65" s="51"/>
      <c r="R65" s="54"/>
      <c r="S65" s="55"/>
      <c r="T65" s="51"/>
    </row>
    <row r="66" spans="6:20">
      <c r="F66" s="51" t="s">
        <v>1013</v>
      </c>
      <c r="G66" s="51" t="s">
        <v>1014</v>
      </c>
      <c r="H66" s="51" t="str">
        <f t="shared" si="0"/>
        <v>RRU3256 B40 - 2300[4*30]</v>
      </c>
      <c r="I66" s="51" t="s">
        <v>975</v>
      </c>
      <c r="J66" s="51" t="s">
        <v>923</v>
      </c>
      <c r="K66" s="51"/>
      <c r="L66" s="53">
        <f>O66*CFGRECT!$S$10</f>
        <v>195.5</v>
      </c>
      <c r="M66" s="53">
        <f>P66*CFGRECT!$T$10</f>
        <v>215.9</v>
      </c>
      <c r="N66" s="53"/>
      <c r="O66" s="226">
        <v>230</v>
      </c>
      <c r="P66" s="226">
        <v>254</v>
      </c>
      <c r="Q66" s="51"/>
      <c r="R66" s="54"/>
      <c r="S66" s="55"/>
      <c r="T66" s="51"/>
    </row>
    <row r="67" spans="6:20">
      <c r="F67" s="51" t="s">
        <v>1015</v>
      </c>
      <c r="G67" s="51" t="s">
        <v>1016</v>
      </c>
      <c r="H67" s="51" t="str">
        <f t="shared" si="0"/>
        <v>RRU3276 B40 - 2300[4*40]</v>
      </c>
      <c r="I67" s="51" t="s">
        <v>975</v>
      </c>
      <c r="J67" s="51" t="s">
        <v>923</v>
      </c>
      <c r="K67" s="51"/>
      <c r="L67" s="53">
        <f>O67*CFGRECT!$S$10</f>
        <v>187</v>
      </c>
      <c r="M67" s="53">
        <f>P67*CFGRECT!$T$10</f>
        <v>215.04999999999998</v>
      </c>
      <c r="N67" s="53"/>
      <c r="O67" s="226">
        <v>220</v>
      </c>
      <c r="P67" s="226">
        <v>253</v>
      </c>
      <c r="Q67" s="51"/>
      <c r="R67" s="54"/>
      <c r="S67" s="55"/>
      <c r="T67" s="51"/>
    </row>
    <row r="68" spans="6:20">
      <c r="F68" s="51" t="s">
        <v>1017</v>
      </c>
      <c r="G68" s="51" t="s">
        <v>971</v>
      </c>
      <c r="H68" s="51" t="str">
        <f t="shared" si="0"/>
        <v>RRU3260 B7 - 2600[2*40]</v>
      </c>
      <c r="I68" s="51" t="s">
        <v>975</v>
      </c>
      <c r="J68" s="51" t="s">
        <v>923</v>
      </c>
      <c r="K68" s="51"/>
      <c r="L68" s="53">
        <f>O68*CFGRECT!$S$10</f>
        <v>214.2</v>
      </c>
      <c r="M68" s="53">
        <f>P68*CFGRECT!$T$10</f>
        <v>245.65</v>
      </c>
      <c r="N68" s="53"/>
      <c r="O68" s="226">
        <v>252</v>
      </c>
      <c r="P68" s="226">
        <v>289</v>
      </c>
      <c r="Q68" s="51"/>
      <c r="R68" s="54"/>
      <c r="S68" s="55"/>
      <c r="T68" s="51"/>
    </row>
    <row r="69" spans="6:20">
      <c r="F69" s="51" t="s">
        <v>1018</v>
      </c>
      <c r="G69" s="51" t="s">
        <v>972</v>
      </c>
      <c r="H69" s="51" t="str">
        <f t="shared" si="0"/>
        <v>RRU3262 B7 - 2600[2*60]</v>
      </c>
      <c r="I69" s="51" t="s">
        <v>975</v>
      </c>
      <c r="J69" s="51" t="s">
        <v>923</v>
      </c>
      <c r="K69" s="51"/>
      <c r="L69" s="53">
        <f>O69*CFGRECT!$S$10</f>
        <v>238</v>
      </c>
      <c r="M69" s="53">
        <f>P69*CFGRECT!$T$10</f>
        <v>289</v>
      </c>
      <c r="N69" s="53"/>
      <c r="O69" s="226">
        <v>280</v>
      </c>
      <c r="P69" s="226">
        <v>340</v>
      </c>
      <c r="Q69" s="51"/>
      <c r="R69" s="54"/>
      <c r="S69" s="55"/>
      <c r="T69" s="51"/>
    </row>
    <row r="70" spans="6:20">
      <c r="F70" s="51" t="s">
        <v>1019</v>
      </c>
      <c r="G70" s="51" t="s">
        <v>1020</v>
      </c>
      <c r="H70" s="51" t="str">
        <f t="shared" si="0"/>
        <v>RRU3281 B7 - 2600[4*40]</v>
      </c>
      <c r="I70" s="51" t="s">
        <v>975</v>
      </c>
      <c r="J70" s="51" t="s">
        <v>923</v>
      </c>
      <c r="K70" s="51"/>
      <c r="L70" s="53">
        <f>O70*CFGRECT!$S$10</f>
        <v>233.75</v>
      </c>
      <c r="M70" s="53">
        <f>P70*CFGRECT!$T$10</f>
        <v>271.14999999999998</v>
      </c>
      <c r="N70" s="53"/>
      <c r="O70" s="226">
        <v>275</v>
      </c>
      <c r="P70" s="226">
        <v>319</v>
      </c>
      <c r="Q70" s="51"/>
      <c r="R70" s="54"/>
      <c r="S70" s="55"/>
      <c r="T70" s="51"/>
    </row>
    <row r="71" spans="6:20">
      <c r="F71" s="51" t="s">
        <v>1021</v>
      </c>
      <c r="G71" s="51" t="s">
        <v>1022</v>
      </c>
      <c r="H71" s="51" t="str">
        <f t="shared" si="0"/>
        <v>AAU5271 B40 - 2300[32TRx]160w</v>
      </c>
      <c r="I71" s="51" t="s">
        <v>1023</v>
      </c>
      <c r="J71" s="51" t="s">
        <v>923</v>
      </c>
      <c r="K71" s="51"/>
      <c r="L71" s="53">
        <f>O71*CFGRECT!$S$10</f>
        <v>654.5</v>
      </c>
      <c r="M71" s="53">
        <f>P71*CFGRECT!$T$10</f>
        <v>765</v>
      </c>
      <c r="N71" s="53"/>
      <c r="O71" s="226">
        <v>770</v>
      </c>
      <c r="P71" s="226">
        <v>900</v>
      </c>
      <c r="Q71" s="51"/>
      <c r="R71" s="54"/>
      <c r="S71" s="55"/>
      <c r="T71" s="51"/>
    </row>
    <row r="72" spans="6:20">
      <c r="F72" s="51" t="s">
        <v>1024</v>
      </c>
      <c r="G72" s="51" t="s">
        <v>1025</v>
      </c>
      <c r="H72" s="51" t="str">
        <f t="shared" si="0"/>
        <v>AAU5711 B3 - 1800[N.A]N.A</v>
      </c>
      <c r="I72" s="51" t="s">
        <v>1023</v>
      </c>
      <c r="J72" s="51" t="s">
        <v>923</v>
      </c>
      <c r="K72" s="51"/>
      <c r="L72" s="53">
        <f>O72*CFGRECT!$S$10</f>
        <v>603.5</v>
      </c>
      <c r="M72" s="53">
        <f>P72*CFGRECT!$T$10</f>
        <v>722.5</v>
      </c>
      <c r="N72" s="53"/>
      <c r="O72" s="226">
        <v>710</v>
      </c>
      <c r="P72" s="226">
        <v>850</v>
      </c>
      <c r="Q72" s="51"/>
      <c r="R72" s="54"/>
      <c r="S72" s="55"/>
      <c r="T72" s="51"/>
    </row>
    <row r="73" spans="6:20">
      <c r="F73" s="51" t="s">
        <v>1026</v>
      </c>
      <c r="G73" s="51" t="s">
        <v>1027</v>
      </c>
      <c r="H73" s="51" t="str">
        <f t="shared" si="0"/>
        <v>BTS3911E B3/B1 - 18+21[2*5]</v>
      </c>
      <c r="I73" s="51" t="s">
        <v>975</v>
      </c>
      <c r="J73" s="51" t="s">
        <v>923</v>
      </c>
      <c r="K73" s="51"/>
      <c r="L73" s="53">
        <f>O73*CFGRECT!$S$10</f>
        <v>219.50399999999999</v>
      </c>
      <c r="M73" s="53">
        <f>P73*CFGRECT!$T$10</f>
        <v>263.59350000000001</v>
      </c>
      <c r="N73" s="53"/>
      <c r="O73" s="226">
        <v>258.24</v>
      </c>
      <c r="P73" s="226">
        <v>310.11</v>
      </c>
      <c r="Q73" s="51"/>
      <c r="R73" s="54"/>
      <c r="S73" s="55"/>
      <c r="T73" s="51"/>
    </row>
    <row r="74" spans="6:20">
      <c r="F74" s="51" t="s">
        <v>1028</v>
      </c>
      <c r="G74" s="51" t="s">
        <v>1029</v>
      </c>
      <c r="H74" s="51" t="str">
        <f t="shared" si="0"/>
        <v>BTS3911E B1/B7 - 21/26[2*5]</v>
      </c>
      <c r="I74" s="51" t="s">
        <v>975</v>
      </c>
      <c r="J74" s="51" t="s">
        <v>923</v>
      </c>
      <c r="K74" s="51"/>
      <c r="L74" s="53">
        <f>O74*CFGRECT!$S$10</f>
        <v>219.50399999999999</v>
      </c>
      <c r="M74" s="53">
        <f>P74*CFGRECT!$T$10</f>
        <v>263.59350000000001</v>
      </c>
      <c r="N74" s="53"/>
      <c r="O74" s="226">
        <v>258.24</v>
      </c>
      <c r="P74" s="226">
        <v>310.11</v>
      </c>
      <c r="Q74" s="51"/>
      <c r="R74" s="54"/>
      <c r="S74" s="55"/>
      <c r="T74" s="51"/>
    </row>
    <row r="75" spans="6:20">
      <c r="F75" s="51" t="s">
        <v>1030</v>
      </c>
      <c r="G75" s="51"/>
      <c r="H75" s="51" t="str">
        <f t="shared" ref="H75:H138" si="1">F75&amp;IF(G75="",""," - "&amp;G75)</f>
        <v>BBU6630</v>
      </c>
      <c r="I75" s="51" t="s">
        <v>930</v>
      </c>
      <c r="J75" s="51" t="s">
        <v>1031</v>
      </c>
      <c r="K75" s="51"/>
      <c r="L75" s="53">
        <f>O75*CFGRECT!$S$10</f>
        <v>100.3</v>
      </c>
      <c r="M75" s="53">
        <f>P75*CFGRECT!$T$10</f>
        <v>128.35</v>
      </c>
      <c r="N75" s="53"/>
      <c r="O75" s="226">
        <v>118</v>
      </c>
      <c r="P75" s="226">
        <v>151</v>
      </c>
      <c r="Q75" s="51"/>
      <c r="R75" s="54"/>
      <c r="S75" s="55"/>
      <c r="T75" s="51"/>
    </row>
    <row r="76" spans="6:20">
      <c r="F76" s="51" t="s">
        <v>1032</v>
      </c>
      <c r="G76" s="51" t="s">
        <v>1005</v>
      </c>
      <c r="H76" s="51" t="str">
        <f t="shared" si="1"/>
        <v>RRU4415 B1 - 2100[4*40]</v>
      </c>
      <c r="I76" s="51" t="s">
        <v>975</v>
      </c>
      <c r="J76" s="51" t="s">
        <v>1031</v>
      </c>
      <c r="K76" s="51"/>
      <c r="L76" s="53">
        <f>O76*CFGRECT!$S$10</f>
        <v>221</v>
      </c>
      <c r="M76" s="53">
        <f>P76*CFGRECT!$T$10</f>
        <v>465.8</v>
      </c>
      <c r="N76" s="53"/>
      <c r="O76" s="226">
        <v>260</v>
      </c>
      <c r="P76" s="226">
        <v>548</v>
      </c>
      <c r="Q76" s="53"/>
      <c r="R76" s="56"/>
      <c r="S76" s="57"/>
      <c r="T76" s="53"/>
    </row>
    <row r="77" spans="6:20">
      <c r="F77" s="51" t="s">
        <v>1032</v>
      </c>
      <c r="G77" s="51" t="s">
        <v>968</v>
      </c>
      <c r="H77" s="51" t="str">
        <f t="shared" si="1"/>
        <v>RRU4415 B1 - 2100[2*40]</v>
      </c>
      <c r="I77" s="51" t="s">
        <v>975</v>
      </c>
      <c r="J77" s="51" t="s">
        <v>1031</v>
      </c>
      <c r="K77" s="51"/>
      <c r="L77" s="53">
        <f>O77*CFGRECT!$S$10</f>
        <v>147.04999999999998</v>
      </c>
      <c r="M77" s="53">
        <f>P77*CFGRECT!$T$10</f>
        <v>269.45</v>
      </c>
      <c r="N77" s="53"/>
      <c r="O77" s="226">
        <v>173</v>
      </c>
      <c r="P77" s="226">
        <v>317</v>
      </c>
      <c r="Q77" s="53"/>
      <c r="R77" s="56"/>
      <c r="S77" s="57"/>
      <c r="T77" s="53"/>
    </row>
    <row r="78" spans="6:20">
      <c r="F78" s="51" t="s">
        <v>1033</v>
      </c>
      <c r="G78" s="51" t="s">
        <v>968</v>
      </c>
      <c r="H78" s="51" t="str">
        <f t="shared" si="1"/>
        <v>RRU4428 B1 - 2100[2*40]</v>
      </c>
      <c r="I78" s="51" t="s">
        <v>975</v>
      </c>
      <c r="J78" s="51" t="s">
        <v>1031</v>
      </c>
      <c r="K78" s="51"/>
      <c r="L78" s="53">
        <f>O78*CFGRECT!$S$10</f>
        <v>144.5</v>
      </c>
      <c r="M78" s="53">
        <f>P78*CFGRECT!$T$10</f>
        <v>266.89999999999998</v>
      </c>
      <c r="N78" s="53"/>
      <c r="O78" s="226">
        <v>170</v>
      </c>
      <c r="P78" s="226">
        <v>314</v>
      </c>
      <c r="Q78" s="53"/>
      <c r="R78" s="56"/>
      <c r="S78" s="57"/>
      <c r="T78" s="53"/>
    </row>
    <row r="79" spans="6:20">
      <c r="F79" s="51" t="s">
        <v>1033</v>
      </c>
      <c r="G79" s="51" t="s">
        <v>1005</v>
      </c>
      <c r="H79" s="51" t="str">
        <f t="shared" si="1"/>
        <v>RRU4428 B1 - 2100[4*40]</v>
      </c>
      <c r="I79" s="51" t="s">
        <v>975</v>
      </c>
      <c r="J79" s="51" t="s">
        <v>1031</v>
      </c>
      <c r="K79" s="51"/>
      <c r="L79" s="53">
        <f>O79*CFGRECT!$S$10</f>
        <v>216.75</v>
      </c>
      <c r="M79" s="53">
        <f>P79*CFGRECT!$T$10</f>
        <v>460.7</v>
      </c>
      <c r="N79" s="53"/>
      <c r="O79" s="226">
        <v>255</v>
      </c>
      <c r="P79" s="226">
        <v>542</v>
      </c>
      <c r="Q79" s="53"/>
      <c r="R79" s="56"/>
      <c r="S79" s="57"/>
      <c r="T79" s="53"/>
    </row>
    <row r="80" spans="6:20">
      <c r="F80" s="51" t="s">
        <v>1034</v>
      </c>
      <c r="G80" s="51" t="s">
        <v>954</v>
      </c>
      <c r="H80" s="51" t="str">
        <f t="shared" si="1"/>
        <v>RRU2217 B28 - 700[2*40]</v>
      </c>
      <c r="I80" s="51" t="s">
        <v>975</v>
      </c>
      <c r="J80" s="51" t="s">
        <v>1031</v>
      </c>
      <c r="K80" s="51"/>
      <c r="L80" s="53">
        <f>O80*CFGRECT!$S$10</f>
        <v>148.75</v>
      </c>
      <c r="M80" s="53">
        <f>P80*CFGRECT!$T$10</f>
        <v>229.5</v>
      </c>
      <c r="N80" s="53"/>
      <c r="O80" s="226">
        <v>175</v>
      </c>
      <c r="P80" s="226">
        <v>270</v>
      </c>
      <c r="Q80" s="53"/>
      <c r="R80" s="56"/>
      <c r="S80" s="57"/>
      <c r="T80" s="53"/>
    </row>
    <row r="81" spans="6:20">
      <c r="F81" s="51" t="s">
        <v>1035</v>
      </c>
      <c r="G81" s="51" t="s">
        <v>960</v>
      </c>
      <c r="H81" s="51" t="str">
        <f t="shared" si="1"/>
        <v>RRU2212 B8 - 900[2*40]</v>
      </c>
      <c r="I81" s="51" t="s">
        <v>975</v>
      </c>
      <c r="J81" s="51" t="s">
        <v>1031</v>
      </c>
      <c r="K81" s="51"/>
      <c r="L81" s="53">
        <f>O81*CFGRECT!$S$10</f>
        <v>148.75</v>
      </c>
      <c r="M81" s="53">
        <f>P81*CFGRECT!$T$10</f>
        <v>219.29999999999998</v>
      </c>
      <c r="N81" s="53"/>
      <c r="O81" s="226">
        <v>175</v>
      </c>
      <c r="P81" s="226">
        <v>258</v>
      </c>
      <c r="Q81" s="53"/>
      <c r="R81" s="56"/>
      <c r="S81" s="57"/>
      <c r="T81" s="53"/>
    </row>
    <row r="82" spans="6:20">
      <c r="F82" s="51" t="s">
        <v>1036</v>
      </c>
      <c r="G82" s="51" t="s">
        <v>1037</v>
      </c>
      <c r="H82" s="51" t="str">
        <f t="shared" si="1"/>
        <v>RRU4480 B3/B1 - 18+21[4*60/40]</v>
      </c>
      <c r="I82" s="51" t="s">
        <v>975</v>
      </c>
      <c r="J82" s="51" t="s">
        <v>1031</v>
      </c>
      <c r="K82" s="51"/>
      <c r="L82" s="53">
        <f>O82*CFGRECT!$S$10</f>
        <v>493</v>
      </c>
      <c r="M82" s="53">
        <f>P82*CFGRECT!$T$10</f>
        <v>782</v>
      </c>
      <c r="N82" s="53"/>
      <c r="O82" s="226">
        <v>580</v>
      </c>
      <c r="P82" s="226">
        <v>920</v>
      </c>
      <c r="Q82" s="53">
        <v>580</v>
      </c>
      <c r="R82" s="56">
        <v>580</v>
      </c>
      <c r="S82" s="57">
        <v>920</v>
      </c>
      <c r="T82" s="53">
        <v>951</v>
      </c>
    </row>
    <row r="83" spans="6:20">
      <c r="F83" s="51" t="s">
        <v>1038</v>
      </c>
      <c r="G83" s="51" t="s">
        <v>1039</v>
      </c>
      <c r="H83" s="51" t="str">
        <f t="shared" si="1"/>
        <v>RRU4418N B40N - 2300[4*50]</v>
      </c>
      <c r="I83" s="51" t="s">
        <v>975</v>
      </c>
      <c r="J83" s="51" t="s">
        <v>1031</v>
      </c>
      <c r="K83" s="51"/>
      <c r="L83" s="53">
        <f>O83*CFGRECT!$S$10</f>
        <v>212.5</v>
      </c>
      <c r="M83" s="53">
        <f>P83*CFGRECT!$T$10</f>
        <v>340</v>
      </c>
      <c r="N83" s="53"/>
      <c r="O83" s="226">
        <v>250</v>
      </c>
      <c r="P83" s="226">
        <v>400</v>
      </c>
      <c r="Q83" s="53">
        <v>250</v>
      </c>
      <c r="R83" s="56">
        <v>268</v>
      </c>
      <c r="S83" s="57">
        <v>400</v>
      </c>
      <c r="T83" s="53">
        <v>584</v>
      </c>
    </row>
    <row r="84" spans="6:20">
      <c r="F84" s="51" t="s">
        <v>1040</v>
      </c>
      <c r="G84" s="51" t="s">
        <v>1020</v>
      </c>
      <c r="H84" s="51" t="str">
        <f t="shared" si="1"/>
        <v>RRU4415 B7 - 2600[4*40]</v>
      </c>
      <c r="I84" s="51" t="s">
        <v>975</v>
      </c>
      <c r="J84" s="51" t="s">
        <v>1031</v>
      </c>
      <c r="K84" s="51"/>
      <c r="L84" s="53">
        <f>O84*CFGRECT!$S$10</f>
        <v>255</v>
      </c>
      <c r="M84" s="53">
        <f>P84*CFGRECT!$T$10</f>
        <v>382.5</v>
      </c>
      <c r="N84" s="53"/>
      <c r="O84" s="226">
        <v>300</v>
      </c>
      <c r="P84" s="226">
        <v>450</v>
      </c>
      <c r="Q84" s="53">
        <v>300</v>
      </c>
      <c r="R84" s="56">
        <v>302</v>
      </c>
      <c r="S84" s="57">
        <v>450</v>
      </c>
      <c r="T84" s="53">
        <v>518</v>
      </c>
    </row>
    <row r="85" spans="6:20">
      <c r="F85" s="51" t="s">
        <v>1041</v>
      </c>
      <c r="G85" s="51" t="s">
        <v>1042</v>
      </c>
      <c r="H85" s="51" t="str">
        <f t="shared" si="1"/>
        <v>AIR6488 B42 - 3500[64TRx]200w</v>
      </c>
      <c r="I85" s="51" t="s">
        <v>1023</v>
      </c>
      <c r="J85" s="51" t="s">
        <v>1031</v>
      </c>
      <c r="K85" s="51"/>
      <c r="L85" s="53">
        <f>O85*CFGRECT!$S$10</f>
        <v>425</v>
      </c>
      <c r="M85" s="53">
        <f>P85*CFGRECT!$T$10</f>
        <v>634.94999999999993</v>
      </c>
      <c r="N85" s="53"/>
      <c r="O85" s="226">
        <v>500</v>
      </c>
      <c r="P85" s="226">
        <v>747</v>
      </c>
      <c r="Q85" s="53">
        <v>600</v>
      </c>
      <c r="R85" s="56">
        <v>747</v>
      </c>
      <c r="S85" s="57">
        <v>800</v>
      </c>
      <c r="T85" s="53">
        <v>960</v>
      </c>
    </row>
    <row r="86" spans="6:20">
      <c r="F86" s="51" t="s">
        <v>1043</v>
      </c>
      <c r="G86" s="51"/>
      <c r="H86" s="51" t="str">
        <f t="shared" si="1"/>
        <v>FSME</v>
      </c>
      <c r="I86" s="51" t="s">
        <v>930</v>
      </c>
      <c r="J86" s="51" t="s">
        <v>1044</v>
      </c>
      <c r="K86" s="51" t="s">
        <v>1045</v>
      </c>
      <c r="L86" s="53">
        <f>O86*CFGRECT!$S$10</f>
        <v>170</v>
      </c>
      <c r="M86" s="53">
        <f>P86*CFGRECT!$T$10</f>
        <v>246.5</v>
      </c>
      <c r="N86" s="53"/>
      <c r="O86" s="226">
        <v>200</v>
      </c>
      <c r="P86" s="226">
        <v>290</v>
      </c>
      <c r="Q86" s="51"/>
      <c r="R86" s="54"/>
      <c r="S86" s="55"/>
      <c r="T86" s="51"/>
    </row>
    <row r="87" spans="6:20">
      <c r="F87" s="51" t="s">
        <v>1046</v>
      </c>
      <c r="G87" s="51"/>
      <c r="H87" s="51" t="str">
        <f t="shared" si="1"/>
        <v>FSMF</v>
      </c>
      <c r="I87" s="51" t="s">
        <v>930</v>
      </c>
      <c r="J87" s="51" t="s">
        <v>1044</v>
      </c>
      <c r="K87" s="51" t="s">
        <v>1045</v>
      </c>
      <c r="L87" s="53">
        <f>O87*CFGRECT!$S$10</f>
        <v>106.25</v>
      </c>
      <c r="M87" s="53">
        <f>P87*CFGRECT!$T$10</f>
        <v>153</v>
      </c>
      <c r="N87" s="53"/>
      <c r="O87" s="226">
        <v>125</v>
      </c>
      <c r="P87" s="226">
        <v>180</v>
      </c>
      <c r="Q87" s="51"/>
      <c r="R87" s="54"/>
      <c r="S87" s="55"/>
      <c r="T87" s="51"/>
    </row>
    <row r="88" spans="6:20">
      <c r="F88" s="51" t="s">
        <v>1047</v>
      </c>
      <c r="G88" s="51"/>
      <c r="H88" s="51" t="str">
        <f t="shared" si="1"/>
        <v>ESMB</v>
      </c>
      <c r="I88" s="51" t="s">
        <v>930</v>
      </c>
      <c r="J88" s="51" t="s">
        <v>1044</v>
      </c>
      <c r="K88" s="51" t="s">
        <v>1045</v>
      </c>
      <c r="L88" s="53">
        <f>O88*CFGRECT!$S$10</f>
        <v>41.65</v>
      </c>
      <c r="M88" s="53">
        <f>P88*CFGRECT!$T$10</f>
        <v>44.199999999999996</v>
      </c>
      <c r="N88" s="53"/>
      <c r="O88" s="226">
        <v>49</v>
      </c>
      <c r="P88" s="226">
        <v>52</v>
      </c>
      <c r="Q88" s="51"/>
      <c r="R88" s="54"/>
      <c r="S88" s="55"/>
      <c r="T88" s="51"/>
    </row>
    <row r="89" spans="6:20">
      <c r="F89" s="51" t="s">
        <v>1048</v>
      </c>
      <c r="G89" s="51"/>
      <c r="H89" s="51" t="str">
        <f t="shared" si="1"/>
        <v>AMIA</v>
      </c>
      <c r="I89" s="51" t="s">
        <v>1049</v>
      </c>
      <c r="J89" s="51" t="s">
        <v>1044</v>
      </c>
      <c r="K89" s="51" t="s">
        <v>1050</v>
      </c>
      <c r="L89" s="53">
        <f>O89*CFGRECT!$S$10</f>
        <v>17</v>
      </c>
      <c r="M89" s="53">
        <f>P89*CFGRECT!$T$10</f>
        <v>34</v>
      </c>
      <c r="N89" s="53"/>
      <c r="O89" s="226">
        <v>20</v>
      </c>
      <c r="P89" s="226">
        <v>40</v>
      </c>
      <c r="Q89" s="51"/>
      <c r="R89" s="54"/>
      <c r="S89" s="55"/>
      <c r="T89" s="51"/>
    </row>
    <row r="90" spans="6:20">
      <c r="F90" s="51" t="s">
        <v>1051</v>
      </c>
      <c r="G90" s="51"/>
      <c r="H90" s="51" t="str">
        <f t="shared" si="1"/>
        <v>FPFD</v>
      </c>
      <c r="I90" s="51" t="s">
        <v>935</v>
      </c>
      <c r="J90" s="51" t="s">
        <v>1044</v>
      </c>
      <c r="K90" s="51" t="s">
        <v>1052</v>
      </c>
      <c r="L90" s="53">
        <f>O90*CFGRECT!$S$10</f>
        <v>1.7</v>
      </c>
      <c r="M90" s="53">
        <f>P90*CFGRECT!$T$10</f>
        <v>1.7</v>
      </c>
      <c r="N90" s="53"/>
      <c r="O90" s="226">
        <v>2</v>
      </c>
      <c r="P90" s="226">
        <v>2</v>
      </c>
      <c r="Q90" s="51"/>
      <c r="R90" s="54"/>
      <c r="S90" s="55"/>
      <c r="T90" s="51"/>
    </row>
    <row r="91" spans="6:20">
      <c r="F91" s="51" t="s">
        <v>1053</v>
      </c>
      <c r="G91" s="51"/>
      <c r="H91" s="51" t="str">
        <f t="shared" si="1"/>
        <v>FSEB</v>
      </c>
      <c r="I91" s="51" t="s">
        <v>935</v>
      </c>
      <c r="J91" s="51" t="s">
        <v>1044</v>
      </c>
      <c r="K91" s="51" t="s">
        <v>1052</v>
      </c>
      <c r="L91" s="53">
        <f>O91*CFGRECT!$S$10</f>
        <v>3.4</v>
      </c>
      <c r="M91" s="53">
        <f>P91*CFGRECT!$T$10</f>
        <v>3.4</v>
      </c>
      <c r="N91" s="53"/>
      <c r="O91" s="226">
        <v>4</v>
      </c>
      <c r="P91" s="226">
        <v>4</v>
      </c>
      <c r="Q91" s="51"/>
      <c r="R91" s="54"/>
      <c r="S91" s="55"/>
      <c r="T91" s="51"/>
    </row>
    <row r="92" spans="6:20">
      <c r="F92" s="51" t="s">
        <v>1054</v>
      </c>
      <c r="G92" s="51"/>
      <c r="H92" s="51" t="str">
        <f t="shared" si="1"/>
        <v>FSEE</v>
      </c>
      <c r="I92" s="51" t="s">
        <v>935</v>
      </c>
      <c r="J92" s="51" t="s">
        <v>1044</v>
      </c>
      <c r="K92" s="51" t="s">
        <v>1052</v>
      </c>
      <c r="L92" s="53">
        <f>O92*CFGRECT!$S$10</f>
        <v>3.4</v>
      </c>
      <c r="M92" s="53">
        <f>P92*CFGRECT!$T$10</f>
        <v>3.4</v>
      </c>
      <c r="N92" s="53"/>
      <c r="O92" s="226">
        <v>4</v>
      </c>
      <c r="P92" s="226">
        <v>4</v>
      </c>
      <c r="Q92" s="51"/>
      <c r="R92" s="54"/>
      <c r="S92" s="55"/>
      <c r="T92" s="51"/>
    </row>
    <row r="93" spans="6:20">
      <c r="F93" s="51" t="s">
        <v>1055</v>
      </c>
      <c r="G93" s="51"/>
      <c r="H93" s="51" t="str">
        <f t="shared" si="1"/>
        <v>FIQB</v>
      </c>
      <c r="I93" s="51" t="s">
        <v>935</v>
      </c>
      <c r="J93" s="51" t="s">
        <v>1044</v>
      </c>
      <c r="K93" s="51" t="s">
        <v>936</v>
      </c>
      <c r="L93" s="53">
        <f>O93*CFGRECT!$S$10</f>
        <v>10.199999999999999</v>
      </c>
      <c r="M93" s="53">
        <f>P93*CFGRECT!$T$10</f>
        <v>11.049999999999999</v>
      </c>
      <c r="N93" s="53"/>
      <c r="O93" s="226">
        <v>12</v>
      </c>
      <c r="P93" s="226">
        <v>13</v>
      </c>
      <c r="Q93" s="51"/>
      <c r="R93" s="54"/>
      <c r="S93" s="55"/>
      <c r="T93" s="51"/>
    </row>
    <row r="94" spans="6:20">
      <c r="F94" s="51" t="s">
        <v>1056</v>
      </c>
      <c r="G94" s="51"/>
      <c r="H94" s="51" t="str">
        <f t="shared" si="1"/>
        <v>FTLB</v>
      </c>
      <c r="I94" s="51" t="s">
        <v>935</v>
      </c>
      <c r="J94" s="51" t="s">
        <v>1044</v>
      </c>
      <c r="K94" s="51" t="s">
        <v>936</v>
      </c>
      <c r="L94" s="53">
        <f>O94*CFGRECT!$S$10</f>
        <v>36.549999999999997</v>
      </c>
      <c r="M94" s="53">
        <f>P94*CFGRECT!$T$10</f>
        <v>36.549999999999997</v>
      </c>
      <c r="N94" s="53"/>
      <c r="O94" s="226">
        <v>43</v>
      </c>
      <c r="P94" s="226">
        <v>43</v>
      </c>
      <c r="Q94" s="51"/>
      <c r="R94" s="54"/>
      <c r="S94" s="55"/>
      <c r="T94" s="51"/>
    </row>
    <row r="95" spans="6:20">
      <c r="F95" s="51" t="s">
        <v>1057</v>
      </c>
      <c r="G95" s="51"/>
      <c r="H95" s="51" t="str">
        <f t="shared" si="1"/>
        <v>FTIF</v>
      </c>
      <c r="I95" s="51" t="s">
        <v>935</v>
      </c>
      <c r="J95" s="51" t="s">
        <v>1044</v>
      </c>
      <c r="K95" s="51" t="s">
        <v>936</v>
      </c>
      <c r="L95" s="53">
        <f>O95*CFGRECT!$S$10</f>
        <v>8.5</v>
      </c>
      <c r="M95" s="53">
        <f>P95*CFGRECT!$T$10</f>
        <v>8.5</v>
      </c>
      <c r="N95" s="53"/>
      <c r="O95" s="226">
        <v>10</v>
      </c>
      <c r="P95" s="226">
        <v>10</v>
      </c>
      <c r="Q95" s="51"/>
      <c r="R95" s="54"/>
      <c r="S95" s="55"/>
      <c r="T95" s="51"/>
    </row>
    <row r="96" spans="6:20">
      <c r="F96" s="51" t="s">
        <v>1058</v>
      </c>
      <c r="G96" s="51"/>
      <c r="H96" s="51" t="str">
        <f t="shared" si="1"/>
        <v>FTIB</v>
      </c>
      <c r="I96" s="51" t="s">
        <v>935</v>
      </c>
      <c r="J96" s="51" t="s">
        <v>1044</v>
      </c>
      <c r="K96" s="51" t="s">
        <v>936</v>
      </c>
      <c r="L96" s="53">
        <f>O96*CFGRECT!$S$10</f>
        <v>15.299999999999999</v>
      </c>
      <c r="M96" s="53">
        <f>P96*CFGRECT!$T$10</f>
        <v>15.299999999999999</v>
      </c>
      <c r="N96" s="53"/>
      <c r="O96" s="226">
        <v>18</v>
      </c>
      <c r="P96" s="226">
        <v>18</v>
      </c>
      <c r="Q96" s="51"/>
      <c r="R96" s="54"/>
      <c r="S96" s="55"/>
      <c r="T96" s="51"/>
    </row>
    <row r="97" spans="6:20">
      <c r="F97" s="51" t="s">
        <v>1059</v>
      </c>
      <c r="G97" s="51"/>
      <c r="H97" s="51" t="str">
        <f t="shared" si="1"/>
        <v>ASIA</v>
      </c>
      <c r="I97" s="51" t="s">
        <v>935</v>
      </c>
      <c r="J97" s="51" t="s">
        <v>1044</v>
      </c>
      <c r="K97" s="51" t="s">
        <v>936</v>
      </c>
      <c r="L97" s="53">
        <f>O97*CFGRECT!$S$10</f>
        <v>68</v>
      </c>
      <c r="M97" s="53">
        <f>P97*CFGRECT!$T$10</f>
        <v>109.64999999999999</v>
      </c>
      <c r="N97" s="53"/>
      <c r="O97" s="226">
        <v>80</v>
      </c>
      <c r="P97" s="226">
        <v>129</v>
      </c>
      <c r="Q97" s="51"/>
      <c r="R97" s="54"/>
      <c r="S97" s="55"/>
      <c r="T97" s="51"/>
    </row>
    <row r="98" spans="6:20">
      <c r="F98" s="51" t="s">
        <v>1060</v>
      </c>
      <c r="G98" s="51"/>
      <c r="H98" s="51" t="str">
        <f t="shared" si="1"/>
        <v>ASIB</v>
      </c>
      <c r="I98" s="51" t="s">
        <v>935</v>
      </c>
      <c r="J98" s="51" t="s">
        <v>1044</v>
      </c>
      <c r="K98" s="51" t="s">
        <v>936</v>
      </c>
      <c r="L98" s="53">
        <f>O98*CFGRECT!$S$10</f>
        <v>68</v>
      </c>
      <c r="M98" s="53">
        <f>P98*CFGRECT!$T$10</f>
        <v>109.64999999999999</v>
      </c>
      <c r="N98" s="53"/>
      <c r="O98" s="226">
        <v>80</v>
      </c>
      <c r="P98" s="226">
        <v>129</v>
      </c>
      <c r="Q98" s="51"/>
      <c r="R98" s="54"/>
      <c r="S98" s="55"/>
      <c r="T98" s="51"/>
    </row>
    <row r="99" spans="6:20">
      <c r="F99" s="51" t="s">
        <v>1061</v>
      </c>
      <c r="G99" s="51"/>
      <c r="H99" s="51" t="str">
        <f t="shared" si="1"/>
        <v>FBBC</v>
      </c>
      <c r="I99" s="51" t="s">
        <v>935</v>
      </c>
      <c r="J99" s="51" t="s">
        <v>1044</v>
      </c>
      <c r="K99" s="51" t="s">
        <v>944</v>
      </c>
      <c r="L99" s="53">
        <f>O99*CFGRECT!$S$10</f>
        <v>77.349999999999994</v>
      </c>
      <c r="M99" s="53">
        <f>P99*CFGRECT!$T$10</f>
        <v>124.95</v>
      </c>
      <c r="N99" s="53"/>
      <c r="O99" s="226">
        <v>91</v>
      </c>
      <c r="P99" s="226">
        <v>147</v>
      </c>
      <c r="Q99" s="51"/>
      <c r="R99" s="54"/>
      <c r="S99" s="55"/>
      <c r="T99" s="51"/>
    </row>
    <row r="100" spans="6:20">
      <c r="F100" s="51" t="s">
        <v>1062</v>
      </c>
      <c r="G100" s="51"/>
      <c r="H100" s="51" t="str">
        <f t="shared" si="1"/>
        <v>FBBA</v>
      </c>
      <c r="I100" s="51" t="s">
        <v>935</v>
      </c>
      <c r="J100" s="51" t="s">
        <v>1044</v>
      </c>
      <c r="K100" s="51" t="s">
        <v>944</v>
      </c>
      <c r="L100" s="53">
        <f>O100*CFGRECT!$S$10</f>
        <v>72.25</v>
      </c>
      <c r="M100" s="53">
        <f>P100*CFGRECT!$T$10</f>
        <v>115.6</v>
      </c>
      <c r="N100" s="53"/>
      <c r="O100" s="226">
        <v>85</v>
      </c>
      <c r="P100" s="226">
        <v>136</v>
      </c>
      <c r="Q100" s="51"/>
      <c r="R100" s="54"/>
      <c r="S100" s="55"/>
      <c r="T100" s="51"/>
    </row>
    <row r="101" spans="6:20">
      <c r="F101" s="51" t="s">
        <v>1063</v>
      </c>
      <c r="G101" s="51"/>
      <c r="H101" s="51" t="str">
        <f t="shared" si="1"/>
        <v>ABIA</v>
      </c>
      <c r="I101" s="51" t="s">
        <v>935</v>
      </c>
      <c r="J101" s="51" t="s">
        <v>1044</v>
      </c>
      <c r="K101" s="51" t="s">
        <v>944</v>
      </c>
      <c r="L101" s="53">
        <f>O101*CFGRECT!$S$10</f>
        <v>85</v>
      </c>
      <c r="M101" s="53">
        <f>P101*CFGRECT!$T$10</f>
        <v>89.25</v>
      </c>
      <c r="N101" s="53"/>
      <c r="O101" s="226">
        <v>100</v>
      </c>
      <c r="P101" s="226">
        <v>105</v>
      </c>
      <c r="Q101" s="51"/>
      <c r="R101" s="54"/>
      <c r="S101" s="55"/>
      <c r="T101" s="51"/>
    </row>
    <row r="102" spans="6:20">
      <c r="F102" s="51" t="s">
        <v>1063</v>
      </c>
      <c r="G102" s="58" t="s">
        <v>1064</v>
      </c>
      <c r="H102" s="51" t="str">
        <f t="shared" si="1"/>
        <v>ABIA - 1/2</v>
      </c>
      <c r="I102" s="51" t="s">
        <v>935</v>
      </c>
      <c r="J102" s="51" t="s">
        <v>1044</v>
      </c>
      <c r="K102" s="51" t="s">
        <v>944</v>
      </c>
      <c r="L102" s="53">
        <f>O102*CFGRECT!$S$10</f>
        <v>42.5</v>
      </c>
      <c r="M102" s="53">
        <f>P102*CFGRECT!$T$10</f>
        <v>91.8</v>
      </c>
      <c r="N102" s="53"/>
      <c r="O102" s="226">
        <v>50</v>
      </c>
      <c r="P102" s="226">
        <v>108</v>
      </c>
      <c r="Q102" s="51"/>
      <c r="R102" s="54"/>
      <c r="S102" s="55"/>
      <c r="T102" s="51"/>
    </row>
    <row r="103" spans="6:20">
      <c r="F103" s="51" t="s">
        <v>1065</v>
      </c>
      <c r="G103" s="51"/>
      <c r="H103" s="51" t="str">
        <f t="shared" si="1"/>
        <v>ASIK</v>
      </c>
      <c r="I103" s="51" t="s">
        <v>935</v>
      </c>
      <c r="J103" s="51" t="s">
        <v>1044</v>
      </c>
      <c r="K103" s="51" t="s">
        <v>944</v>
      </c>
      <c r="L103" s="53">
        <f>O103*CFGRECT!$S$10</f>
        <v>97.75</v>
      </c>
      <c r="M103" s="53">
        <f>P103*CFGRECT!$T$10</f>
        <v>153</v>
      </c>
      <c r="N103" s="53"/>
      <c r="O103" s="226">
        <v>115</v>
      </c>
      <c r="P103" s="226">
        <v>180</v>
      </c>
      <c r="Q103" s="51"/>
      <c r="R103" s="54"/>
      <c r="S103" s="55"/>
      <c r="T103" s="51"/>
    </row>
    <row r="104" spans="6:20">
      <c r="F104" s="51" t="s">
        <v>1066</v>
      </c>
      <c r="G104" s="51"/>
      <c r="H104" s="51" t="str">
        <f t="shared" si="1"/>
        <v>ABIL</v>
      </c>
      <c r="I104" s="51" t="s">
        <v>935</v>
      </c>
      <c r="J104" s="51" t="s">
        <v>1044</v>
      </c>
      <c r="K104" s="51" t="s">
        <v>944</v>
      </c>
      <c r="L104" s="53">
        <f>O104*CFGRECT!$S$10</f>
        <v>136</v>
      </c>
      <c r="M104" s="53">
        <f>P104*CFGRECT!$T$10</f>
        <v>136</v>
      </c>
      <c r="N104" s="53"/>
      <c r="O104" s="226">
        <v>160</v>
      </c>
      <c r="P104" s="226">
        <v>160</v>
      </c>
      <c r="Q104" s="51"/>
      <c r="R104" s="54"/>
      <c r="S104" s="55"/>
      <c r="T104" s="51"/>
    </row>
    <row r="105" spans="6:20">
      <c r="F105" s="51" t="s">
        <v>1067</v>
      </c>
      <c r="G105" s="51" t="s">
        <v>1068</v>
      </c>
      <c r="H105" s="51" t="str">
        <f t="shared" si="1"/>
        <v>FRPA B28 - 700[1*40]</v>
      </c>
      <c r="I105" s="51" t="s">
        <v>1069</v>
      </c>
      <c r="J105" s="51" t="s">
        <v>1044</v>
      </c>
      <c r="K105" s="51" t="s">
        <v>1070</v>
      </c>
      <c r="L105" s="53">
        <f>O105*CFGRECT!$S$10</f>
        <v>181.04999999999998</v>
      </c>
      <c r="M105" s="53">
        <f>P105*CFGRECT!$T$10</f>
        <v>194.65</v>
      </c>
      <c r="N105" s="53"/>
      <c r="O105" s="226">
        <v>213</v>
      </c>
      <c r="P105" s="226">
        <v>229</v>
      </c>
      <c r="Q105" s="51"/>
      <c r="R105" s="54"/>
      <c r="S105" s="55"/>
      <c r="T105" s="51"/>
    </row>
    <row r="106" spans="6:20">
      <c r="F106" s="51" t="s">
        <v>1067</v>
      </c>
      <c r="G106" s="51" t="s">
        <v>954</v>
      </c>
      <c r="H106" s="51" t="str">
        <f t="shared" si="1"/>
        <v>FRPA B28 - 700[2*40]</v>
      </c>
      <c r="I106" s="51" t="s">
        <v>1069</v>
      </c>
      <c r="J106" s="51" t="s">
        <v>1044</v>
      </c>
      <c r="K106" s="51" t="s">
        <v>1070</v>
      </c>
      <c r="L106" s="53">
        <f>O106*CFGRECT!$S$10</f>
        <v>253.29999999999998</v>
      </c>
      <c r="M106" s="53">
        <f>P106*CFGRECT!$T$10</f>
        <v>282.2</v>
      </c>
      <c r="N106" s="53"/>
      <c r="O106" s="226">
        <v>298</v>
      </c>
      <c r="P106" s="226">
        <v>332</v>
      </c>
      <c r="Q106" s="51"/>
      <c r="R106" s="54"/>
      <c r="S106" s="55"/>
      <c r="T106" s="51"/>
    </row>
    <row r="107" spans="6:20">
      <c r="F107" s="51" t="s">
        <v>1067</v>
      </c>
      <c r="G107" s="51" t="s">
        <v>1071</v>
      </c>
      <c r="H107" s="51" t="str">
        <f t="shared" si="1"/>
        <v>FRPA B28 - 700[3*40]</v>
      </c>
      <c r="I107" s="51" t="s">
        <v>1069</v>
      </c>
      <c r="J107" s="51" t="s">
        <v>1044</v>
      </c>
      <c r="K107" s="51" t="s">
        <v>1070</v>
      </c>
      <c r="L107" s="53">
        <f>O107*CFGRECT!$S$10</f>
        <v>322.14999999999998</v>
      </c>
      <c r="M107" s="53">
        <f>P107*CFGRECT!$T$10</f>
        <v>364.65</v>
      </c>
      <c r="N107" s="53"/>
      <c r="O107" s="226">
        <v>379</v>
      </c>
      <c r="P107" s="226">
        <v>429</v>
      </c>
      <c r="Q107" s="51"/>
      <c r="R107" s="54"/>
      <c r="S107" s="55"/>
      <c r="T107" s="51"/>
    </row>
    <row r="108" spans="6:20">
      <c r="F108" s="51" t="s">
        <v>1067</v>
      </c>
      <c r="G108" s="51" t="s">
        <v>977</v>
      </c>
      <c r="H108" s="51" t="str">
        <f t="shared" si="1"/>
        <v>FRPA B28 - 700[4*40]</v>
      </c>
      <c r="I108" s="51" t="s">
        <v>1069</v>
      </c>
      <c r="J108" s="51" t="s">
        <v>1044</v>
      </c>
      <c r="K108" s="51" t="s">
        <v>1070</v>
      </c>
      <c r="L108" s="53">
        <f>O108*CFGRECT!$S$10</f>
        <v>372.3</v>
      </c>
      <c r="M108" s="53">
        <f>P108*CFGRECT!$T$10</f>
        <v>430.95</v>
      </c>
      <c r="N108" s="53"/>
      <c r="O108" s="226">
        <v>438</v>
      </c>
      <c r="P108" s="226">
        <v>507</v>
      </c>
      <c r="Q108" s="51"/>
      <c r="R108" s="54"/>
      <c r="S108" s="57">
        <v>105.83333333333333</v>
      </c>
      <c r="T108" s="53"/>
    </row>
    <row r="109" spans="6:20">
      <c r="F109" s="51" t="s">
        <v>1067</v>
      </c>
      <c r="G109" s="51" t="s">
        <v>1072</v>
      </c>
      <c r="H109" s="51" t="str">
        <f t="shared" si="1"/>
        <v>FRPA B28 - 700[6*40]</v>
      </c>
      <c r="I109" s="51" t="s">
        <v>1069</v>
      </c>
      <c r="J109" s="51" t="s">
        <v>1044</v>
      </c>
      <c r="K109" s="51" t="s">
        <v>1070</v>
      </c>
      <c r="L109" s="53">
        <f>O109*CFGRECT!$S$10</f>
        <v>500.65</v>
      </c>
      <c r="M109" s="53">
        <f>P109*CFGRECT!$T$10</f>
        <v>588.19999999999993</v>
      </c>
      <c r="N109" s="53"/>
      <c r="O109" s="226">
        <v>589</v>
      </c>
      <c r="P109" s="226">
        <v>692</v>
      </c>
      <c r="Q109" s="51"/>
      <c r="R109" s="54"/>
      <c r="S109" s="57"/>
      <c r="T109" s="53"/>
    </row>
    <row r="110" spans="6:20">
      <c r="F110" s="51" t="s">
        <v>1073</v>
      </c>
      <c r="G110" s="51" t="s">
        <v>1074</v>
      </c>
      <c r="H110" s="51" t="str">
        <f t="shared" si="1"/>
        <v>ARPA B28 - 700[1*60]</v>
      </c>
      <c r="I110" s="51" t="s">
        <v>1069</v>
      </c>
      <c r="J110" s="51" t="s">
        <v>1044</v>
      </c>
      <c r="K110" s="51" t="s">
        <v>1075</v>
      </c>
      <c r="L110" s="53">
        <f>O110*CFGRECT!$S$10</f>
        <v>181.04999999999998</v>
      </c>
      <c r="M110" s="53">
        <f>P110*CFGRECT!$T$10</f>
        <v>185.29999999999998</v>
      </c>
      <c r="N110" s="53"/>
      <c r="O110" s="226">
        <v>213</v>
      </c>
      <c r="P110" s="226">
        <v>218</v>
      </c>
      <c r="Q110" s="51"/>
      <c r="R110" s="54"/>
      <c r="S110" s="57"/>
      <c r="T110" s="53"/>
    </row>
    <row r="111" spans="6:20">
      <c r="F111" s="51" t="s">
        <v>1073</v>
      </c>
      <c r="G111" s="51" t="s">
        <v>1076</v>
      </c>
      <c r="H111" s="51" t="str">
        <f t="shared" si="1"/>
        <v>ARPA B28 - 700[2*60]</v>
      </c>
      <c r="I111" s="51" t="s">
        <v>1069</v>
      </c>
      <c r="J111" s="51" t="s">
        <v>1044</v>
      </c>
      <c r="K111" s="51" t="s">
        <v>1075</v>
      </c>
      <c r="L111" s="53">
        <f>O111*CFGRECT!$S$10</f>
        <v>253.29999999999998</v>
      </c>
      <c r="M111" s="53">
        <f>P111*CFGRECT!$T$10</f>
        <v>266.89999999999998</v>
      </c>
      <c r="N111" s="53"/>
      <c r="O111" s="226">
        <v>298</v>
      </c>
      <c r="P111" s="226">
        <v>314</v>
      </c>
      <c r="Q111" s="51"/>
      <c r="R111" s="54"/>
      <c r="S111" s="57"/>
      <c r="T111" s="53"/>
    </row>
    <row r="112" spans="6:20">
      <c r="F112" s="51" t="s">
        <v>1073</v>
      </c>
      <c r="G112" s="51" t="s">
        <v>1077</v>
      </c>
      <c r="H112" s="51" t="str">
        <f t="shared" si="1"/>
        <v>ARPA B28 - 700[4*60]</v>
      </c>
      <c r="I112" s="51" t="s">
        <v>1069</v>
      </c>
      <c r="J112" s="51" t="s">
        <v>1044</v>
      </c>
      <c r="K112" s="51" t="s">
        <v>1075</v>
      </c>
      <c r="L112" s="53">
        <f>O112*CFGRECT!$S$10</f>
        <v>372.3</v>
      </c>
      <c r="M112" s="53">
        <f>P112*CFGRECT!$T$10</f>
        <v>440.3</v>
      </c>
      <c r="N112" s="53"/>
      <c r="O112" s="226">
        <v>438</v>
      </c>
      <c r="P112" s="226">
        <v>518</v>
      </c>
      <c r="Q112" s="51"/>
      <c r="R112" s="54"/>
      <c r="S112" s="57"/>
      <c r="T112" s="53"/>
    </row>
    <row r="113" spans="6:20">
      <c r="F113" s="51" t="s">
        <v>1073</v>
      </c>
      <c r="G113" s="51" t="s">
        <v>1078</v>
      </c>
      <c r="H113" s="51" t="str">
        <f t="shared" si="1"/>
        <v>ARPA B28 - 700[6*60]</v>
      </c>
      <c r="I113" s="51" t="s">
        <v>1069</v>
      </c>
      <c r="J113" s="51" t="s">
        <v>1044</v>
      </c>
      <c r="K113" s="51" t="s">
        <v>1075</v>
      </c>
      <c r="L113" s="53">
        <f>O113*CFGRECT!$S$10</f>
        <v>527</v>
      </c>
      <c r="M113" s="53">
        <f>P113*CFGRECT!$T$10</f>
        <v>614.54999999999995</v>
      </c>
      <c r="N113" s="53"/>
      <c r="O113" s="226">
        <v>620</v>
      </c>
      <c r="P113" s="226">
        <v>723</v>
      </c>
      <c r="Q113" s="51"/>
      <c r="R113" s="54"/>
      <c r="S113" s="57"/>
      <c r="T113" s="53"/>
    </row>
    <row r="114" spans="6:20">
      <c r="F114" s="51" t="s">
        <v>1079</v>
      </c>
      <c r="G114" s="51" t="s">
        <v>974</v>
      </c>
      <c r="H114" s="51" t="str">
        <f t="shared" si="1"/>
        <v>AHPB B28 - 700[2*80]</v>
      </c>
      <c r="I114" s="51" t="s">
        <v>975</v>
      </c>
      <c r="J114" s="51" t="s">
        <v>1044</v>
      </c>
      <c r="K114" s="51" t="s">
        <v>1080</v>
      </c>
      <c r="L114" s="53">
        <f>O114*CFGRECT!$S$10</f>
        <v>266.89999999999998</v>
      </c>
      <c r="M114" s="53">
        <f>P114*CFGRECT!$T$10</f>
        <v>326.39999999999998</v>
      </c>
      <c r="N114" s="53"/>
      <c r="O114" s="226">
        <v>314</v>
      </c>
      <c r="P114" s="226">
        <v>384</v>
      </c>
      <c r="Q114" s="51"/>
      <c r="R114" s="54"/>
      <c r="S114" s="57"/>
      <c r="T114" s="53"/>
    </row>
    <row r="115" spans="6:20">
      <c r="F115" s="51" t="s">
        <v>1079</v>
      </c>
      <c r="G115" s="51" t="s">
        <v>1081</v>
      </c>
      <c r="H115" s="51" t="str">
        <f t="shared" si="1"/>
        <v>AHPB B28 - 700[4*80]</v>
      </c>
      <c r="I115" s="51" t="s">
        <v>975</v>
      </c>
      <c r="J115" s="51" t="s">
        <v>1044</v>
      </c>
      <c r="K115" s="51" t="s">
        <v>1080</v>
      </c>
      <c r="L115" s="53">
        <f>O115*CFGRECT!$S$10</f>
        <v>439.45</v>
      </c>
      <c r="M115" s="53">
        <f>P115*CFGRECT!$T$10</f>
        <v>561.85</v>
      </c>
      <c r="N115" s="53"/>
      <c r="O115" s="226">
        <v>517</v>
      </c>
      <c r="P115" s="226">
        <v>661</v>
      </c>
      <c r="Q115" s="51"/>
      <c r="R115" s="54"/>
      <c r="S115" s="57">
        <v>517</v>
      </c>
      <c r="T115" s="53">
        <v>1010</v>
      </c>
    </row>
    <row r="116" spans="6:20">
      <c r="F116" s="51" t="s">
        <v>1082</v>
      </c>
      <c r="G116" s="51" t="s">
        <v>981</v>
      </c>
      <c r="H116" s="51" t="str">
        <f t="shared" si="1"/>
        <v>AHCA B5 - 850[1*60]</v>
      </c>
      <c r="I116" s="51" t="s">
        <v>975</v>
      </c>
      <c r="J116" s="51" t="s">
        <v>1044</v>
      </c>
      <c r="K116" s="51" t="s">
        <v>1083</v>
      </c>
      <c r="L116" s="53">
        <f>O116*CFGRECT!$S$10</f>
        <v>153.85</v>
      </c>
      <c r="M116" s="53">
        <f>P116*CFGRECT!$T$10</f>
        <v>153</v>
      </c>
      <c r="N116" s="53"/>
      <c r="O116" s="226">
        <v>181</v>
      </c>
      <c r="P116" s="226">
        <v>180</v>
      </c>
      <c r="Q116" s="51"/>
      <c r="R116" s="54"/>
      <c r="S116" s="55"/>
      <c r="T116" s="51"/>
    </row>
    <row r="117" spans="6:20">
      <c r="F117" s="51" t="s">
        <v>1082</v>
      </c>
      <c r="G117" s="51" t="s">
        <v>1084</v>
      </c>
      <c r="H117" s="51" t="str">
        <f t="shared" si="1"/>
        <v>AHCA B5 - 850[2*60]</v>
      </c>
      <c r="I117" s="51" t="s">
        <v>975</v>
      </c>
      <c r="J117" s="51" t="s">
        <v>1044</v>
      </c>
      <c r="K117" s="51" t="s">
        <v>1083</v>
      </c>
      <c r="L117" s="53">
        <f>O117*CFGRECT!$S$10</f>
        <v>209.95</v>
      </c>
      <c r="M117" s="53">
        <f>P117*CFGRECT!$T$10</f>
        <v>251.6</v>
      </c>
      <c r="N117" s="53"/>
      <c r="O117" s="226">
        <v>247</v>
      </c>
      <c r="P117" s="226">
        <v>296</v>
      </c>
      <c r="Q117" s="51"/>
      <c r="R117" s="54"/>
      <c r="S117" s="55"/>
      <c r="T117" s="51"/>
    </row>
    <row r="118" spans="6:20">
      <c r="F118" s="51" t="s">
        <v>1082</v>
      </c>
      <c r="G118" s="51" t="s">
        <v>1085</v>
      </c>
      <c r="H118" s="51" t="str">
        <f t="shared" si="1"/>
        <v>AHCA B5 - 850[4*40]</v>
      </c>
      <c r="I118" s="51" t="s">
        <v>975</v>
      </c>
      <c r="J118" s="51" t="s">
        <v>1044</v>
      </c>
      <c r="K118" s="51" t="s">
        <v>1083</v>
      </c>
      <c r="L118" s="53">
        <f>O118*CFGRECT!$S$10</f>
        <v>250.75</v>
      </c>
      <c r="M118" s="53">
        <f>P118*CFGRECT!$T$10</f>
        <v>301.75</v>
      </c>
      <c r="N118" s="53"/>
      <c r="O118" s="226">
        <v>295</v>
      </c>
      <c r="P118" s="226">
        <v>355</v>
      </c>
      <c r="Q118" s="51"/>
      <c r="R118" s="54"/>
      <c r="S118" s="55"/>
      <c r="T118" s="51"/>
    </row>
    <row r="119" spans="6:20">
      <c r="F119" s="51" t="s">
        <v>1086</v>
      </c>
      <c r="G119" s="51" t="s">
        <v>1087</v>
      </c>
      <c r="H119" s="51" t="str">
        <f t="shared" si="1"/>
        <v>ARCA B5 - 850[1*80]</v>
      </c>
      <c r="I119" s="51" t="s">
        <v>1069</v>
      </c>
      <c r="J119" s="51" t="s">
        <v>1044</v>
      </c>
      <c r="K119" s="51" t="s">
        <v>1088</v>
      </c>
      <c r="L119" s="53">
        <f>O119*CFGRECT!$S$10</f>
        <v>199.75</v>
      </c>
      <c r="M119" s="53">
        <f>P119*CFGRECT!$T$10</f>
        <v>225.25</v>
      </c>
      <c r="N119" s="53"/>
      <c r="O119" s="226">
        <v>235</v>
      </c>
      <c r="P119" s="226">
        <v>265</v>
      </c>
      <c r="Q119" s="51"/>
      <c r="R119" s="54"/>
      <c r="S119" s="55"/>
      <c r="T119" s="51"/>
    </row>
    <row r="120" spans="6:20">
      <c r="F120" s="51" t="s">
        <v>1086</v>
      </c>
      <c r="G120" s="51" t="s">
        <v>1089</v>
      </c>
      <c r="H120" s="51" t="str">
        <f t="shared" si="1"/>
        <v>ARCA B5 - 850[2*80]</v>
      </c>
      <c r="I120" s="51" t="s">
        <v>1069</v>
      </c>
      <c r="J120" s="51" t="s">
        <v>1044</v>
      </c>
      <c r="K120" s="51" t="s">
        <v>1088</v>
      </c>
      <c r="L120" s="53">
        <f>O120*CFGRECT!$S$10</f>
        <v>277.95</v>
      </c>
      <c r="M120" s="53">
        <f>P120*CFGRECT!$T$10</f>
        <v>331.5</v>
      </c>
      <c r="N120" s="53"/>
      <c r="O120" s="226">
        <v>327</v>
      </c>
      <c r="P120" s="226">
        <v>390</v>
      </c>
      <c r="Q120" s="51"/>
      <c r="R120" s="54"/>
      <c r="S120" s="55"/>
      <c r="T120" s="51"/>
    </row>
    <row r="121" spans="6:20">
      <c r="F121" s="51" t="s">
        <v>1086</v>
      </c>
      <c r="G121" s="51" t="s">
        <v>1090</v>
      </c>
      <c r="H121" s="51" t="str">
        <f t="shared" si="1"/>
        <v>ARCA B5 - 850[3*80]</v>
      </c>
      <c r="I121" s="51" t="s">
        <v>1069</v>
      </c>
      <c r="J121" s="51" t="s">
        <v>1044</v>
      </c>
      <c r="K121" s="51" t="s">
        <v>1088</v>
      </c>
      <c r="L121" s="53">
        <f>O121*CFGRECT!$S$10</f>
        <v>377.4</v>
      </c>
      <c r="M121" s="53">
        <f>P121*CFGRECT!$T$10</f>
        <v>456.45</v>
      </c>
      <c r="N121" s="53"/>
      <c r="O121" s="226">
        <v>444</v>
      </c>
      <c r="P121" s="226">
        <v>537</v>
      </c>
      <c r="Q121" s="51"/>
      <c r="R121" s="54"/>
      <c r="S121" s="55"/>
      <c r="T121" s="51"/>
    </row>
    <row r="122" spans="6:20">
      <c r="F122" s="51" t="s">
        <v>1086</v>
      </c>
      <c r="G122" s="51" t="s">
        <v>1091</v>
      </c>
      <c r="H122" s="51" t="str">
        <f t="shared" si="1"/>
        <v>ARCA B5 - 850[4*80]</v>
      </c>
      <c r="I122" s="51" t="s">
        <v>1069</v>
      </c>
      <c r="J122" s="51" t="s">
        <v>1044</v>
      </c>
      <c r="K122" s="51" t="s">
        <v>1088</v>
      </c>
      <c r="L122" s="53">
        <f>O122*CFGRECT!$S$10</f>
        <v>448.8</v>
      </c>
      <c r="M122" s="53">
        <f>P122*CFGRECT!$T$10</f>
        <v>558.44999999999993</v>
      </c>
      <c r="N122" s="53"/>
      <c r="O122" s="226">
        <v>528</v>
      </c>
      <c r="P122" s="226">
        <v>657</v>
      </c>
      <c r="Q122" s="51"/>
      <c r="R122" s="54"/>
      <c r="S122" s="55"/>
      <c r="T122" s="51"/>
    </row>
    <row r="123" spans="6:20">
      <c r="F123" s="51" t="s">
        <v>1086</v>
      </c>
      <c r="G123" s="51" t="s">
        <v>1092</v>
      </c>
      <c r="H123" s="51" t="str">
        <f t="shared" si="1"/>
        <v>ARCA B5 - 850[6*80]</v>
      </c>
      <c r="I123" s="51" t="s">
        <v>1069</v>
      </c>
      <c r="J123" s="51" t="s">
        <v>1044</v>
      </c>
      <c r="K123" s="51" t="s">
        <v>1088</v>
      </c>
      <c r="L123" s="53">
        <f>O123*CFGRECT!$S$10</f>
        <v>623.04999999999995</v>
      </c>
      <c r="M123" s="53">
        <f>P123*CFGRECT!$T$10</f>
        <v>789.65</v>
      </c>
      <c r="N123" s="53"/>
      <c r="O123" s="226">
        <v>733</v>
      </c>
      <c r="P123" s="226">
        <v>929</v>
      </c>
      <c r="Q123" s="51"/>
      <c r="R123" s="54"/>
      <c r="S123" s="55"/>
      <c r="T123" s="51"/>
    </row>
    <row r="124" spans="6:20">
      <c r="F124" s="51" t="s">
        <v>1093</v>
      </c>
      <c r="G124" s="51" t="s">
        <v>983</v>
      </c>
      <c r="H124" s="51" t="str">
        <f t="shared" si="1"/>
        <v>FXDA B8 - 900[1*60]</v>
      </c>
      <c r="I124" s="51" t="s">
        <v>1069</v>
      </c>
      <c r="J124" s="51" t="s">
        <v>1044</v>
      </c>
      <c r="K124" s="51" t="s">
        <v>1094</v>
      </c>
      <c r="L124" s="53">
        <f>O124*CFGRECT!$S$10</f>
        <v>247.35</v>
      </c>
      <c r="M124" s="53">
        <f>P124*CFGRECT!$T$10</f>
        <v>340</v>
      </c>
      <c r="N124" s="53"/>
      <c r="O124" s="226">
        <v>291</v>
      </c>
      <c r="P124" s="226">
        <v>400</v>
      </c>
      <c r="Q124" s="53"/>
      <c r="R124" s="56"/>
      <c r="S124" s="57"/>
      <c r="T124" s="53"/>
    </row>
    <row r="125" spans="6:20">
      <c r="F125" s="51" t="s">
        <v>1093</v>
      </c>
      <c r="G125" s="51" t="s">
        <v>964</v>
      </c>
      <c r="H125" s="51" t="str">
        <f t="shared" si="1"/>
        <v>FXDA B8 - 900[2*60]</v>
      </c>
      <c r="I125" s="51" t="s">
        <v>1069</v>
      </c>
      <c r="J125" s="51" t="s">
        <v>1044</v>
      </c>
      <c r="K125" s="51" t="s">
        <v>1094</v>
      </c>
      <c r="L125" s="53">
        <f>O125*CFGRECT!$S$10</f>
        <v>374.84999999999997</v>
      </c>
      <c r="M125" s="53">
        <f>P125*CFGRECT!$T$10</f>
        <v>568.65</v>
      </c>
      <c r="N125" s="53"/>
      <c r="O125" s="226">
        <v>441</v>
      </c>
      <c r="P125" s="226">
        <v>669</v>
      </c>
      <c r="Q125" s="53"/>
      <c r="R125" s="56"/>
      <c r="S125" s="57"/>
      <c r="T125" s="53"/>
    </row>
    <row r="126" spans="6:20">
      <c r="F126" s="51" t="s">
        <v>1093</v>
      </c>
      <c r="G126" s="51" t="s">
        <v>1095</v>
      </c>
      <c r="H126" s="51" t="str">
        <f t="shared" si="1"/>
        <v>FXDA B8 - 900[3*60]</v>
      </c>
      <c r="I126" s="51" t="s">
        <v>1069</v>
      </c>
      <c r="J126" s="51" t="s">
        <v>1044</v>
      </c>
      <c r="K126" s="51" t="s">
        <v>1096</v>
      </c>
      <c r="L126" s="53">
        <f>O126*CFGRECT!$S$10</f>
        <v>500.65</v>
      </c>
      <c r="M126" s="53">
        <f>P126*CFGRECT!$T$10</f>
        <v>792.19999999999993</v>
      </c>
      <c r="N126" s="53"/>
      <c r="O126" s="226">
        <v>589</v>
      </c>
      <c r="P126" s="226">
        <v>932</v>
      </c>
      <c r="Q126" s="53"/>
      <c r="R126" s="56"/>
      <c r="S126" s="57"/>
      <c r="T126" s="53"/>
    </row>
    <row r="127" spans="6:20">
      <c r="F127" s="51" t="s">
        <v>1097</v>
      </c>
      <c r="G127" s="51" t="s">
        <v>1098</v>
      </c>
      <c r="H127" s="51" t="str">
        <f t="shared" si="1"/>
        <v>FXDB B8 - 900[1*80]</v>
      </c>
      <c r="I127" s="51" t="s">
        <v>1069</v>
      </c>
      <c r="J127" s="51" t="s">
        <v>1044</v>
      </c>
      <c r="K127" s="51" t="s">
        <v>1099</v>
      </c>
      <c r="L127" s="53">
        <f>O127*CFGRECT!$S$10</f>
        <v>217.6</v>
      </c>
      <c r="M127" s="53">
        <f>P127*CFGRECT!$T$10</f>
        <v>251.6</v>
      </c>
      <c r="N127" s="53"/>
      <c r="O127" s="226">
        <v>256</v>
      </c>
      <c r="P127" s="226">
        <v>296</v>
      </c>
      <c r="Q127" s="53"/>
      <c r="R127" s="56"/>
      <c r="S127" s="57"/>
      <c r="T127" s="53"/>
    </row>
    <row r="128" spans="6:20">
      <c r="F128" s="51" t="s">
        <v>1097</v>
      </c>
      <c r="G128" s="51" t="s">
        <v>1100</v>
      </c>
      <c r="H128" s="51" t="str">
        <f t="shared" si="1"/>
        <v>FXDB B8 - 900[2*80]</v>
      </c>
      <c r="I128" s="51" t="s">
        <v>1069</v>
      </c>
      <c r="J128" s="51" t="s">
        <v>1044</v>
      </c>
      <c r="K128" s="51" t="s">
        <v>1099</v>
      </c>
      <c r="L128" s="53">
        <f>O128*CFGRECT!$S$10</f>
        <v>332.34999999999997</v>
      </c>
      <c r="M128" s="53">
        <f>P128*CFGRECT!$T$10</f>
        <v>402.05</v>
      </c>
      <c r="N128" s="53"/>
      <c r="O128" s="226">
        <v>391</v>
      </c>
      <c r="P128" s="226">
        <v>473</v>
      </c>
      <c r="Q128" s="53"/>
      <c r="R128" s="56"/>
      <c r="S128" s="57"/>
      <c r="T128" s="53"/>
    </row>
    <row r="129" spans="6:20">
      <c r="F129" s="51" t="s">
        <v>1097</v>
      </c>
      <c r="G129" s="51" t="s">
        <v>1101</v>
      </c>
      <c r="H129" s="51" t="str">
        <f t="shared" si="1"/>
        <v>FXDB B8 - 900[3*80]</v>
      </c>
      <c r="I129" s="51" t="s">
        <v>1069</v>
      </c>
      <c r="J129" s="51" t="s">
        <v>1044</v>
      </c>
      <c r="K129" s="51" t="s">
        <v>1099</v>
      </c>
      <c r="L129" s="53">
        <f>O129*CFGRECT!$S$10</f>
        <v>459.84999999999997</v>
      </c>
      <c r="M129" s="53">
        <f>P129*CFGRECT!$T$10</f>
        <v>571.19999999999993</v>
      </c>
      <c r="N129" s="53"/>
      <c r="O129" s="226">
        <v>541</v>
      </c>
      <c r="P129" s="226">
        <v>672</v>
      </c>
      <c r="Q129" s="53"/>
      <c r="R129" s="56"/>
      <c r="S129" s="57"/>
      <c r="T129" s="53"/>
    </row>
    <row r="130" spans="6:20">
      <c r="F130" s="51" t="s">
        <v>1097</v>
      </c>
      <c r="G130" s="51" t="s">
        <v>1098</v>
      </c>
      <c r="H130" s="51" t="str">
        <f t="shared" si="1"/>
        <v>FXDB B8 - 900[1*80]</v>
      </c>
      <c r="I130" s="51" t="s">
        <v>1069</v>
      </c>
      <c r="J130" s="51" t="s">
        <v>1044</v>
      </c>
      <c r="K130" s="51" t="s">
        <v>1102</v>
      </c>
      <c r="L130" s="53">
        <f>O130*CFGRECT!$S$10</f>
        <v>187</v>
      </c>
      <c r="M130" s="53">
        <f>P130*CFGRECT!$T$10</f>
        <v>255.85</v>
      </c>
      <c r="N130" s="53"/>
      <c r="O130" s="226">
        <v>220</v>
      </c>
      <c r="P130" s="226">
        <v>301</v>
      </c>
      <c r="Q130" s="53"/>
      <c r="R130" s="56"/>
      <c r="S130" s="57"/>
      <c r="T130" s="53"/>
    </row>
    <row r="131" spans="6:20">
      <c r="F131" s="51" t="s">
        <v>1097</v>
      </c>
      <c r="G131" s="51" t="s">
        <v>1100</v>
      </c>
      <c r="H131" s="51" t="str">
        <f t="shared" si="1"/>
        <v>FXDB B8 - 900[2*80]</v>
      </c>
      <c r="I131" s="51" t="s">
        <v>1069</v>
      </c>
      <c r="J131" s="51" t="s">
        <v>1044</v>
      </c>
      <c r="K131" s="51" t="s">
        <v>1102</v>
      </c>
      <c r="L131" s="53">
        <f>O131*CFGRECT!$S$10</f>
        <v>282.2</v>
      </c>
      <c r="M131" s="53">
        <f>P131*CFGRECT!$T$10</f>
        <v>420.75</v>
      </c>
      <c r="N131" s="53"/>
      <c r="O131" s="226">
        <v>332</v>
      </c>
      <c r="P131" s="226">
        <v>495</v>
      </c>
      <c r="Q131" s="53"/>
      <c r="R131" s="56"/>
      <c r="S131" s="57"/>
      <c r="T131" s="53"/>
    </row>
    <row r="132" spans="6:20">
      <c r="F132" s="51" t="s">
        <v>1097</v>
      </c>
      <c r="G132" s="51" t="s">
        <v>1101</v>
      </c>
      <c r="H132" s="51" t="str">
        <f t="shared" si="1"/>
        <v>FXDB B8 - 900[3*80]</v>
      </c>
      <c r="I132" s="51" t="s">
        <v>1069</v>
      </c>
      <c r="J132" s="51" t="s">
        <v>1044</v>
      </c>
      <c r="K132" s="51" t="s">
        <v>1102</v>
      </c>
      <c r="L132" s="53">
        <f>O132*CFGRECT!$S$10</f>
        <v>469.2</v>
      </c>
      <c r="M132" s="53">
        <f>P132*CFGRECT!$T$10</f>
        <v>772.65</v>
      </c>
      <c r="N132" s="53"/>
      <c r="O132" s="226">
        <v>552</v>
      </c>
      <c r="P132" s="226">
        <v>909</v>
      </c>
      <c r="Q132" s="53"/>
      <c r="R132" s="56"/>
      <c r="S132" s="57"/>
      <c r="T132" s="53"/>
    </row>
    <row r="133" spans="6:20">
      <c r="F133" s="51" t="s">
        <v>1103</v>
      </c>
      <c r="G133" s="51" t="s">
        <v>1104</v>
      </c>
      <c r="H133" s="51" t="str">
        <f t="shared" si="1"/>
        <v>AIR5322 B258 (DC) - 28G/26G[8*24 AE]</v>
      </c>
      <c r="I133" s="51" t="s">
        <v>1023</v>
      </c>
      <c r="J133" s="51" t="s">
        <v>1031</v>
      </c>
      <c r="K133" s="51"/>
      <c r="L133" s="53">
        <f>O133*CFGRECT!$S$10</f>
        <v>182.75</v>
      </c>
      <c r="M133" s="53">
        <f>P133*CFGRECT!$T$10</f>
        <v>234.6</v>
      </c>
      <c r="N133" s="53"/>
      <c r="O133" s="226">
        <v>215</v>
      </c>
      <c r="P133" s="226">
        <v>276</v>
      </c>
      <c r="Q133" s="53"/>
      <c r="R133" s="56"/>
      <c r="S133" s="57"/>
      <c r="T133" s="53"/>
    </row>
    <row r="134" spans="6:20">
      <c r="F134" s="51" t="s">
        <v>1105</v>
      </c>
      <c r="G134" s="51" t="s">
        <v>1098</v>
      </c>
      <c r="H134" s="51" t="str">
        <f t="shared" si="1"/>
        <v>AHDB B8 - 900[1*80]</v>
      </c>
      <c r="I134" s="51" t="s">
        <v>975</v>
      </c>
      <c r="J134" s="51" t="s">
        <v>1044</v>
      </c>
      <c r="K134" s="51" t="s">
        <v>1106</v>
      </c>
      <c r="L134" s="53">
        <f>O134*CFGRECT!$S$10</f>
        <v>135.15</v>
      </c>
      <c r="M134" s="53">
        <f>P134*CFGRECT!$T$10</f>
        <v>158.94999999999999</v>
      </c>
      <c r="N134" s="53"/>
      <c r="O134" s="226">
        <v>159</v>
      </c>
      <c r="P134" s="226">
        <v>187</v>
      </c>
      <c r="Q134" s="53"/>
      <c r="R134" s="56"/>
      <c r="S134" s="57"/>
      <c r="T134" s="53"/>
    </row>
    <row r="135" spans="6:20">
      <c r="F135" s="51" t="s">
        <v>1105</v>
      </c>
      <c r="G135" s="51" t="s">
        <v>1100</v>
      </c>
      <c r="H135" s="51" t="str">
        <f t="shared" si="1"/>
        <v>AHDB B8 - 900[2*80]</v>
      </c>
      <c r="I135" s="51" t="s">
        <v>975</v>
      </c>
      <c r="J135" s="51" t="s">
        <v>1044</v>
      </c>
      <c r="K135" s="51" t="s">
        <v>1106</v>
      </c>
      <c r="L135" s="53">
        <f>O135*CFGRECT!$S$10</f>
        <v>232.04999999999998</v>
      </c>
      <c r="M135" s="53">
        <f>P135*CFGRECT!$T$10</f>
        <v>280.5</v>
      </c>
      <c r="N135" s="53"/>
      <c r="O135" s="226">
        <v>273</v>
      </c>
      <c r="P135" s="226">
        <v>330</v>
      </c>
      <c r="Q135" s="53"/>
      <c r="R135" s="56"/>
      <c r="S135" s="57"/>
      <c r="T135" s="53"/>
    </row>
    <row r="136" spans="6:20">
      <c r="F136" s="51" t="s">
        <v>1107</v>
      </c>
      <c r="G136" s="51" t="s">
        <v>1098</v>
      </c>
      <c r="H136" s="51" t="str">
        <f t="shared" si="1"/>
        <v>ARDA B8 - 900[1*80]</v>
      </c>
      <c r="I136" s="51" t="s">
        <v>1069</v>
      </c>
      <c r="J136" s="51" t="s">
        <v>1044</v>
      </c>
      <c r="K136" s="51" t="s">
        <v>1108</v>
      </c>
      <c r="L136" s="53">
        <f>O136*CFGRECT!$S$10</f>
        <v>199.75</v>
      </c>
      <c r="M136" s="53">
        <f>P136*CFGRECT!$T$10</f>
        <v>292.39999999999998</v>
      </c>
      <c r="N136" s="53"/>
      <c r="O136" s="226">
        <v>235</v>
      </c>
      <c r="P136" s="226">
        <v>344</v>
      </c>
      <c r="Q136" s="53"/>
      <c r="R136" s="56"/>
      <c r="S136" s="57"/>
      <c r="T136" s="53"/>
    </row>
    <row r="137" spans="6:20">
      <c r="F137" s="51" t="s">
        <v>1107</v>
      </c>
      <c r="G137" s="51" t="s">
        <v>1100</v>
      </c>
      <c r="H137" s="51" t="str">
        <f t="shared" si="1"/>
        <v>ARDA B8 - 900[2*80]</v>
      </c>
      <c r="I137" s="51" t="s">
        <v>1069</v>
      </c>
      <c r="J137" s="51" t="s">
        <v>1044</v>
      </c>
      <c r="K137" s="51" t="s">
        <v>1108</v>
      </c>
      <c r="L137" s="53">
        <f>O137*CFGRECT!$S$10</f>
        <v>277.95</v>
      </c>
      <c r="M137" s="53">
        <f>P137*CFGRECT!$T$10</f>
        <v>470.05</v>
      </c>
      <c r="N137" s="53"/>
      <c r="O137" s="226">
        <v>327</v>
      </c>
      <c r="P137" s="226">
        <v>553</v>
      </c>
      <c r="Q137" s="53"/>
      <c r="R137" s="56"/>
      <c r="S137" s="57"/>
      <c r="T137" s="53"/>
    </row>
    <row r="138" spans="6:20">
      <c r="F138" s="51" t="s">
        <v>1107</v>
      </c>
      <c r="G138" s="51" t="s">
        <v>1101</v>
      </c>
      <c r="H138" s="51" t="str">
        <f t="shared" si="1"/>
        <v>ARDA B8 - 900[3*80]</v>
      </c>
      <c r="I138" s="51" t="s">
        <v>1069</v>
      </c>
      <c r="J138" s="51" t="s">
        <v>1044</v>
      </c>
      <c r="K138" s="51" t="s">
        <v>1108</v>
      </c>
      <c r="L138" s="53">
        <f>O138*CFGRECT!$S$10</f>
        <v>377.4</v>
      </c>
      <c r="M138" s="53">
        <f>P138*CFGRECT!$T$10</f>
        <v>664.69999999999993</v>
      </c>
      <c r="N138" s="53"/>
      <c r="O138" s="226">
        <v>444</v>
      </c>
      <c r="P138" s="226">
        <v>782</v>
      </c>
      <c r="Q138" s="53"/>
      <c r="R138" s="56"/>
      <c r="S138" s="57"/>
      <c r="T138" s="53"/>
    </row>
    <row r="139" spans="6:20">
      <c r="F139" s="51" t="s">
        <v>1107</v>
      </c>
      <c r="G139" s="51" t="s">
        <v>1109</v>
      </c>
      <c r="H139" s="51" t="str">
        <f t="shared" ref="H139:H202" si="2">F139&amp;IF(G139="",""," - "&amp;G139)</f>
        <v>ARDA B8 - 900[4*80]</v>
      </c>
      <c r="I139" s="51" t="s">
        <v>1069</v>
      </c>
      <c r="J139" s="51" t="s">
        <v>1044</v>
      </c>
      <c r="K139" s="51" t="s">
        <v>1108</v>
      </c>
      <c r="L139" s="53">
        <f>O139*CFGRECT!$S$10</f>
        <v>448.8</v>
      </c>
      <c r="M139" s="53">
        <f>P139*CFGRECT!$T$10</f>
        <v>840.65</v>
      </c>
      <c r="N139" s="53"/>
      <c r="O139" s="226">
        <v>528</v>
      </c>
      <c r="P139" s="226">
        <v>989</v>
      </c>
      <c r="Q139" s="53"/>
      <c r="R139" s="56"/>
      <c r="S139" s="57"/>
      <c r="T139" s="53"/>
    </row>
    <row r="140" spans="6:20">
      <c r="F140" s="51" t="s">
        <v>1107</v>
      </c>
      <c r="G140" s="51" t="s">
        <v>1110</v>
      </c>
      <c r="H140" s="51" t="str">
        <f t="shared" si="2"/>
        <v>ARDA B8 - 900[6*80]</v>
      </c>
      <c r="I140" s="51" t="s">
        <v>1069</v>
      </c>
      <c r="J140" s="51" t="s">
        <v>1044</v>
      </c>
      <c r="K140" s="51" t="s">
        <v>1108</v>
      </c>
      <c r="L140" s="53">
        <f>O140*CFGRECT!$S$10</f>
        <v>623.04999999999995</v>
      </c>
      <c r="M140" s="53">
        <f>P140*CFGRECT!$T$10</f>
        <v>1224.8499999999999</v>
      </c>
      <c r="N140" s="53"/>
      <c r="O140" s="226">
        <v>733</v>
      </c>
      <c r="P140" s="226">
        <v>1441</v>
      </c>
      <c r="Q140" s="53"/>
      <c r="R140" s="56"/>
      <c r="S140" s="57"/>
      <c r="T140" s="53"/>
    </row>
    <row r="141" spans="6:20">
      <c r="F141" s="51" t="s">
        <v>1111</v>
      </c>
      <c r="G141" s="51" t="s">
        <v>1112</v>
      </c>
      <c r="H141" s="51" t="str">
        <f t="shared" si="2"/>
        <v>AHPDA B28/B8 - 07+09[2*30/30]</v>
      </c>
      <c r="I141" s="51" t="s">
        <v>975</v>
      </c>
      <c r="J141" s="51" t="s">
        <v>1044</v>
      </c>
      <c r="K141" s="51" t="s">
        <v>1113</v>
      </c>
      <c r="L141" s="53">
        <f>O141*CFGRECT!$S$10</f>
        <v>330.65</v>
      </c>
      <c r="M141" s="53">
        <f>P141*CFGRECT!$T$10</f>
        <v>356.15</v>
      </c>
      <c r="N141" s="53"/>
      <c r="O141" s="226">
        <v>389</v>
      </c>
      <c r="P141" s="226">
        <v>419</v>
      </c>
      <c r="Q141" s="53"/>
      <c r="R141" s="56"/>
      <c r="S141" s="57"/>
      <c r="T141" s="53"/>
    </row>
    <row r="142" spans="6:20">
      <c r="F142" s="51" t="s">
        <v>1111</v>
      </c>
      <c r="G142" s="51" t="s">
        <v>1114</v>
      </c>
      <c r="H142" s="51" t="str">
        <f t="shared" si="2"/>
        <v>AHPDA B28/B8 - 07+09[4*30/30]</v>
      </c>
      <c r="I142" s="51" t="s">
        <v>975</v>
      </c>
      <c r="J142" s="51" t="s">
        <v>1044</v>
      </c>
      <c r="K142" s="51" t="s">
        <v>1113</v>
      </c>
      <c r="L142" s="53">
        <f>O142*CFGRECT!$S$10</f>
        <v>454.75</v>
      </c>
      <c r="M142" s="53">
        <f>P142*CFGRECT!$T$10</f>
        <v>553.35</v>
      </c>
      <c r="N142" s="53"/>
      <c r="O142" s="226">
        <v>535</v>
      </c>
      <c r="P142" s="226">
        <v>651</v>
      </c>
      <c r="Q142" s="53"/>
      <c r="R142" s="56"/>
      <c r="S142" s="57">
        <v>714</v>
      </c>
      <c r="T142" s="53">
        <v>1277</v>
      </c>
    </row>
    <row r="143" spans="6:20">
      <c r="F143" s="51" t="s">
        <v>1111</v>
      </c>
      <c r="G143" s="51" t="s">
        <v>1115</v>
      </c>
      <c r="H143" s="51" t="str">
        <f t="shared" si="2"/>
        <v>AHPDA B28/B8 - 07+09[2*40/80]</v>
      </c>
      <c r="I143" s="51" t="s">
        <v>975</v>
      </c>
      <c r="J143" s="51" t="s">
        <v>1044</v>
      </c>
      <c r="K143" s="51" t="s">
        <v>1113</v>
      </c>
      <c r="L143" s="53">
        <f>O143*CFGRECT!$S$10</f>
        <v>454.75</v>
      </c>
      <c r="M143" s="53">
        <f>P143*CFGRECT!$T$10</f>
        <v>553.35</v>
      </c>
      <c r="N143" s="53"/>
      <c r="O143" s="226">
        <v>535</v>
      </c>
      <c r="P143" s="226">
        <v>651</v>
      </c>
      <c r="Q143" s="53"/>
      <c r="R143" s="56"/>
      <c r="S143" s="57"/>
      <c r="T143" s="53"/>
    </row>
    <row r="144" spans="6:20">
      <c r="F144" s="51" t="s">
        <v>1111</v>
      </c>
      <c r="G144" s="51" t="s">
        <v>1116</v>
      </c>
      <c r="H144" s="51" t="str">
        <f t="shared" si="2"/>
        <v>AHPDA B28/B8 - 07+09[4*40/80]</v>
      </c>
      <c r="I144" s="51" t="s">
        <v>975</v>
      </c>
      <c r="J144" s="51" t="s">
        <v>1044</v>
      </c>
      <c r="K144" s="51" t="s">
        <v>1113</v>
      </c>
      <c r="L144" s="53">
        <f>O144*CFGRECT!$S$10</f>
        <v>593.29999999999995</v>
      </c>
      <c r="M144" s="53">
        <f>P144*CFGRECT!$T$10</f>
        <v>709.75</v>
      </c>
      <c r="N144" s="53"/>
      <c r="O144" s="226">
        <v>698</v>
      </c>
      <c r="P144" s="226">
        <v>835</v>
      </c>
      <c r="Q144" s="53">
        <v>876</v>
      </c>
      <c r="R144" s="56">
        <v>1114</v>
      </c>
      <c r="S144" s="57">
        <v>876</v>
      </c>
      <c r="T144" s="53">
        <v>1674</v>
      </c>
    </row>
    <row r="145" spans="6:20">
      <c r="F145" s="51" t="s">
        <v>1117</v>
      </c>
      <c r="G145" s="51" t="s">
        <v>1118</v>
      </c>
      <c r="H145" s="51" t="str">
        <f t="shared" si="2"/>
        <v>FXEB B3 - 1800[1*80]</v>
      </c>
      <c r="I145" s="51" t="s">
        <v>1069</v>
      </c>
      <c r="J145" s="51" t="s">
        <v>1044</v>
      </c>
      <c r="K145" s="51" t="s">
        <v>1119</v>
      </c>
      <c r="L145" s="53">
        <f>O145*CFGRECT!$S$10</f>
        <v>206.54999999999998</v>
      </c>
      <c r="M145" s="53">
        <f>P145*CFGRECT!$T$10</f>
        <v>326.39999999999998</v>
      </c>
      <c r="N145" s="53"/>
      <c r="O145" s="226">
        <v>243</v>
      </c>
      <c r="P145" s="226">
        <v>384</v>
      </c>
      <c r="Q145" s="53"/>
      <c r="R145" s="56"/>
      <c r="S145" s="57"/>
      <c r="T145" s="53"/>
    </row>
    <row r="146" spans="6:20">
      <c r="F146" s="51" t="s">
        <v>1117</v>
      </c>
      <c r="G146" s="51" t="s">
        <v>1120</v>
      </c>
      <c r="H146" s="51" t="str">
        <f t="shared" si="2"/>
        <v>FXEB B3 - 1800[2*80]</v>
      </c>
      <c r="I146" s="51" t="s">
        <v>1069</v>
      </c>
      <c r="J146" s="51" t="s">
        <v>1044</v>
      </c>
      <c r="K146" s="51" t="s">
        <v>1119</v>
      </c>
      <c r="L146" s="53">
        <f>O146*CFGRECT!$S$10</f>
        <v>323.84999999999997</v>
      </c>
      <c r="M146" s="53">
        <f>P146*CFGRECT!$T$10</f>
        <v>396.95</v>
      </c>
      <c r="N146" s="53"/>
      <c r="O146" s="226">
        <v>381</v>
      </c>
      <c r="P146" s="226">
        <v>467</v>
      </c>
      <c r="Q146" s="53"/>
      <c r="R146" s="56"/>
      <c r="S146" s="57"/>
      <c r="T146" s="53"/>
    </row>
    <row r="147" spans="6:20">
      <c r="F147" s="51" t="s">
        <v>1117</v>
      </c>
      <c r="G147" s="51" t="s">
        <v>1121</v>
      </c>
      <c r="H147" s="51" t="str">
        <f t="shared" si="2"/>
        <v>FXEB B3 - 1800[3*80]</v>
      </c>
      <c r="I147" s="51" t="s">
        <v>1069</v>
      </c>
      <c r="J147" s="51" t="s">
        <v>1044</v>
      </c>
      <c r="K147" s="51" t="s">
        <v>1119</v>
      </c>
      <c r="L147" s="53">
        <f>O147*CFGRECT!$S$10</f>
        <v>440.3</v>
      </c>
      <c r="M147" s="53">
        <f>P147*CFGRECT!$T$10</f>
        <v>545.69999999999993</v>
      </c>
      <c r="N147" s="53"/>
      <c r="O147" s="226">
        <v>518</v>
      </c>
      <c r="P147" s="226">
        <v>642</v>
      </c>
      <c r="Q147" s="53"/>
      <c r="R147" s="56"/>
      <c r="S147" s="57"/>
      <c r="T147" s="53"/>
    </row>
    <row r="148" spans="6:20">
      <c r="F148" s="51" t="s">
        <v>1122</v>
      </c>
      <c r="G148" s="51" t="s">
        <v>1123</v>
      </c>
      <c r="H148" s="51" t="str">
        <f t="shared" si="2"/>
        <v>FXED B3 - 1800[1*60]</v>
      </c>
      <c r="I148" s="51" t="s">
        <v>1069</v>
      </c>
      <c r="J148" s="51" t="s">
        <v>1044</v>
      </c>
      <c r="K148" s="51" t="s">
        <v>1124</v>
      </c>
      <c r="L148" s="53">
        <f>O148*CFGRECT!$S$10</f>
        <v>178.5</v>
      </c>
      <c r="M148" s="53">
        <f>P148*CFGRECT!$T$10</f>
        <v>200.6</v>
      </c>
      <c r="N148" s="53"/>
      <c r="O148" s="226">
        <v>210</v>
      </c>
      <c r="P148" s="226">
        <v>236</v>
      </c>
      <c r="Q148" s="53"/>
      <c r="R148" s="56"/>
      <c r="S148" s="57"/>
      <c r="T148" s="53"/>
    </row>
    <row r="149" spans="6:20">
      <c r="F149" s="51" t="s">
        <v>1122</v>
      </c>
      <c r="G149" s="51" t="s">
        <v>966</v>
      </c>
      <c r="H149" s="51" t="str">
        <f t="shared" si="2"/>
        <v>FXED B3 - 1800[2*60]</v>
      </c>
      <c r="I149" s="51" t="s">
        <v>1069</v>
      </c>
      <c r="J149" s="51" t="s">
        <v>1044</v>
      </c>
      <c r="K149" s="51" t="s">
        <v>1124</v>
      </c>
      <c r="L149" s="53">
        <f>O149*CFGRECT!$S$10</f>
        <v>255.85</v>
      </c>
      <c r="M149" s="53">
        <f>P149*CFGRECT!$T$10</f>
        <v>301.75</v>
      </c>
      <c r="N149" s="53"/>
      <c r="O149" s="226">
        <v>301</v>
      </c>
      <c r="P149" s="226">
        <v>355</v>
      </c>
      <c r="Q149" s="53"/>
      <c r="R149" s="56"/>
      <c r="S149" s="57"/>
      <c r="T149" s="53"/>
    </row>
    <row r="150" spans="6:20">
      <c r="F150" s="51" t="s">
        <v>1122</v>
      </c>
      <c r="G150" s="51" t="s">
        <v>1125</v>
      </c>
      <c r="H150" s="51" t="str">
        <f t="shared" si="2"/>
        <v>FXED B3 - 1800[3*60]</v>
      </c>
      <c r="I150" s="51" t="s">
        <v>1069</v>
      </c>
      <c r="J150" s="51" t="s">
        <v>1044</v>
      </c>
      <c r="K150" s="51" t="s">
        <v>1124</v>
      </c>
      <c r="L150" s="53">
        <f>O150*CFGRECT!$S$10</f>
        <v>338.3</v>
      </c>
      <c r="M150" s="53">
        <f>P150*CFGRECT!$T$10</f>
        <v>406.3</v>
      </c>
      <c r="N150" s="53"/>
      <c r="O150" s="226">
        <v>398</v>
      </c>
      <c r="P150" s="226">
        <v>478</v>
      </c>
      <c r="Q150" s="53"/>
      <c r="R150" s="56"/>
      <c r="S150" s="57"/>
      <c r="T150" s="53"/>
    </row>
    <row r="151" spans="6:20">
      <c r="F151" s="51" t="s">
        <v>1122</v>
      </c>
      <c r="G151" s="51" t="s">
        <v>1126</v>
      </c>
      <c r="H151" s="51" t="str">
        <f t="shared" si="2"/>
        <v>FXED B3 - 1800[4*60]</v>
      </c>
      <c r="I151" s="51" t="s">
        <v>1069</v>
      </c>
      <c r="J151" s="51" t="s">
        <v>1044</v>
      </c>
      <c r="K151" s="51" t="s">
        <v>1124</v>
      </c>
      <c r="L151" s="53">
        <f>O151*CFGRECT!$S$10</f>
        <v>414.8</v>
      </c>
      <c r="M151" s="53">
        <f>P151*CFGRECT!$T$10</f>
        <v>508.3</v>
      </c>
      <c r="N151" s="53"/>
      <c r="O151" s="226">
        <v>488</v>
      </c>
      <c r="P151" s="226">
        <v>598</v>
      </c>
      <c r="Q151" s="53"/>
      <c r="R151" s="56"/>
      <c r="S151" s="57"/>
      <c r="T151" s="53"/>
    </row>
    <row r="152" spans="6:20">
      <c r="F152" s="51" t="s">
        <v>1122</v>
      </c>
      <c r="G152" s="51" t="s">
        <v>1127</v>
      </c>
      <c r="H152" s="51" t="str">
        <f t="shared" si="2"/>
        <v>FXED B3 - 1800[6*60]</v>
      </c>
      <c r="I152" s="51" t="s">
        <v>1069</v>
      </c>
      <c r="J152" s="51" t="s">
        <v>1044</v>
      </c>
      <c r="K152" s="51" t="s">
        <v>1124</v>
      </c>
      <c r="L152" s="53">
        <f>O152*CFGRECT!$S$10</f>
        <v>579.69999999999993</v>
      </c>
      <c r="M152" s="53">
        <f>P152*CFGRECT!$T$10</f>
        <v>725.9</v>
      </c>
      <c r="N152" s="53"/>
      <c r="O152" s="226">
        <v>682</v>
      </c>
      <c r="P152" s="226">
        <v>854</v>
      </c>
      <c r="Q152" s="53"/>
      <c r="R152" s="56"/>
      <c r="S152" s="57"/>
      <c r="T152" s="53"/>
    </row>
    <row r="153" spans="6:20">
      <c r="F153" s="51" t="s">
        <v>1128</v>
      </c>
      <c r="G153" s="51" t="s">
        <v>1118</v>
      </c>
      <c r="H153" s="51" t="str">
        <f t="shared" si="2"/>
        <v>AREA B3 - 1800[1*80]</v>
      </c>
      <c r="I153" s="51" t="s">
        <v>1069</v>
      </c>
      <c r="J153" s="51" t="s">
        <v>1044</v>
      </c>
      <c r="K153" s="51" t="s">
        <v>1129</v>
      </c>
      <c r="L153" s="53">
        <f>O153*CFGRECT!$S$10</f>
        <v>190.4</v>
      </c>
      <c r="M153" s="53">
        <f>P153*CFGRECT!$T$10</f>
        <v>215.04999999999998</v>
      </c>
      <c r="N153" s="53"/>
      <c r="O153" s="226">
        <v>224</v>
      </c>
      <c r="P153" s="226">
        <v>253</v>
      </c>
      <c r="Q153" s="53"/>
      <c r="R153" s="56"/>
      <c r="S153" s="57"/>
      <c r="T153" s="53"/>
    </row>
    <row r="154" spans="6:20">
      <c r="F154" s="51" t="s">
        <v>1128</v>
      </c>
      <c r="G154" s="51" t="s">
        <v>1120</v>
      </c>
      <c r="H154" s="51" t="str">
        <f t="shared" si="2"/>
        <v>AREA B3 - 1800[2*80]</v>
      </c>
      <c r="I154" s="51" t="s">
        <v>1069</v>
      </c>
      <c r="J154" s="51" t="s">
        <v>1044</v>
      </c>
      <c r="K154" s="51" t="s">
        <v>1129</v>
      </c>
      <c r="L154" s="53">
        <f>O154*CFGRECT!$S$10</f>
        <v>283.89999999999998</v>
      </c>
      <c r="M154" s="53">
        <f>P154*CFGRECT!$T$10</f>
        <v>329.8</v>
      </c>
      <c r="N154" s="53"/>
      <c r="O154" s="226">
        <v>334</v>
      </c>
      <c r="P154" s="226">
        <v>388</v>
      </c>
      <c r="Q154" s="53"/>
      <c r="R154" s="56"/>
      <c r="S154" s="57"/>
      <c r="T154" s="53"/>
    </row>
    <row r="155" spans="6:20">
      <c r="F155" s="51" t="s">
        <v>1128</v>
      </c>
      <c r="G155" s="51" t="s">
        <v>1121</v>
      </c>
      <c r="H155" s="51" t="str">
        <f t="shared" si="2"/>
        <v>AREA B3 - 1800[3*80]</v>
      </c>
      <c r="I155" s="51" t="s">
        <v>1069</v>
      </c>
      <c r="J155" s="51" t="s">
        <v>1044</v>
      </c>
      <c r="K155" s="51" t="s">
        <v>1129</v>
      </c>
      <c r="L155" s="53">
        <f>O155*CFGRECT!$S$10</f>
        <v>382.5</v>
      </c>
      <c r="M155" s="53">
        <f>P155*CFGRECT!$T$10</f>
        <v>458.15</v>
      </c>
      <c r="N155" s="53"/>
      <c r="O155" s="226">
        <v>450</v>
      </c>
      <c r="P155" s="226">
        <v>539</v>
      </c>
      <c r="Q155" s="53"/>
      <c r="R155" s="56"/>
      <c r="S155" s="57"/>
      <c r="T155" s="53"/>
    </row>
    <row r="156" spans="6:20">
      <c r="F156" s="51" t="s">
        <v>1128</v>
      </c>
      <c r="G156" s="51" t="s">
        <v>1130</v>
      </c>
      <c r="H156" s="51" t="str">
        <f t="shared" si="2"/>
        <v>AREA B3 - 1800[4*80]</v>
      </c>
      <c r="I156" s="51" t="s">
        <v>1069</v>
      </c>
      <c r="J156" s="51" t="s">
        <v>1044</v>
      </c>
      <c r="K156" s="51" t="s">
        <v>1129</v>
      </c>
      <c r="L156" s="53">
        <f>O156*CFGRECT!$S$10</f>
        <v>475.15</v>
      </c>
      <c r="M156" s="53">
        <f>P156*CFGRECT!$T$10</f>
        <v>578.85</v>
      </c>
      <c r="N156" s="53"/>
      <c r="O156" s="226">
        <v>559</v>
      </c>
      <c r="P156" s="226">
        <v>681</v>
      </c>
      <c r="Q156" s="53"/>
      <c r="R156" s="56"/>
      <c r="S156" s="57"/>
      <c r="T156" s="53"/>
    </row>
    <row r="157" spans="6:20">
      <c r="F157" s="51" t="s">
        <v>1128</v>
      </c>
      <c r="G157" s="51" t="s">
        <v>1131</v>
      </c>
      <c r="H157" s="51" t="str">
        <f t="shared" si="2"/>
        <v>AREA B3 - 1800[6*80]</v>
      </c>
      <c r="I157" s="51" t="s">
        <v>1069</v>
      </c>
      <c r="J157" s="51" t="s">
        <v>1044</v>
      </c>
      <c r="K157" s="51" t="s">
        <v>1129</v>
      </c>
      <c r="L157" s="53">
        <f>O157*CFGRECT!$S$10</f>
        <v>661.3</v>
      </c>
      <c r="M157" s="53">
        <f>P157*CFGRECT!$T$10</f>
        <v>825.35</v>
      </c>
      <c r="N157" s="53"/>
      <c r="O157" s="226">
        <v>778</v>
      </c>
      <c r="P157" s="226">
        <v>971</v>
      </c>
      <c r="Q157" s="53"/>
      <c r="R157" s="56"/>
      <c r="S157" s="57"/>
      <c r="T157" s="53"/>
    </row>
    <row r="158" spans="6:20">
      <c r="F158" s="51" t="s">
        <v>1132</v>
      </c>
      <c r="G158" s="51" t="s">
        <v>1133</v>
      </c>
      <c r="H158" s="51" t="str">
        <f t="shared" si="2"/>
        <v>AHEGA B3/B1 - 18+21[2*40/40]</v>
      </c>
      <c r="I158" s="51" t="s">
        <v>975</v>
      </c>
      <c r="J158" s="51" t="s">
        <v>1044</v>
      </c>
      <c r="K158" s="51" t="s">
        <v>1134</v>
      </c>
      <c r="L158" s="53">
        <f>O158*CFGRECT!$S$10</f>
        <v>283.05</v>
      </c>
      <c r="M158" s="53">
        <f>P158*CFGRECT!$T$10</f>
        <v>375.7</v>
      </c>
      <c r="N158" s="53"/>
      <c r="O158" s="226">
        <v>333</v>
      </c>
      <c r="P158" s="226">
        <v>442</v>
      </c>
      <c r="Q158" s="53"/>
      <c r="R158" s="56"/>
      <c r="S158" s="57"/>
      <c r="T158" s="53"/>
    </row>
    <row r="159" spans="6:20">
      <c r="F159" s="51" t="s">
        <v>1132</v>
      </c>
      <c r="G159" s="51" t="s">
        <v>1135</v>
      </c>
      <c r="H159" s="51" t="str">
        <f t="shared" si="2"/>
        <v>AHEGA B3/B1 - 18+21[2*60/60]</v>
      </c>
      <c r="I159" s="51" t="s">
        <v>975</v>
      </c>
      <c r="J159" s="51" t="s">
        <v>1044</v>
      </c>
      <c r="K159" s="51" t="s">
        <v>1134</v>
      </c>
      <c r="L159" s="53">
        <f>O159*CFGRECT!$S$10</f>
        <v>449.65</v>
      </c>
      <c r="M159" s="53">
        <f>P159*CFGRECT!$T$10</f>
        <v>680</v>
      </c>
      <c r="N159" s="53"/>
      <c r="O159" s="226">
        <v>529</v>
      </c>
      <c r="P159" s="226">
        <v>800</v>
      </c>
      <c r="Q159" s="53">
        <v>653</v>
      </c>
      <c r="R159" s="56"/>
      <c r="S159" s="57"/>
      <c r="T159" s="53"/>
    </row>
    <row r="160" spans="6:20">
      <c r="F160" s="51" t="s">
        <v>1136</v>
      </c>
      <c r="G160" s="51" t="s">
        <v>1137</v>
      </c>
      <c r="H160" s="51" t="str">
        <f t="shared" si="2"/>
        <v>AHEGB B3/B1 - 18+21[2*20/20]</v>
      </c>
      <c r="I160" s="51" t="s">
        <v>975</v>
      </c>
      <c r="J160" s="51" t="s">
        <v>1044</v>
      </c>
      <c r="K160" s="51" t="s">
        <v>1138</v>
      </c>
      <c r="L160" s="53">
        <f>O160*CFGRECT!$S$10</f>
        <v>278.8</v>
      </c>
      <c r="M160" s="53">
        <f>P160*CFGRECT!$T$10</f>
        <v>312.8</v>
      </c>
      <c r="N160" s="53"/>
      <c r="O160" s="226">
        <v>328</v>
      </c>
      <c r="P160" s="226">
        <v>368</v>
      </c>
      <c r="Q160" s="53"/>
      <c r="R160" s="56"/>
      <c r="S160" s="57"/>
      <c r="T160" s="53"/>
    </row>
    <row r="161" spans="6:20">
      <c r="F161" s="51" t="s">
        <v>1136</v>
      </c>
      <c r="G161" s="51" t="s">
        <v>1139</v>
      </c>
      <c r="H161" s="51" t="str">
        <f t="shared" si="2"/>
        <v>AHEGB B3/B1 - 18+21[4*20/20]</v>
      </c>
      <c r="I161" s="51" t="s">
        <v>975</v>
      </c>
      <c r="J161" s="51" t="s">
        <v>1044</v>
      </c>
      <c r="K161" s="51" t="s">
        <v>1138</v>
      </c>
      <c r="L161" s="53">
        <f>O161*CFGRECT!$S$10</f>
        <v>400.34999999999997</v>
      </c>
      <c r="M161" s="53">
        <f>P161*CFGRECT!$T$10</f>
        <v>469.2</v>
      </c>
      <c r="N161" s="53"/>
      <c r="O161" s="226">
        <v>471</v>
      </c>
      <c r="P161" s="226">
        <v>552</v>
      </c>
      <c r="Q161" s="53"/>
      <c r="R161" s="56"/>
      <c r="S161" s="57"/>
      <c r="T161" s="53"/>
    </row>
    <row r="162" spans="6:20">
      <c r="F162" s="51" t="s">
        <v>1136</v>
      </c>
      <c r="G162" s="51" t="s">
        <v>1133</v>
      </c>
      <c r="H162" s="51" t="str">
        <f t="shared" si="2"/>
        <v>AHEGB B3/B1 - 18+21[2*40/40]</v>
      </c>
      <c r="I162" s="51" t="s">
        <v>975</v>
      </c>
      <c r="J162" s="51" t="s">
        <v>1044</v>
      </c>
      <c r="K162" s="51" t="s">
        <v>1138</v>
      </c>
      <c r="L162" s="53">
        <f>O162*CFGRECT!$S$10</f>
        <v>392.7</v>
      </c>
      <c r="M162" s="53">
        <f>P162*CFGRECT!$T$10</f>
        <v>457.3</v>
      </c>
      <c r="N162" s="53"/>
      <c r="O162" s="226">
        <v>462</v>
      </c>
      <c r="P162" s="226">
        <v>538</v>
      </c>
      <c r="Q162" s="53"/>
      <c r="R162" s="56">
        <v>408.5</v>
      </c>
      <c r="S162" s="57">
        <v>350</v>
      </c>
      <c r="T162" s="53">
        <v>450</v>
      </c>
    </row>
    <row r="163" spans="6:20">
      <c r="F163" s="51" t="s">
        <v>1136</v>
      </c>
      <c r="G163" s="51" t="s">
        <v>1140</v>
      </c>
      <c r="H163" s="51" t="str">
        <f t="shared" si="2"/>
        <v>AHEGB B3/B1 - 18+21[4*40/40]</v>
      </c>
      <c r="I163" s="51" t="s">
        <v>975</v>
      </c>
      <c r="J163" s="51" t="s">
        <v>1044</v>
      </c>
      <c r="K163" s="51" t="s">
        <v>1138</v>
      </c>
      <c r="L163" s="53">
        <f>O163*CFGRECT!$S$10</f>
        <v>631.54999999999995</v>
      </c>
      <c r="M163" s="53">
        <f>P163*CFGRECT!$T$10</f>
        <v>758.19999999999993</v>
      </c>
      <c r="N163" s="53"/>
      <c r="O163" s="226">
        <v>743</v>
      </c>
      <c r="P163" s="226">
        <v>892</v>
      </c>
      <c r="Q163" s="53"/>
      <c r="R163" s="56">
        <v>950</v>
      </c>
      <c r="S163" s="57">
        <v>750</v>
      </c>
      <c r="T163" s="53">
        <v>950</v>
      </c>
    </row>
    <row r="164" spans="6:20">
      <c r="F164" s="51" t="s">
        <v>1141</v>
      </c>
      <c r="G164" s="51" t="s">
        <v>1142</v>
      </c>
      <c r="H164" s="51" t="str">
        <f t="shared" si="2"/>
        <v>AHEGC B3/B1 - 18+21[2*30/30]</v>
      </c>
      <c r="I164" s="51" t="s">
        <v>975</v>
      </c>
      <c r="J164" s="51" t="s">
        <v>1044</v>
      </c>
      <c r="K164" s="51" t="s">
        <v>1143</v>
      </c>
      <c r="L164" s="53">
        <f>O164*CFGRECT!$S$10</f>
        <v>320.45</v>
      </c>
      <c r="M164" s="53">
        <f>P164*CFGRECT!$T$10</f>
        <v>368.05</v>
      </c>
      <c r="N164" s="53"/>
      <c r="O164" s="226">
        <v>377</v>
      </c>
      <c r="P164" s="226">
        <v>433</v>
      </c>
      <c r="Q164" s="53"/>
      <c r="R164" s="56"/>
      <c r="S164" s="57"/>
      <c r="T164" s="53"/>
    </row>
    <row r="165" spans="6:20">
      <c r="F165" s="51" t="s">
        <v>1141</v>
      </c>
      <c r="G165" s="51" t="s">
        <v>1144</v>
      </c>
      <c r="H165" s="51" t="str">
        <f t="shared" si="2"/>
        <v>AHEGC B3/B1 - 18+21[4*30/30]</v>
      </c>
      <c r="I165" s="51" t="s">
        <v>975</v>
      </c>
      <c r="J165" s="51" t="s">
        <v>1044</v>
      </c>
      <c r="K165" s="51" t="s">
        <v>1143</v>
      </c>
      <c r="L165" s="53">
        <f>O165*CFGRECT!$S$10</f>
        <v>475.15</v>
      </c>
      <c r="M165" s="53">
        <f>P165*CFGRECT!$T$10</f>
        <v>574.6</v>
      </c>
      <c r="N165" s="53"/>
      <c r="O165" s="226">
        <v>559</v>
      </c>
      <c r="P165" s="226">
        <v>676</v>
      </c>
      <c r="Q165" s="53"/>
      <c r="R165" s="56"/>
      <c r="S165" s="57"/>
      <c r="T165" s="53"/>
    </row>
    <row r="166" spans="6:20">
      <c r="F166" s="51" t="s">
        <v>1141</v>
      </c>
      <c r="G166" s="51" t="s">
        <v>1145</v>
      </c>
      <c r="H166" s="51" t="str">
        <f t="shared" si="2"/>
        <v>AHEGC B3/B1 - 18+21[2*40/60]</v>
      </c>
      <c r="I166" s="51" t="s">
        <v>975</v>
      </c>
      <c r="J166" s="51" t="s">
        <v>1044</v>
      </c>
      <c r="K166" s="51" t="s">
        <v>1143</v>
      </c>
      <c r="L166" s="53">
        <f>O166*CFGRECT!$S$10</f>
        <v>436.9</v>
      </c>
      <c r="M166" s="53">
        <f>P166*CFGRECT!$T$10</f>
        <v>515.94999999999993</v>
      </c>
      <c r="N166" s="53"/>
      <c r="O166" s="226">
        <v>514</v>
      </c>
      <c r="P166" s="226">
        <v>607</v>
      </c>
      <c r="Q166" s="53"/>
      <c r="R166" s="56"/>
      <c r="S166" s="57">
        <v>748</v>
      </c>
      <c r="T166" s="53">
        <v>1272</v>
      </c>
    </row>
    <row r="167" spans="6:20">
      <c r="F167" s="51" t="s">
        <v>1141</v>
      </c>
      <c r="G167" s="51" t="s">
        <v>1146</v>
      </c>
      <c r="H167" s="51" t="str">
        <f t="shared" si="2"/>
        <v>AHEGC B3/B1 - 18+21[4*40/60]</v>
      </c>
      <c r="I167" s="51" t="s">
        <v>975</v>
      </c>
      <c r="J167" s="51" t="s">
        <v>1044</v>
      </c>
      <c r="K167" s="51" t="s">
        <v>1143</v>
      </c>
      <c r="L167" s="53">
        <f>O167*CFGRECT!$S$10</f>
        <v>804.94999999999993</v>
      </c>
      <c r="M167" s="53">
        <f>P167*CFGRECT!$T$10</f>
        <v>1020</v>
      </c>
      <c r="N167" s="53"/>
      <c r="O167" s="226">
        <v>947</v>
      </c>
      <c r="P167" s="226">
        <v>1200</v>
      </c>
      <c r="Q167" s="53">
        <v>1038</v>
      </c>
      <c r="R167" s="56"/>
      <c r="S167" s="57">
        <v>838</v>
      </c>
      <c r="T167" s="53">
        <v>1518</v>
      </c>
    </row>
    <row r="168" spans="6:20">
      <c r="F168" s="51" t="s">
        <v>1147</v>
      </c>
      <c r="G168" s="51" t="s">
        <v>1148</v>
      </c>
      <c r="H168" s="51" t="str">
        <f t="shared" si="2"/>
        <v>FRGF B1 - 2100[1*60]</v>
      </c>
      <c r="I168" s="51" t="s">
        <v>1069</v>
      </c>
      <c r="J168" s="51" t="s">
        <v>1044</v>
      </c>
      <c r="K168" s="51" t="s">
        <v>1149</v>
      </c>
      <c r="L168" s="53">
        <f>O168*CFGRECT!$S$10</f>
        <v>187</v>
      </c>
      <c r="M168" s="53">
        <f>P168*CFGRECT!$T$10</f>
        <v>284.75</v>
      </c>
      <c r="N168" s="53"/>
      <c r="O168" s="226">
        <v>220</v>
      </c>
      <c r="P168" s="226">
        <v>335</v>
      </c>
      <c r="Q168" s="53"/>
      <c r="R168" s="56"/>
      <c r="S168" s="57"/>
      <c r="T168" s="53"/>
    </row>
    <row r="169" spans="6:20">
      <c r="F169" s="51" t="s">
        <v>1147</v>
      </c>
      <c r="G169" s="51" t="s">
        <v>997</v>
      </c>
      <c r="H169" s="51" t="str">
        <f t="shared" si="2"/>
        <v>FRGF B1 - 2100[2*60]</v>
      </c>
      <c r="I169" s="51" t="s">
        <v>1069</v>
      </c>
      <c r="J169" s="51" t="s">
        <v>1044</v>
      </c>
      <c r="K169" s="51" t="s">
        <v>1149</v>
      </c>
      <c r="L169" s="53">
        <f>O169*CFGRECT!$S$10</f>
        <v>301.75</v>
      </c>
      <c r="M169" s="53">
        <f>P169*CFGRECT!$T$10</f>
        <v>488.75</v>
      </c>
      <c r="N169" s="53"/>
      <c r="O169" s="226">
        <v>355</v>
      </c>
      <c r="P169" s="226">
        <v>575</v>
      </c>
      <c r="Q169" s="53"/>
      <c r="R169" s="56"/>
      <c r="S169" s="57"/>
      <c r="T169" s="53"/>
    </row>
    <row r="170" spans="6:20">
      <c r="F170" s="51" t="s">
        <v>1147</v>
      </c>
      <c r="G170" s="51" t="s">
        <v>1150</v>
      </c>
      <c r="H170" s="51" t="str">
        <f t="shared" si="2"/>
        <v>FRGF B1 - 2100[3*60]</v>
      </c>
      <c r="I170" s="51" t="s">
        <v>1069</v>
      </c>
      <c r="J170" s="51" t="s">
        <v>1044</v>
      </c>
      <c r="K170" s="51" t="s">
        <v>1149</v>
      </c>
      <c r="L170" s="53">
        <f>O170*CFGRECT!$S$10</f>
        <v>412.25</v>
      </c>
      <c r="M170" s="53">
        <f>P170*CFGRECT!$T$10</f>
        <v>697</v>
      </c>
      <c r="N170" s="53"/>
      <c r="O170" s="226">
        <v>485</v>
      </c>
      <c r="P170" s="226">
        <v>820</v>
      </c>
      <c r="Q170" s="53"/>
      <c r="R170" s="56"/>
      <c r="S170" s="57"/>
      <c r="T170" s="53"/>
    </row>
    <row r="171" spans="6:20">
      <c r="F171" s="51" t="s">
        <v>1151</v>
      </c>
      <c r="G171" s="51" t="s">
        <v>1152</v>
      </c>
      <c r="H171" s="51" t="str">
        <f t="shared" si="2"/>
        <v>FRGT B1 - 2100[1*80]</v>
      </c>
      <c r="I171" s="51" t="s">
        <v>1069</v>
      </c>
      <c r="J171" s="51" t="s">
        <v>1044</v>
      </c>
      <c r="K171" s="51" t="s">
        <v>1153</v>
      </c>
      <c r="L171" s="53">
        <f>O171*CFGRECT!$S$10</f>
        <v>183.6</v>
      </c>
      <c r="M171" s="53">
        <f>P171*CFGRECT!$T$10</f>
        <v>216.75</v>
      </c>
      <c r="N171" s="53"/>
      <c r="O171" s="226">
        <v>216</v>
      </c>
      <c r="P171" s="226">
        <v>255</v>
      </c>
      <c r="Q171" s="53"/>
      <c r="R171" s="56"/>
      <c r="S171" s="57"/>
      <c r="T171" s="53"/>
    </row>
    <row r="172" spans="6:20">
      <c r="F172" s="51" t="s">
        <v>1151</v>
      </c>
      <c r="G172" s="51" t="s">
        <v>1154</v>
      </c>
      <c r="H172" s="51" t="str">
        <f t="shared" si="2"/>
        <v>FRGT B1 - 3G2100[2*80]</v>
      </c>
      <c r="I172" s="51" t="s">
        <v>1069</v>
      </c>
      <c r="J172" s="51" t="s">
        <v>1044</v>
      </c>
      <c r="K172" s="51" t="s">
        <v>1153</v>
      </c>
      <c r="L172" s="53">
        <f>O172*CFGRECT!$S$10</f>
        <v>291.55</v>
      </c>
      <c r="M172" s="53">
        <f>P172*CFGRECT!$T$10</f>
        <v>357</v>
      </c>
      <c r="N172" s="53"/>
      <c r="O172" s="226">
        <v>343</v>
      </c>
      <c r="P172" s="226">
        <v>420</v>
      </c>
      <c r="Q172" s="53"/>
      <c r="R172" s="56"/>
      <c r="S172" s="57"/>
      <c r="T172" s="53"/>
    </row>
    <row r="173" spans="6:20">
      <c r="F173" s="51" t="s">
        <v>1151</v>
      </c>
      <c r="G173" s="51" t="s">
        <v>1155</v>
      </c>
      <c r="H173" s="51" t="str">
        <f t="shared" si="2"/>
        <v>FRGT B1 - 3G2100[3*80]</v>
      </c>
      <c r="I173" s="51" t="s">
        <v>1069</v>
      </c>
      <c r="J173" s="51" t="s">
        <v>1044</v>
      </c>
      <c r="K173" s="51" t="s">
        <v>1153</v>
      </c>
      <c r="L173" s="53">
        <f>O173*CFGRECT!$S$10</f>
        <v>402.9</v>
      </c>
      <c r="M173" s="53">
        <f>P173*CFGRECT!$T$10</f>
        <v>476</v>
      </c>
      <c r="N173" s="53"/>
      <c r="O173" s="226">
        <v>474</v>
      </c>
      <c r="P173" s="226">
        <v>560</v>
      </c>
      <c r="Q173" s="53"/>
      <c r="R173" s="56"/>
      <c r="S173" s="57"/>
      <c r="T173" s="53"/>
    </row>
    <row r="174" spans="6:20">
      <c r="F174" s="51" t="s">
        <v>1151</v>
      </c>
      <c r="G174" s="51" t="s">
        <v>1152</v>
      </c>
      <c r="H174" s="51" t="str">
        <f t="shared" si="2"/>
        <v>FRGT B1 - 2100[1*80]</v>
      </c>
      <c r="I174" s="51" t="s">
        <v>1069</v>
      </c>
      <c r="J174" s="51" t="s">
        <v>1044</v>
      </c>
      <c r="K174" s="51" t="s">
        <v>1156</v>
      </c>
      <c r="L174" s="53">
        <f>O174*CFGRECT!$S$10</f>
        <v>186.15</v>
      </c>
      <c r="M174" s="53">
        <f>P174*CFGRECT!$T$10</f>
        <v>218.45</v>
      </c>
      <c r="N174" s="53"/>
      <c r="O174" s="226">
        <v>219</v>
      </c>
      <c r="P174" s="226">
        <v>257</v>
      </c>
      <c r="Q174" s="53"/>
      <c r="R174" s="56"/>
      <c r="S174" s="57"/>
      <c r="T174" s="53"/>
    </row>
    <row r="175" spans="6:20">
      <c r="F175" s="51" t="s">
        <v>1151</v>
      </c>
      <c r="G175" s="51" t="s">
        <v>999</v>
      </c>
      <c r="H175" s="51" t="str">
        <f t="shared" si="2"/>
        <v>FRGT B1 - 2100[2*80]</v>
      </c>
      <c r="I175" s="51" t="s">
        <v>1069</v>
      </c>
      <c r="J175" s="51" t="s">
        <v>1044</v>
      </c>
      <c r="K175" s="51" t="s">
        <v>1156</v>
      </c>
      <c r="L175" s="53">
        <f>O175*CFGRECT!$S$10</f>
        <v>300.05</v>
      </c>
      <c r="M175" s="53">
        <f>P175*CFGRECT!$T$10</f>
        <v>365.5</v>
      </c>
      <c r="N175" s="53"/>
      <c r="O175" s="226">
        <v>353</v>
      </c>
      <c r="P175" s="226">
        <v>430</v>
      </c>
      <c r="Q175" s="53"/>
      <c r="R175" s="56"/>
      <c r="S175" s="57"/>
      <c r="T175" s="53"/>
    </row>
    <row r="176" spans="6:20">
      <c r="F176" s="51" t="s">
        <v>1151</v>
      </c>
      <c r="G176" s="51" t="s">
        <v>1157</v>
      </c>
      <c r="H176" s="51" t="str">
        <f t="shared" si="2"/>
        <v>FRGT B1 - 2100[3*80]</v>
      </c>
      <c r="I176" s="51" t="s">
        <v>1069</v>
      </c>
      <c r="J176" s="51" t="s">
        <v>1044</v>
      </c>
      <c r="K176" s="51" t="s">
        <v>1156</v>
      </c>
      <c r="L176" s="53">
        <f>O176*CFGRECT!$S$10</f>
        <v>422.45</v>
      </c>
      <c r="M176" s="53">
        <f>P176*CFGRECT!$T$10</f>
        <v>523.6</v>
      </c>
      <c r="N176" s="53"/>
      <c r="O176" s="226">
        <v>497</v>
      </c>
      <c r="P176" s="226">
        <v>616</v>
      </c>
      <c r="Q176" s="53"/>
      <c r="R176" s="56"/>
      <c r="S176" s="57"/>
      <c r="T176" s="53"/>
    </row>
    <row r="177" spans="6:20">
      <c r="F177" s="51" t="s">
        <v>1158</v>
      </c>
      <c r="G177" s="51" t="s">
        <v>1159</v>
      </c>
      <c r="H177" s="51" t="str">
        <f t="shared" si="2"/>
        <v>FRGU B1 - 3G2100[1*60]</v>
      </c>
      <c r="I177" s="51" t="s">
        <v>1069</v>
      </c>
      <c r="J177" s="51" t="s">
        <v>1044</v>
      </c>
      <c r="K177" s="51" t="s">
        <v>1160</v>
      </c>
      <c r="L177" s="53">
        <f>O177*CFGRECT!$S$10</f>
        <v>182.75</v>
      </c>
      <c r="M177" s="53">
        <f>P177*CFGRECT!$T$10</f>
        <v>209.95</v>
      </c>
      <c r="N177" s="53"/>
      <c r="O177" s="226">
        <v>215</v>
      </c>
      <c r="P177" s="226">
        <v>247</v>
      </c>
      <c r="Q177" s="53"/>
      <c r="R177" s="56"/>
      <c r="S177" s="57"/>
      <c r="T177" s="53"/>
    </row>
    <row r="178" spans="6:20">
      <c r="F178" s="51" t="s">
        <v>1158</v>
      </c>
      <c r="G178" s="51" t="s">
        <v>1161</v>
      </c>
      <c r="H178" s="51" t="str">
        <f t="shared" si="2"/>
        <v>FRGU B1 - 3G2100[2*60]</v>
      </c>
      <c r="I178" s="51" t="s">
        <v>1069</v>
      </c>
      <c r="J178" s="51" t="s">
        <v>1044</v>
      </c>
      <c r="K178" s="51" t="s">
        <v>1160</v>
      </c>
      <c r="L178" s="53">
        <f>O178*CFGRECT!$S$10</f>
        <v>263.5</v>
      </c>
      <c r="M178" s="53">
        <f>P178*CFGRECT!$T$10</f>
        <v>315.34999999999997</v>
      </c>
      <c r="N178" s="53"/>
      <c r="O178" s="226">
        <v>310</v>
      </c>
      <c r="P178" s="226">
        <v>371</v>
      </c>
      <c r="Q178" s="53"/>
      <c r="R178" s="56"/>
      <c r="S178" s="57"/>
      <c r="T178" s="53"/>
    </row>
    <row r="179" spans="6:20">
      <c r="F179" s="51" t="s">
        <v>1158</v>
      </c>
      <c r="G179" s="51" t="s">
        <v>1162</v>
      </c>
      <c r="H179" s="51" t="str">
        <f t="shared" si="2"/>
        <v>FRGU B1 - 3G2100[3*60]</v>
      </c>
      <c r="I179" s="51" t="s">
        <v>1069</v>
      </c>
      <c r="J179" s="51" t="s">
        <v>1044</v>
      </c>
      <c r="K179" s="51" t="s">
        <v>1160</v>
      </c>
      <c r="L179" s="53">
        <f>O179*CFGRECT!$S$10</f>
        <v>345.09999999999997</v>
      </c>
      <c r="M179" s="53">
        <f>P179*CFGRECT!$T$10</f>
        <v>381.65</v>
      </c>
      <c r="N179" s="53"/>
      <c r="O179" s="226">
        <v>406</v>
      </c>
      <c r="P179" s="226">
        <v>449</v>
      </c>
      <c r="Q179" s="53"/>
      <c r="R179" s="56"/>
      <c r="S179" s="57"/>
      <c r="T179" s="53"/>
    </row>
    <row r="180" spans="6:20">
      <c r="F180" s="51" t="s">
        <v>1158</v>
      </c>
      <c r="G180" s="51" t="s">
        <v>1163</v>
      </c>
      <c r="H180" s="51" t="str">
        <f t="shared" si="2"/>
        <v>FRGU B1 - 3G2100[4*60]</v>
      </c>
      <c r="I180" s="51" t="s">
        <v>1069</v>
      </c>
      <c r="J180" s="51" t="s">
        <v>1044</v>
      </c>
      <c r="K180" s="51" t="s">
        <v>1160</v>
      </c>
      <c r="L180" s="53">
        <f>O180*CFGRECT!$S$10</f>
        <v>421.59999999999997</v>
      </c>
      <c r="M180" s="53">
        <f>P180*CFGRECT!$T$10</f>
        <v>525.29999999999995</v>
      </c>
      <c r="N180" s="53"/>
      <c r="O180" s="226">
        <v>496</v>
      </c>
      <c r="P180" s="226">
        <v>618</v>
      </c>
      <c r="Q180" s="53"/>
      <c r="R180" s="56"/>
      <c r="S180" s="57"/>
      <c r="T180" s="53"/>
    </row>
    <row r="181" spans="6:20">
      <c r="F181" s="51" t="s">
        <v>1158</v>
      </c>
      <c r="G181" s="51" t="s">
        <v>1164</v>
      </c>
      <c r="H181" s="51" t="str">
        <f t="shared" si="2"/>
        <v>FRGU B1 - 3G2100[6*60]</v>
      </c>
      <c r="I181" s="51" t="s">
        <v>1069</v>
      </c>
      <c r="J181" s="51" t="s">
        <v>1044</v>
      </c>
      <c r="K181" s="51" t="s">
        <v>1160</v>
      </c>
      <c r="L181" s="53">
        <f>O181*CFGRECT!$S$10</f>
        <v>584.79999999999995</v>
      </c>
      <c r="M181" s="53">
        <f>P181*CFGRECT!$T$10</f>
        <v>744.6</v>
      </c>
      <c r="N181" s="53"/>
      <c r="O181" s="226">
        <v>688</v>
      </c>
      <c r="P181" s="226">
        <v>876</v>
      </c>
      <c r="Q181" s="53"/>
      <c r="R181" s="56"/>
      <c r="S181" s="57"/>
      <c r="T181" s="53"/>
    </row>
    <row r="182" spans="6:20">
      <c r="F182" s="51" t="s">
        <v>1158</v>
      </c>
      <c r="G182" s="51" t="s">
        <v>1148</v>
      </c>
      <c r="H182" s="51" t="str">
        <f t="shared" si="2"/>
        <v>FRGU B1 - 2100[1*60]</v>
      </c>
      <c r="I182" s="51" t="s">
        <v>1069</v>
      </c>
      <c r="J182" s="51" t="s">
        <v>1044</v>
      </c>
      <c r="K182" s="51" t="s">
        <v>1165</v>
      </c>
      <c r="L182" s="53">
        <f>O182*CFGRECT!$S$10</f>
        <v>186.15</v>
      </c>
      <c r="M182" s="53">
        <f>P182*CFGRECT!$T$10</f>
        <v>212.5</v>
      </c>
      <c r="N182" s="53"/>
      <c r="O182" s="226">
        <v>219</v>
      </c>
      <c r="P182" s="226">
        <v>250</v>
      </c>
      <c r="Q182" s="53"/>
      <c r="R182" s="56"/>
      <c r="S182" s="57"/>
      <c r="T182" s="53"/>
    </row>
    <row r="183" spans="6:20">
      <c r="F183" s="51" t="s">
        <v>1158</v>
      </c>
      <c r="G183" s="51" t="s">
        <v>997</v>
      </c>
      <c r="H183" s="51" t="str">
        <f t="shared" si="2"/>
        <v>FRGU B1 - 2100[2*60]</v>
      </c>
      <c r="I183" s="51" t="s">
        <v>1069</v>
      </c>
      <c r="J183" s="51" t="s">
        <v>1044</v>
      </c>
      <c r="K183" s="51" t="s">
        <v>1165</v>
      </c>
      <c r="L183" s="53">
        <f>O183*CFGRECT!$S$10</f>
        <v>270.3</v>
      </c>
      <c r="M183" s="53">
        <f>P183*CFGRECT!$T$10</f>
        <v>322.14999999999998</v>
      </c>
      <c r="N183" s="53"/>
      <c r="O183" s="226">
        <v>318</v>
      </c>
      <c r="P183" s="226">
        <v>379</v>
      </c>
      <c r="Q183" s="53"/>
      <c r="R183" s="56"/>
      <c r="S183" s="57"/>
      <c r="T183" s="53"/>
    </row>
    <row r="184" spans="6:20">
      <c r="F184" s="51" t="s">
        <v>1158</v>
      </c>
      <c r="G184" s="51" t="s">
        <v>1150</v>
      </c>
      <c r="H184" s="51" t="str">
        <f t="shared" si="2"/>
        <v>FRGU B1 - 2100[3*60]</v>
      </c>
      <c r="I184" s="51" t="s">
        <v>1069</v>
      </c>
      <c r="J184" s="51" t="s">
        <v>1044</v>
      </c>
      <c r="K184" s="51" t="s">
        <v>1165</v>
      </c>
      <c r="L184" s="53">
        <f>O184*CFGRECT!$S$10</f>
        <v>357</v>
      </c>
      <c r="M184" s="53">
        <f>P184*CFGRECT!$T$10</f>
        <v>434.34999999999997</v>
      </c>
      <c r="N184" s="53"/>
      <c r="O184" s="226">
        <v>420</v>
      </c>
      <c r="P184" s="226">
        <v>511</v>
      </c>
      <c r="Q184" s="53"/>
      <c r="R184" s="56"/>
      <c r="S184" s="57"/>
      <c r="T184" s="53"/>
    </row>
    <row r="185" spans="6:20">
      <c r="F185" s="51" t="s">
        <v>1158</v>
      </c>
      <c r="G185" s="51" t="s">
        <v>1003</v>
      </c>
      <c r="H185" s="51" t="str">
        <f t="shared" si="2"/>
        <v>FRGU B1 - 2100[4*60]</v>
      </c>
      <c r="I185" s="51" t="s">
        <v>1069</v>
      </c>
      <c r="J185" s="51" t="s">
        <v>1044</v>
      </c>
      <c r="K185" s="51" t="s">
        <v>1165</v>
      </c>
      <c r="L185" s="53">
        <f>O185*CFGRECT!$S$10</f>
        <v>437.75</v>
      </c>
      <c r="M185" s="53">
        <f>P185*CFGRECT!$T$10</f>
        <v>539.75</v>
      </c>
      <c r="N185" s="53"/>
      <c r="O185" s="226">
        <v>515</v>
      </c>
      <c r="P185" s="226">
        <v>635</v>
      </c>
      <c r="Q185" s="53"/>
      <c r="R185" s="56"/>
      <c r="S185" s="57"/>
      <c r="T185" s="53"/>
    </row>
    <row r="186" spans="6:20">
      <c r="F186" s="51" t="s">
        <v>1158</v>
      </c>
      <c r="G186" s="51" t="s">
        <v>1166</v>
      </c>
      <c r="H186" s="51" t="str">
        <f t="shared" si="2"/>
        <v>FRGU B1 - 2100[6*60]</v>
      </c>
      <c r="I186" s="51" t="s">
        <v>1069</v>
      </c>
      <c r="J186" s="51" t="s">
        <v>1044</v>
      </c>
      <c r="K186" s="51" t="s">
        <v>1165</v>
      </c>
      <c r="L186" s="53">
        <f>O186*CFGRECT!$S$10</f>
        <v>610.29999999999995</v>
      </c>
      <c r="M186" s="53">
        <f>P186*CFGRECT!$T$10</f>
        <v>765</v>
      </c>
      <c r="N186" s="53"/>
      <c r="O186" s="226">
        <v>718</v>
      </c>
      <c r="P186" s="226">
        <v>900</v>
      </c>
      <c r="Q186" s="53"/>
      <c r="R186" s="56"/>
      <c r="S186" s="57"/>
      <c r="T186" s="53"/>
    </row>
    <row r="187" spans="6:20">
      <c r="F187" s="51" t="s">
        <v>1167</v>
      </c>
      <c r="G187" s="51" t="s">
        <v>1152</v>
      </c>
      <c r="H187" s="51" t="str">
        <f t="shared" si="2"/>
        <v>ARGA B1 - 2100[1*80]</v>
      </c>
      <c r="I187" s="51" t="s">
        <v>1069</v>
      </c>
      <c r="J187" s="51" t="s">
        <v>1044</v>
      </c>
      <c r="K187" s="51" t="s">
        <v>1168</v>
      </c>
      <c r="L187" s="53">
        <f>O187*CFGRECT!$S$10</f>
        <v>179.35</v>
      </c>
      <c r="M187" s="53">
        <f>P187*CFGRECT!$T$10</f>
        <v>207.4</v>
      </c>
      <c r="N187" s="53"/>
      <c r="O187" s="226">
        <v>211</v>
      </c>
      <c r="P187" s="226">
        <v>244</v>
      </c>
      <c r="Q187" s="53"/>
      <c r="R187" s="56"/>
      <c r="S187" s="57"/>
      <c r="T187" s="53"/>
    </row>
    <row r="188" spans="6:20">
      <c r="F188" s="51" t="s">
        <v>1167</v>
      </c>
      <c r="G188" s="51" t="s">
        <v>999</v>
      </c>
      <c r="H188" s="51" t="str">
        <f t="shared" si="2"/>
        <v>ARGA B1 - 2100[2*80]</v>
      </c>
      <c r="I188" s="51" t="s">
        <v>1069</v>
      </c>
      <c r="J188" s="51" t="s">
        <v>1044</v>
      </c>
      <c r="K188" s="51" t="s">
        <v>1168</v>
      </c>
      <c r="L188" s="53">
        <f>O188*CFGRECT!$S$10</f>
        <v>262.64999999999998</v>
      </c>
      <c r="M188" s="53">
        <f>P188*CFGRECT!$T$10</f>
        <v>319.59999999999997</v>
      </c>
      <c r="N188" s="53"/>
      <c r="O188" s="226">
        <v>309</v>
      </c>
      <c r="P188" s="226">
        <v>376</v>
      </c>
      <c r="Q188" s="53"/>
      <c r="R188" s="56"/>
      <c r="S188" s="57"/>
      <c r="T188" s="53"/>
    </row>
    <row r="189" spans="6:20">
      <c r="F189" s="51" t="s">
        <v>1167</v>
      </c>
      <c r="G189" s="51" t="s">
        <v>1157</v>
      </c>
      <c r="H189" s="51" t="str">
        <f t="shared" si="2"/>
        <v>ARGA B1 - 2100[3*80]</v>
      </c>
      <c r="I189" s="51" t="s">
        <v>1069</v>
      </c>
      <c r="J189" s="51" t="s">
        <v>1044</v>
      </c>
      <c r="K189" s="51" t="s">
        <v>1168</v>
      </c>
      <c r="L189" s="53">
        <f>O189*CFGRECT!$S$10</f>
        <v>354.45</v>
      </c>
      <c r="M189" s="53">
        <f>P189*CFGRECT!$T$10</f>
        <v>440.3</v>
      </c>
      <c r="N189" s="53"/>
      <c r="O189" s="226">
        <v>417</v>
      </c>
      <c r="P189" s="226">
        <v>518</v>
      </c>
      <c r="Q189" s="53"/>
      <c r="R189" s="56"/>
      <c r="S189" s="57"/>
      <c r="T189" s="53"/>
    </row>
    <row r="190" spans="6:20">
      <c r="F190" s="51" t="s">
        <v>1167</v>
      </c>
      <c r="G190" s="51" t="s">
        <v>1001</v>
      </c>
      <c r="H190" s="51" t="str">
        <f t="shared" si="2"/>
        <v>ARGA B1 - 2100[4*80]</v>
      </c>
      <c r="I190" s="51" t="s">
        <v>1069</v>
      </c>
      <c r="J190" s="51" t="s">
        <v>1044</v>
      </c>
      <c r="K190" s="51" t="s">
        <v>1168</v>
      </c>
      <c r="L190" s="53">
        <f>O190*CFGRECT!$S$10</f>
        <v>438.59999999999997</v>
      </c>
      <c r="M190" s="53">
        <f>P190*CFGRECT!$T$10</f>
        <v>555.04999999999995</v>
      </c>
      <c r="N190" s="53"/>
      <c r="O190" s="226">
        <v>516</v>
      </c>
      <c r="P190" s="226">
        <v>653</v>
      </c>
      <c r="Q190" s="53"/>
      <c r="R190" s="56"/>
      <c r="S190" s="57"/>
      <c r="T190" s="53"/>
    </row>
    <row r="191" spans="6:20">
      <c r="F191" s="51" t="s">
        <v>1167</v>
      </c>
      <c r="G191" s="51" t="s">
        <v>1169</v>
      </c>
      <c r="H191" s="51" t="str">
        <f t="shared" si="2"/>
        <v>ARGA B1 - 2100[6*80]</v>
      </c>
      <c r="I191" s="51" t="s">
        <v>1069</v>
      </c>
      <c r="J191" s="51" t="s">
        <v>1044</v>
      </c>
      <c r="K191" s="51" t="s">
        <v>1168</v>
      </c>
      <c r="L191" s="53">
        <f>O191*CFGRECT!$S$10</f>
        <v>616.25</v>
      </c>
      <c r="M191" s="53">
        <f>P191*CFGRECT!$T$10</f>
        <v>799</v>
      </c>
      <c r="N191" s="53"/>
      <c r="O191" s="226">
        <v>725</v>
      </c>
      <c r="P191" s="226">
        <v>940</v>
      </c>
      <c r="Q191" s="53"/>
      <c r="R191" s="56"/>
      <c r="S191" s="57"/>
      <c r="T191" s="53"/>
    </row>
    <row r="192" spans="6:20">
      <c r="F192" s="51" t="s">
        <v>1170</v>
      </c>
      <c r="G192" s="51" t="s">
        <v>1171</v>
      </c>
      <c r="H192" s="51" t="str">
        <f t="shared" si="2"/>
        <v>FZNI B40 - 2300[2*30]</v>
      </c>
      <c r="I192" s="51" t="s">
        <v>975</v>
      </c>
      <c r="J192" s="51" t="s">
        <v>1044</v>
      </c>
      <c r="K192" s="51" t="s">
        <v>1172</v>
      </c>
      <c r="L192" s="53">
        <f>O192*CFGRECT!$S$10</f>
        <v>153</v>
      </c>
      <c r="M192" s="53">
        <f>P192*CFGRECT!$T$10</f>
        <v>232.04999999999998</v>
      </c>
      <c r="N192" s="53"/>
      <c r="O192" s="226">
        <v>180</v>
      </c>
      <c r="P192" s="226">
        <v>273</v>
      </c>
      <c r="Q192" s="53"/>
      <c r="R192" s="56"/>
      <c r="S192" s="57"/>
      <c r="T192" s="53"/>
    </row>
    <row r="193" spans="6:20">
      <c r="F193" s="51" t="s">
        <v>1170</v>
      </c>
      <c r="G193" s="51" t="s">
        <v>1014</v>
      </c>
      <c r="H193" s="51" t="str">
        <f t="shared" si="2"/>
        <v>FZNI B40 - 2300[4*30]</v>
      </c>
      <c r="I193" s="51" t="s">
        <v>975</v>
      </c>
      <c r="J193" s="51" t="s">
        <v>1044</v>
      </c>
      <c r="K193" s="51" t="s">
        <v>1172</v>
      </c>
      <c r="L193" s="53">
        <f>O193*CFGRECT!$S$10</f>
        <v>252.45</v>
      </c>
      <c r="M193" s="53">
        <f>P193*CFGRECT!$T$10</f>
        <v>409.7</v>
      </c>
      <c r="N193" s="53"/>
      <c r="O193" s="226">
        <v>297</v>
      </c>
      <c r="P193" s="226">
        <v>482</v>
      </c>
      <c r="Q193" s="53"/>
      <c r="R193" s="56"/>
      <c r="S193" s="57"/>
      <c r="T193" s="53"/>
    </row>
    <row r="194" spans="6:20">
      <c r="F194" s="51" t="s">
        <v>1173</v>
      </c>
      <c r="G194" s="51" t="s">
        <v>1174</v>
      </c>
      <c r="H194" s="51" t="str">
        <f t="shared" si="2"/>
        <v>AZNA B40 - 2300[2*40]</v>
      </c>
      <c r="I194" s="51" t="s">
        <v>975</v>
      </c>
      <c r="J194" s="51" t="s">
        <v>1044</v>
      </c>
      <c r="K194" s="51" t="s">
        <v>1175</v>
      </c>
      <c r="L194" s="53">
        <f>O194*CFGRECT!$S$10</f>
        <v>125.8</v>
      </c>
      <c r="M194" s="53">
        <f>P194*CFGRECT!$T$10</f>
        <v>147.04999999999998</v>
      </c>
      <c r="N194" s="53"/>
      <c r="O194" s="226">
        <v>148</v>
      </c>
      <c r="P194" s="226">
        <v>173</v>
      </c>
      <c r="Q194" s="53"/>
      <c r="R194" s="56"/>
      <c r="S194" s="57"/>
      <c r="T194" s="53"/>
    </row>
    <row r="195" spans="6:20">
      <c r="F195" s="51" t="s">
        <v>1173</v>
      </c>
      <c r="G195" s="51" t="s">
        <v>1016</v>
      </c>
      <c r="H195" s="51" t="str">
        <f t="shared" si="2"/>
        <v>AZNA B40 - 2300[4*40]</v>
      </c>
      <c r="I195" s="51" t="s">
        <v>975</v>
      </c>
      <c r="J195" s="51" t="s">
        <v>1044</v>
      </c>
      <c r="K195" s="51" t="s">
        <v>1175</v>
      </c>
      <c r="L195" s="53">
        <f>O195*CFGRECT!$S$10</f>
        <v>247.35</v>
      </c>
      <c r="M195" s="53">
        <f>P195*CFGRECT!$T$10</f>
        <v>289.84999999999997</v>
      </c>
      <c r="N195" s="53"/>
      <c r="O195" s="226">
        <v>291</v>
      </c>
      <c r="P195" s="226">
        <v>341</v>
      </c>
      <c r="Q195" s="53">
        <v>233</v>
      </c>
      <c r="R195" s="56">
        <v>286</v>
      </c>
      <c r="S195" s="57">
        <v>233</v>
      </c>
      <c r="T195" s="53">
        <v>424</v>
      </c>
    </row>
    <row r="196" spans="6:20">
      <c r="F196" s="51" t="s">
        <v>1176</v>
      </c>
      <c r="G196" s="51" t="s">
        <v>1177</v>
      </c>
      <c r="H196" s="51" t="str">
        <f t="shared" si="2"/>
        <v>FRHF B7 - 2600[1*40]</v>
      </c>
      <c r="I196" s="51" t="s">
        <v>1069</v>
      </c>
      <c r="J196" s="51" t="s">
        <v>1044</v>
      </c>
      <c r="K196" s="51" t="s">
        <v>1178</v>
      </c>
      <c r="L196" s="53">
        <f>O196*CFGRECT!$S$10</f>
        <v>138.54999999999998</v>
      </c>
      <c r="M196" s="53">
        <f>P196*CFGRECT!$T$10</f>
        <v>155.54999999999998</v>
      </c>
      <c r="N196" s="53"/>
      <c r="O196" s="226">
        <v>163</v>
      </c>
      <c r="P196" s="226">
        <v>183</v>
      </c>
      <c r="Q196" s="53"/>
      <c r="R196" s="56"/>
      <c r="S196" s="57"/>
      <c r="T196" s="53"/>
    </row>
    <row r="197" spans="6:20">
      <c r="F197" s="51" t="s">
        <v>1176</v>
      </c>
      <c r="G197" s="51" t="s">
        <v>971</v>
      </c>
      <c r="H197" s="51" t="str">
        <f t="shared" si="2"/>
        <v>FRHF B7 - 2600[2*40]</v>
      </c>
      <c r="I197" s="51" t="s">
        <v>1069</v>
      </c>
      <c r="J197" s="51" t="s">
        <v>1044</v>
      </c>
      <c r="K197" s="51" t="s">
        <v>1178</v>
      </c>
      <c r="L197" s="53">
        <f>O197*CFGRECT!$S$10</f>
        <v>193.79999999999998</v>
      </c>
      <c r="M197" s="53">
        <f>P197*CFGRECT!$T$10</f>
        <v>228.65</v>
      </c>
      <c r="N197" s="53"/>
      <c r="O197" s="226">
        <v>228</v>
      </c>
      <c r="P197" s="226">
        <v>269</v>
      </c>
      <c r="Q197" s="53"/>
      <c r="R197" s="56"/>
      <c r="S197" s="57"/>
      <c r="T197" s="53"/>
    </row>
    <row r="198" spans="6:20">
      <c r="F198" s="51" t="s">
        <v>1176</v>
      </c>
      <c r="G198" s="51" t="s">
        <v>1179</v>
      </c>
      <c r="H198" s="51" t="str">
        <f t="shared" si="2"/>
        <v>FRHF B7 - 2600[3*40]</v>
      </c>
      <c r="I198" s="51" t="s">
        <v>1069</v>
      </c>
      <c r="J198" s="51" t="s">
        <v>1044</v>
      </c>
      <c r="K198" s="51" t="s">
        <v>1178</v>
      </c>
      <c r="L198" s="53">
        <f>O198*CFGRECT!$S$10</f>
        <v>265.2</v>
      </c>
      <c r="M198" s="53">
        <f>P198*CFGRECT!$T$10</f>
        <v>316.2</v>
      </c>
      <c r="N198" s="53"/>
      <c r="O198" s="226">
        <v>312</v>
      </c>
      <c r="P198" s="226">
        <v>372</v>
      </c>
      <c r="Q198" s="53"/>
      <c r="R198" s="56"/>
      <c r="S198" s="57"/>
      <c r="T198" s="53"/>
    </row>
    <row r="199" spans="6:20">
      <c r="F199" s="51" t="s">
        <v>1176</v>
      </c>
      <c r="G199" s="51" t="s">
        <v>1020</v>
      </c>
      <c r="H199" s="51" t="str">
        <f t="shared" si="2"/>
        <v>FRHF B7 - 2600[4*40]</v>
      </c>
      <c r="I199" s="51" t="s">
        <v>1069</v>
      </c>
      <c r="J199" s="51" t="s">
        <v>1044</v>
      </c>
      <c r="K199" s="51" t="s">
        <v>1178</v>
      </c>
      <c r="L199" s="53">
        <f>O199*CFGRECT!$S$10</f>
        <v>313.64999999999998</v>
      </c>
      <c r="M199" s="53">
        <f>P199*CFGRECT!$T$10</f>
        <v>384.2</v>
      </c>
      <c r="N199" s="53"/>
      <c r="O199" s="226">
        <v>369</v>
      </c>
      <c r="P199" s="226">
        <v>452</v>
      </c>
      <c r="Q199" s="53"/>
      <c r="R199" s="56"/>
      <c r="S199" s="57"/>
      <c r="T199" s="53"/>
    </row>
    <row r="200" spans="6:20">
      <c r="F200" s="51" t="s">
        <v>1176</v>
      </c>
      <c r="G200" s="51" t="s">
        <v>1180</v>
      </c>
      <c r="H200" s="51" t="str">
        <f t="shared" si="2"/>
        <v>FRHF B7 - 2600[6*40]</v>
      </c>
      <c r="I200" s="51" t="s">
        <v>1069</v>
      </c>
      <c r="J200" s="51" t="s">
        <v>1044</v>
      </c>
      <c r="K200" s="51" t="s">
        <v>1178</v>
      </c>
      <c r="L200" s="53">
        <f>O200*CFGRECT!$S$10</f>
        <v>434.34999999999997</v>
      </c>
      <c r="M200" s="53">
        <f>P200*CFGRECT!$T$10</f>
        <v>544</v>
      </c>
      <c r="N200" s="53"/>
      <c r="O200" s="226">
        <v>511</v>
      </c>
      <c r="P200" s="226">
        <v>640</v>
      </c>
      <c r="Q200" s="53"/>
      <c r="R200" s="56"/>
      <c r="S200" s="57"/>
      <c r="T200" s="53"/>
    </row>
    <row r="201" spans="6:20">
      <c r="F201" s="51" t="s">
        <v>1181</v>
      </c>
      <c r="G201" s="51" t="s">
        <v>971</v>
      </c>
      <c r="H201" s="51" t="str">
        <f t="shared" si="2"/>
        <v>AHHB B7 - 2600[2*40]</v>
      </c>
      <c r="I201" s="51" t="s">
        <v>975</v>
      </c>
      <c r="J201" s="51" t="s">
        <v>1044</v>
      </c>
      <c r="K201" s="51" t="s">
        <v>1182</v>
      </c>
      <c r="L201" s="53">
        <f>O201*CFGRECT!$S$10</f>
        <v>166.6</v>
      </c>
      <c r="M201" s="53">
        <f>P201*CFGRECT!$T$10</f>
        <v>201.45</v>
      </c>
      <c r="N201" s="53"/>
      <c r="O201" s="226">
        <v>196</v>
      </c>
      <c r="P201" s="226">
        <v>237</v>
      </c>
      <c r="Q201" s="53"/>
      <c r="R201" s="56"/>
      <c r="S201" s="57"/>
      <c r="T201" s="53"/>
    </row>
    <row r="202" spans="6:20">
      <c r="F202" s="51" t="s">
        <v>1181</v>
      </c>
      <c r="G202" s="51" t="s">
        <v>1020</v>
      </c>
      <c r="H202" s="51" t="str">
        <f t="shared" si="2"/>
        <v>AHHB B7 - 2600[4*40]</v>
      </c>
      <c r="I202" s="51" t="s">
        <v>975</v>
      </c>
      <c r="J202" s="51" t="s">
        <v>1044</v>
      </c>
      <c r="K202" s="51" t="s">
        <v>1182</v>
      </c>
      <c r="L202" s="53">
        <f>O202*CFGRECT!$S$10</f>
        <v>469.2</v>
      </c>
      <c r="M202" s="53">
        <f>P202*CFGRECT!$T$10</f>
        <v>527.85</v>
      </c>
      <c r="N202" s="53"/>
      <c r="O202" s="226">
        <v>552</v>
      </c>
      <c r="P202" s="226">
        <v>621</v>
      </c>
      <c r="Q202" s="53"/>
      <c r="R202" s="56">
        <v>414</v>
      </c>
      <c r="S202" s="57">
        <v>327</v>
      </c>
      <c r="T202" s="53">
        <v>611</v>
      </c>
    </row>
    <row r="203" spans="6:20">
      <c r="F203" s="51" t="s">
        <v>1183</v>
      </c>
      <c r="G203" s="51" t="s">
        <v>1184</v>
      </c>
      <c r="H203" s="51" t="str">
        <f t="shared" ref="H203:H266" si="3">F203&amp;IF(G203="",""," - "&amp;G203)</f>
        <v>AANB B40 - 2300[32TRx]120w</v>
      </c>
      <c r="I203" s="51" t="s">
        <v>1023</v>
      </c>
      <c r="J203" s="51" t="s">
        <v>1044</v>
      </c>
      <c r="K203" s="51" t="s">
        <v>1185</v>
      </c>
      <c r="L203" s="53">
        <f>O203*CFGRECT!$S$10</f>
        <v>674.05</v>
      </c>
      <c r="M203" s="53">
        <f>P203*CFGRECT!$T$10</f>
        <v>697.85</v>
      </c>
      <c r="N203" s="53"/>
      <c r="O203" s="226">
        <v>793</v>
      </c>
      <c r="P203" s="226">
        <v>821</v>
      </c>
      <c r="Q203" s="53"/>
      <c r="R203" s="56"/>
      <c r="S203" s="57"/>
      <c r="T203" s="53"/>
    </row>
    <row r="204" spans="6:20">
      <c r="F204" s="51" t="s">
        <v>1183</v>
      </c>
      <c r="G204" s="51" t="s">
        <v>1186</v>
      </c>
      <c r="H204" s="51" t="str">
        <f t="shared" si="3"/>
        <v>AANB B40 - 2300[64TRx]120w</v>
      </c>
      <c r="I204" s="51" t="s">
        <v>1023</v>
      </c>
      <c r="J204" s="51" t="s">
        <v>1044</v>
      </c>
      <c r="K204" s="51"/>
      <c r="L204" s="53">
        <f>O204*CFGRECT!$S$10</f>
        <v>807.5</v>
      </c>
      <c r="M204" s="53">
        <f>P204*CFGRECT!$T$10</f>
        <v>856.8</v>
      </c>
      <c r="N204" s="53"/>
      <c r="O204" s="226">
        <v>950</v>
      </c>
      <c r="P204" s="226">
        <v>1008</v>
      </c>
      <c r="Q204" s="53"/>
      <c r="R204" s="56"/>
      <c r="S204" s="57"/>
      <c r="T204" s="53"/>
    </row>
    <row r="205" spans="6:20">
      <c r="F205" s="51" t="s">
        <v>1187</v>
      </c>
      <c r="G205" s="51" t="s">
        <v>1042</v>
      </c>
      <c r="H205" s="51" t="str">
        <f t="shared" si="3"/>
        <v>AEQB B42 - 3500[64TRx]200w</v>
      </c>
      <c r="I205" s="51" t="s">
        <v>1023</v>
      </c>
      <c r="J205" s="51" t="s">
        <v>1044</v>
      </c>
      <c r="K205" s="51" t="s">
        <v>1188</v>
      </c>
      <c r="L205" s="53">
        <f>O205*CFGRECT!$S$10</f>
        <v>620.5</v>
      </c>
      <c r="M205" s="53">
        <f>P205*CFGRECT!$T$10</f>
        <v>688.5</v>
      </c>
      <c r="N205" s="53"/>
      <c r="O205" s="226">
        <v>730</v>
      </c>
      <c r="P205" s="226">
        <v>810</v>
      </c>
      <c r="Q205" s="53"/>
      <c r="R205" s="56"/>
      <c r="S205" s="57"/>
      <c r="T205" s="53"/>
    </row>
    <row r="206" spans="6:20">
      <c r="F206" s="51" t="s">
        <v>1187</v>
      </c>
      <c r="G206" s="51" t="s">
        <v>1189</v>
      </c>
      <c r="H206" s="51" t="str">
        <f t="shared" si="3"/>
        <v>AEQB B42 - 3500[64TRx][eCPRI]200w</v>
      </c>
      <c r="I206" s="51" t="s">
        <v>1023</v>
      </c>
      <c r="J206" s="51" t="s">
        <v>1044</v>
      </c>
      <c r="K206" s="51" t="s">
        <v>1188</v>
      </c>
      <c r="L206" s="53">
        <f>O206*CFGRECT!$S$10</f>
        <v>667.25</v>
      </c>
      <c r="M206" s="53">
        <f>P206*CFGRECT!$T$10</f>
        <v>735.25</v>
      </c>
      <c r="N206" s="53"/>
      <c r="O206" s="226">
        <v>785</v>
      </c>
      <c r="P206" s="226">
        <v>865</v>
      </c>
      <c r="Q206" s="53"/>
      <c r="R206" s="56"/>
      <c r="S206" s="57"/>
      <c r="T206" s="53"/>
    </row>
    <row r="207" spans="6:20">
      <c r="F207" s="51" t="s">
        <v>1190</v>
      </c>
      <c r="G207" s="51" t="s">
        <v>1191</v>
      </c>
      <c r="H207" s="51" t="str">
        <f t="shared" si="3"/>
        <v>AEQN N78 - 3500[32TRx]80w</v>
      </c>
      <c r="I207" s="51" t="s">
        <v>1023</v>
      </c>
      <c r="J207" s="51" t="s">
        <v>1044</v>
      </c>
      <c r="K207" s="51" t="s">
        <v>1192</v>
      </c>
      <c r="L207" s="53">
        <f>O207*CFGRECT!$S$10</f>
        <v>484.5</v>
      </c>
      <c r="M207" s="53">
        <f>P207*CFGRECT!$T$10</f>
        <v>514.25</v>
      </c>
      <c r="N207" s="53"/>
      <c r="O207" s="226">
        <v>570</v>
      </c>
      <c r="P207" s="226">
        <v>605</v>
      </c>
      <c r="Q207" s="53"/>
      <c r="R207" s="56"/>
      <c r="S207" s="57"/>
      <c r="T207" s="53"/>
    </row>
    <row r="208" spans="6:20">
      <c r="F208" s="51" t="s">
        <v>1193</v>
      </c>
      <c r="G208" s="51" t="s">
        <v>1042</v>
      </c>
      <c r="H208" s="51" t="str">
        <f t="shared" si="3"/>
        <v>AEQP N78 - 3500[64TRx]200w</v>
      </c>
      <c r="I208" s="51" t="s">
        <v>1023</v>
      </c>
      <c r="J208" s="51" t="s">
        <v>1044</v>
      </c>
      <c r="K208" s="51" t="s">
        <v>1194</v>
      </c>
      <c r="L208" s="53">
        <f>O208*CFGRECT!$S$10</f>
        <v>504.05</v>
      </c>
      <c r="M208" s="53">
        <f>P208*CFGRECT!$T$10</f>
        <v>600.1</v>
      </c>
      <c r="N208" s="53"/>
      <c r="O208" s="226">
        <v>593</v>
      </c>
      <c r="P208" s="226">
        <v>706</v>
      </c>
      <c r="Q208" s="53">
        <v>730</v>
      </c>
      <c r="R208" s="56">
        <v>810</v>
      </c>
      <c r="S208" s="57">
        <v>610</v>
      </c>
      <c r="T208" s="53">
        <v>730</v>
      </c>
    </row>
    <row r="209" spans="6:20">
      <c r="F209" s="51" t="s">
        <v>1193</v>
      </c>
      <c r="G209" s="51" t="s">
        <v>1189</v>
      </c>
      <c r="H209" s="51" t="str">
        <f t="shared" si="3"/>
        <v>AEQP N78 - 3500[64TRx][eCPRI]200w</v>
      </c>
      <c r="I209" s="51" t="s">
        <v>1023</v>
      </c>
      <c r="J209" s="51" t="s">
        <v>1044</v>
      </c>
      <c r="K209" s="51" t="s">
        <v>1194</v>
      </c>
      <c r="L209" s="53">
        <f>O209*CFGRECT!$S$10</f>
        <v>667.25</v>
      </c>
      <c r="M209" s="53">
        <f>P209*CFGRECT!$T$10</f>
        <v>735.25</v>
      </c>
      <c r="N209" s="53"/>
      <c r="O209" s="226">
        <v>785</v>
      </c>
      <c r="P209" s="226">
        <v>865</v>
      </c>
      <c r="Q209" s="53"/>
      <c r="R209" s="56"/>
      <c r="S209" s="57"/>
      <c r="T209" s="53"/>
    </row>
    <row r="210" spans="6:20">
      <c r="F210" s="51" t="s">
        <v>1195</v>
      </c>
      <c r="G210" s="51" t="s">
        <v>1196</v>
      </c>
      <c r="H210" s="51" t="str">
        <f t="shared" si="3"/>
        <v>AZQG N78 - 3500[8*40]</v>
      </c>
      <c r="I210" s="51" t="s">
        <v>975</v>
      </c>
      <c r="J210" s="51" t="s">
        <v>1044</v>
      </c>
      <c r="K210" s="51" t="s">
        <v>1197</v>
      </c>
      <c r="L210" s="53">
        <f>O210*CFGRECT!$S$10</f>
        <v>419.05</v>
      </c>
      <c r="M210" s="53">
        <f>P210*CFGRECT!$T$10</f>
        <v>510</v>
      </c>
      <c r="N210" s="53"/>
      <c r="O210" s="226">
        <v>493</v>
      </c>
      <c r="P210" s="226">
        <v>600</v>
      </c>
      <c r="Q210" s="53"/>
      <c r="R210" s="56"/>
      <c r="S210" s="57"/>
      <c r="T210" s="53"/>
    </row>
    <row r="211" spans="6:20">
      <c r="F211" s="51" t="s">
        <v>1198</v>
      </c>
      <c r="G211" s="51" t="s">
        <v>1199</v>
      </c>
      <c r="H211" s="51" t="str">
        <f t="shared" si="3"/>
        <v>AEUC N257 - 28G[2*256 AE]</v>
      </c>
      <c r="I211" s="51" t="s">
        <v>1023</v>
      </c>
      <c r="J211" s="51" t="s">
        <v>1044</v>
      </c>
      <c r="K211" s="51" t="s">
        <v>1200</v>
      </c>
      <c r="L211" s="53">
        <f>O211*CFGRECT!$S$10</f>
        <v>459</v>
      </c>
      <c r="M211" s="53">
        <f>P211*CFGRECT!$T$10</f>
        <v>459</v>
      </c>
      <c r="N211" s="53"/>
      <c r="O211" s="226">
        <v>540</v>
      </c>
      <c r="P211" s="226">
        <v>540</v>
      </c>
      <c r="Q211" s="53"/>
      <c r="R211" s="56"/>
      <c r="S211" s="57"/>
      <c r="T211" s="53"/>
    </row>
    <row r="212" spans="6:20">
      <c r="F212" s="51" t="s">
        <v>1201</v>
      </c>
      <c r="G212" s="51" t="s">
        <v>1199</v>
      </c>
      <c r="H212" s="51" t="str">
        <f t="shared" si="3"/>
        <v>AEUF N257 - 28G[2*256 AE]</v>
      </c>
      <c r="I212" s="51" t="s">
        <v>1023</v>
      </c>
      <c r="J212" s="51" t="s">
        <v>1044</v>
      </c>
      <c r="K212" s="51" t="s">
        <v>1202</v>
      </c>
      <c r="L212" s="53">
        <f>O212*CFGRECT!$S$10</f>
        <v>323</v>
      </c>
      <c r="M212" s="53">
        <f>P212*CFGRECT!$T$10</f>
        <v>323</v>
      </c>
      <c r="N212" s="53"/>
      <c r="O212" s="226">
        <v>380</v>
      </c>
      <c r="P212" s="226">
        <v>380</v>
      </c>
      <c r="Q212" s="53"/>
      <c r="R212" s="56"/>
      <c r="S212" s="57"/>
      <c r="T212" s="53"/>
    </row>
    <row r="213" spans="6:20">
      <c r="F213" s="51" t="s">
        <v>1203</v>
      </c>
      <c r="G213" s="51" t="s">
        <v>1204</v>
      </c>
      <c r="H213" s="51" t="str">
        <f t="shared" si="3"/>
        <v>FW2PC B28 - 700[2*20]</v>
      </c>
      <c r="I213" s="51" t="s">
        <v>975</v>
      </c>
      <c r="J213" s="51" t="s">
        <v>923</v>
      </c>
      <c r="K213" s="51" t="s">
        <v>1205</v>
      </c>
      <c r="L213" s="53">
        <f>O213*CFGRECT!$S$10</f>
        <v>204</v>
      </c>
      <c r="M213" s="53">
        <f>P213*CFGRECT!$T$10</f>
        <v>306</v>
      </c>
      <c r="N213" s="53"/>
      <c r="O213" s="226">
        <v>240</v>
      </c>
      <c r="P213" s="226">
        <v>360</v>
      </c>
      <c r="Q213" s="51"/>
      <c r="R213" s="54"/>
      <c r="S213" s="55"/>
      <c r="T213" s="51"/>
    </row>
    <row r="214" spans="6:20">
      <c r="F214" s="51" t="s">
        <v>1206</v>
      </c>
      <c r="G214" s="51" t="s">
        <v>1207</v>
      </c>
      <c r="H214" s="51" t="str">
        <f t="shared" si="3"/>
        <v>FW2EA B3 - 1800[2*20]</v>
      </c>
      <c r="I214" s="51" t="s">
        <v>975</v>
      </c>
      <c r="J214" s="51" t="s">
        <v>923</v>
      </c>
      <c r="K214" s="51" t="s">
        <v>1208</v>
      </c>
      <c r="L214" s="53">
        <f>O214*CFGRECT!$S$10</f>
        <v>204</v>
      </c>
      <c r="M214" s="53">
        <f>P214*CFGRECT!$T$10</f>
        <v>306</v>
      </c>
      <c r="N214" s="53"/>
      <c r="O214" s="226">
        <v>240</v>
      </c>
      <c r="P214" s="226">
        <v>360</v>
      </c>
      <c r="Q214" s="51"/>
      <c r="R214" s="54"/>
      <c r="S214" s="55"/>
      <c r="T214" s="51"/>
    </row>
    <row r="215" spans="6:20">
      <c r="F215" s="51" t="s">
        <v>1209</v>
      </c>
      <c r="G215" s="51" t="s">
        <v>1210</v>
      </c>
      <c r="H215" s="51" t="str">
        <f t="shared" si="3"/>
        <v>FW2HA B7 - 2600[2*20]</v>
      </c>
      <c r="I215" s="51" t="s">
        <v>975</v>
      </c>
      <c r="J215" s="51" t="s">
        <v>923</v>
      </c>
      <c r="K215" s="51" t="s">
        <v>1211</v>
      </c>
      <c r="L215" s="53">
        <f>O215*CFGRECT!$S$10</f>
        <v>204</v>
      </c>
      <c r="M215" s="53">
        <f>P215*CFGRECT!$T$10</f>
        <v>306</v>
      </c>
      <c r="N215" s="53"/>
      <c r="O215" s="226">
        <v>240</v>
      </c>
      <c r="P215" s="226">
        <v>360</v>
      </c>
      <c r="Q215" s="51"/>
      <c r="R215" s="54"/>
      <c r="S215" s="55"/>
      <c r="T215" s="51"/>
    </row>
    <row r="216" spans="6:20">
      <c r="F216" s="51" t="s">
        <v>1212</v>
      </c>
      <c r="G216" s="51" t="s">
        <v>1213</v>
      </c>
      <c r="H216" s="51" t="str">
        <f t="shared" si="3"/>
        <v>FW2EHWB B3/B7 - 18+26+WiFi[2*5]</v>
      </c>
      <c r="I216" s="51" t="s">
        <v>975</v>
      </c>
      <c r="J216" s="51" t="s">
        <v>923</v>
      </c>
      <c r="K216" s="51" t="s">
        <v>1214</v>
      </c>
      <c r="L216" s="53">
        <f>O216*CFGRECT!$S$10</f>
        <v>216.75</v>
      </c>
      <c r="M216" s="53">
        <f>P216*CFGRECT!$T$10</f>
        <v>306</v>
      </c>
      <c r="N216" s="53"/>
      <c r="O216" s="226">
        <v>255</v>
      </c>
      <c r="P216" s="226">
        <v>360</v>
      </c>
      <c r="Q216" s="51"/>
      <c r="R216" s="54"/>
      <c r="S216" s="55"/>
      <c r="T216" s="51"/>
    </row>
    <row r="217" spans="6:20">
      <c r="F217" s="51" t="s">
        <v>1215</v>
      </c>
      <c r="G217" s="51" t="s">
        <v>1216</v>
      </c>
      <c r="H217" s="51" t="str">
        <f t="shared" si="3"/>
        <v>FW2EHB B3/B7 - 18+26[2*5]</v>
      </c>
      <c r="I217" s="51" t="s">
        <v>975</v>
      </c>
      <c r="J217" s="51" t="s">
        <v>923</v>
      </c>
      <c r="K217" s="51" t="s">
        <v>1217</v>
      </c>
      <c r="L217" s="53">
        <f>O217*CFGRECT!$S$10</f>
        <v>204</v>
      </c>
      <c r="M217" s="53">
        <f>P217*CFGRECT!$T$10</f>
        <v>306</v>
      </c>
      <c r="N217" s="53"/>
      <c r="O217" s="226">
        <v>240</v>
      </c>
      <c r="P217" s="226">
        <v>360</v>
      </c>
      <c r="Q217" s="51"/>
      <c r="R217" s="54"/>
      <c r="S217" s="55"/>
      <c r="T217" s="51"/>
    </row>
    <row r="218" spans="6:20">
      <c r="F218" s="51" t="s">
        <v>1218</v>
      </c>
      <c r="G218" s="51" t="s">
        <v>974</v>
      </c>
      <c r="H218" s="51" t="str">
        <f t="shared" si="3"/>
        <v>RRU2219 B28 - 700[2*80]</v>
      </c>
      <c r="I218" s="51" t="s">
        <v>975</v>
      </c>
      <c r="J218" s="51" t="s">
        <v>1031</v>
      </c>
      <c r="K218" s="51" t="s">
        <v>1219</v>
      </c>
      <c r="L218" s="53">
        <f>O218*CFGRECT!$S$10</f>
        <v>204</v>
      </c>
      <c r="M218" s="53">
        <f>P218*CFGRECT!$T$10</f>
        <v>447.09999999999997</v>
      </c>
      <c r="N218" s="53"/>
      <c r="O218" s="226">
        <v>240</v>
      </c>
      <c r="P218" s="226">
        <v>526</v>
      </c>
      <c r="Q218" s="53"/>
      <c r="R218" s="56"/>
      <c r="S218" s="57"/>
      <c r="T218" s="53"/>
    </row>
    <row r="219" spans="6:20">
      <c r="F219" s="51" t="s">
        <v>1218</v>
      </c>
      <c r="G219" s="51" t="s">
        <v>1220</v>
      </c>
      <c r="H219" s="51" t="str">
        <f t="shared" si="3"/>
        <v>RRU2219 B28 - 700[2*50]</v>
      </c>
      <c r="I219" s="51" t="s">
        <v>975</v>
      </c>
      <c r="J219" s="51" t="s">
        <v>1031</v>
      </c>
      <c r="K219" s="51" t="s">
        <v>1221</v>
      </c>
      <c r="L219" s="53">
        <f>O219*CFGRECT!$S$10</f>
        <v>168.29999999999998</v>
      </c>
      <c r="M219" s="53">
        <f>P219*CFGRECT!$T$10</f>
        <v>324.7</v>
      </c>
      <c r="N219" s="53"/>
      <c r="O219" s="226">
        <v>198</v>
      </c>
      <c r="P219" s="226">
        <v>382</v>
      </c>
      <c r="Q219" s="53"/>
      <c r="R219" s="56"/>
      <c r="S219" s="57"/>
      <c r="T219" s="53"/>
    </row>
    <row r="220" spans="6:20">
      <c r="F220" s="51" t="s">
        <v>1222</v>
      </c>
      <c r="G220" s="51" t="s">
        <v>960</v>
      </c>
      <c r="H220" s="51" t="str">
        <f t="shared" si="3"/>
        <v>RRU2219 B8 - 900[2*40]</v>
      </c>
      <c r="I220" s="51" t="s">
        <v>975</v>
      </c>
      <c r="J220" s="51" t="s">
        <v>1031</v>
      </c>
      <c r="K220" s="51" t="s">
        <v>1223</v>
      </c>
      <c r="L220" s="53">
        <f>O220*CFGRECT!$S$10</f>
        <v>134.29999999999998</v>
      </c>
      <c r="M220" s="53">
        <f>P220*CFGRECT!$T$10</f>
        <v>245.65</v>
      </c>
      <c r="N220" s="53"/>
      <c r="O220" s="226">
        <v>158</v>
      </c>
      <c r="P220" s="226">
        <v>289</v>
      </c>
      <c r="Q220" s="53"/>
      <c r="R220" s="56"/>
      <c r="S220" s="57"/>
      <c r="T220" s="53"/>
    </row>
    <row r="221" spans="6:20">
      <c r="F221" s="51" t="s">
        <v>1224</v>
      </c>
      <c r="G221" s="51" t="s">
        <v>1042</v>
      </c>
      <c r="H221" s="51" t="str">
        <f t="shared" si="3"/>
        <v>AEQK B78 - 3500[64TRx]200w</v>
      </c>
      <c r="I221" s="51" t="s">
        <v>1023</v>
      </c>
      <c r="J221" s="51" t="s">
        <v>1044</v>
      </c>
      <c r="K221" s="51" t="s">
        <v>1225</v>
      </c>
      <c r="L221" s="53">
        <f>O221*CFGRECT!$S$10</f>
        <v>735.25</v>
      </c>
      <c r="M221" s="53">
        <f>P221*CFGRECT!$T$10</f>
        <v>1031.05</v>
      </c>
      <c r="N221" s="53"/>
      <c r="O221" s="226">
        <v>865</v>
      </c>
      <c r="P221" s="226">
        <v>1213</v>
      </c>
      <c r="Q221" s="53"/>
      <c r="R221" s="56"/>
      <c r="S221" s="57"/>
      <c r="T221" s="53"/>
    </row>
    <row r="222" spans="6:20">
      <c r="F222" s="51" t="s">
        <v>1226</v>
      </c>
      <c r="G222" s="51" t="s">
        <v>1227</v>
      </c>
      <c r="H222" s="51" t="str">
        <f t="shared" si="3"/>
        <v>AIR3239 B78F - 3500[32TRx]100w</v>
      </c>
      <c r="I222" s="51" t="s">
        <v>1023</v>
      </c>
      <c r="J222" s="51" t="s">
        <v>1031</v>
      </c>
      <c r="K222" s="51" t="s">
        <v>1228</v>
      </c>
      <c r="L222" s="53">
        <f>O222*CFGRECT!$S$10</f>
        <v>255</v>
      </c>
      <c r="M222" s="53">
        <f>P222*CFGRECT!$T$10</f>
        <v>416.5</v>
      </c>
      <c r="N222" s="53"/>
      <c r="O222" s="226">
        <v>300</v>
      </c>
      <c r="P222" s="226">
        <v>490</v>
      </c>
      <c r="Q222" s="53"/>
      <c r="R222" s="56">
        <v>228</v>
      </c>
      <c r="S222" s="57"/>
      <c r="T222" s="53"/>
    </row>
    <row r="223" spans="6:20">
      <c r="F223" s="51" t="s">
        <v>1229</v>
      </c>
      <c r="G223" s="51" t="s">
        <v>1230</v>
      </c>
      <c r="H223" s="51" t="str">
        <f t="shared" si="3"/>
        <v>AIR3239 B40 - 2300[32TRx]100w</v>
      </c>
      <c r="I223" s="51" t="s">
        <v>1023</v>
      </c>
      <c r="J223" s="51" t="s">
        <v>1031</v>
      </c>
      <c r="K223" s="51" t="s">
        <v>1231</v>
      </c>
      <c r="L223" s="53">
        <f>O223*CFGRECT!$S$10</f>
        <v>255</v>
      </c>
      <c r="M223" s="53">
        <f>P223*CFGRECT!$T$10</f>
        <v>416.5</v>
      </c>
      <c r="N223" s="53"/>
      <c r="O223" s="226">
        <v>300</v>
      </c>
      <c r="P223" s="226">
        <v>490</v>
      </c>
      <c r="Q223" s="53">
        <v>180</v>
      </c>
      <c r="R223" s="56">
        <v>228</v>
      </c>
      <c r="S223" s="57">
        <v>490</v>
      </c>
      <c r="T223" s="53">
        <v>590</v>
      </c>
    </row>
    <row r="224" spans="6:20">
      <c r="F224" s="51" t="s">
        <v>1232</v>
      </c>
      <c r="G224" s="51" t="s">
        <v>1233</v>
      </c>
      <c r="H224" s="51" t="str">
        <f t="shared" si="3"/>
        <v>AENQA B78 - 23+35[32TRx]200w</v>
      </c>
      <c r="I224" s="51" t="s">
        <v>1023</v>
      </c>
      <c r="J224" s="51" t="s">
        <v>1044</v>
      </c>
      <c r="K224" s="51"/>
      <c r="L224" s="53">
        <f>O224*CFGRECT!$S$10</f>
        <v>601.79999999999995</v>
      </c>
      <c r="M224" s="53">
        <f>P224*CFGRECT!$T$10</f>
        <v>663.85</v>
      </c>
      <c r="N224" s="53"/>
      <c r="O224" s="226">
        <v>708</v>
      </c>
      <c r="P224" s="226">
        <v>781</v>
      </c>
      <c r="Q224" s="53"/>
      <c r="R224" s="56"/>
      <c r="S224" s="57"/>
      <c r="T224" s="53"/>
    </row>
    <row r="225" spans="6:20">
      <c r="F225" s="51" t="s">
        <v>1234</v>
      </c>
      <c r="G225" s="51" t="s">
        <v>1235</v>
      </c>
      <c r="H225" s="51" t="str">
        <f t="shared" si="3"/>
        <v>AIR6312 B78F - 23+35[32Trx]100w</v>
      </c>
      <c r="I225" s="51" t="s">
        <v>1023</v>
      </c>
      <c r="J225" s="51" t="s">
        <v>1031</v>
      </c>
      <c r="K225" s="51" t="s">
        <v>1236</v>
      </c>
      <c r="L225" s="53">
        <f>O225*CFGRECT!$S$10</f>
        <v>824.5</v>
      </c>
      <c r="M225" s="53">
        <f>P225*CFGRECT!$T$10</f>
        <v>994.5</v>
      </c>
      <c r="N225" s="53"/>
      <c r="O225" s="226">
        <v>970</v>
      </c>
      <c r="P225" s="226">
        <v>1170</v>
      </c>
      <c r="Q225" s="53"/>
      <c r="R225" s="56"/>
      <c r="S225" s="57"/>
      <c r="T225" s="53"/>
    </row>
    <row r="226" spans="6:20">
      <c r="F226" s="51" t="s">
        <v>1237</v>
      </c>
      <c r="G226" s="51" t="s">
        <v>964</v>
      </c>
      <c r="H226" s="51" t="str">
        <f t="shared" si="3"/>
        <v>RRU5909 B8 - 900[2*60]</v>
      </c>
      <c r="I226" s="51" t="s">
        <v>975</v>
      </c>
      <c r="J226" s="51" t="s">
        <v>923</v>
      </c>
      <c r="K226" s="51" t="s">
        <v>1238</v>
      </c>
      <c r="L226" s="53">
        <f>O226*CFGRECT!$S$10</f>
        <v>229.5</v>
      </c>
      <c r="M226" s="53">
        <f>P226*CFGRECT!$T$10</f>
        <v>267.75</v>
      </c>
      <c r="N226" s="53"/>
      <c r="O226" s="226">
        <v>270</v>
      </c>
      <c r="P226" s="226">
        <v>315</v>
      </c>
      <c r="Q226" s="53"/>
      <c r="R226" s="56"/>
      <c r="S226" s="57"/>
      <c r="T226" s="53"/>
    </row>
    <row r="227" spans="6:20">
      <c r="F227" s="51" t="s">
        <v>1239</v>
      </c>
      <c r="G227" s="51" t="s">
        <v>966</v>
      </c>
      <c r="H227" s="51" t="str">
        <f t="shared" si="3"/>
        <v>RRU5909 B3 - 1800[2*60]</v>
      </c>
      <c r="I227" s="51" t="s">
        <v>975</v>
      </c>
      <c r="J227" s="51" t="s">
        <v>923</v>
      </c>
      <c r="K227" s="51" t="s">
        <v>1240</v>
      </c>
      <c r="L227" s="53">
        <f>O227*CFGRECT!$S$10</f>
        <v>280.5</v>
      </c>
      <c r="M227" s="53">
        <f>P227*CFGRECT!$T$10</f>
        <v>351.9</v>
      </c>
      <c r="N227" s="53"/>
      <c r="O227" s="226">
        <v>330</v>
      </c>
      <c r="P227" s="226">
        <v>414</v>
      </c>
      <c r="Q227" s="53"/>
      <c r="R227" s="56"/>
      <c r="S227" s="57"/>
      <c r="T227" s="53"/>
    </row>
    <row r="228" spans="6:20">
      <c r="F228" s="51" t="s">
        <v>1241</v>
      </c>
      <c r="G228" s="51" t="s">
        <v>1242</v>
      </c>
      <c r="H228" s="51" t="str">
        <f t="shared" si="3"/>
        <v>RRU4480 B28/B8 - 07+09[4*60]</v>
      </c>
      <c r="I228" s="51" t="s">
        <v>975</v>
      </c>
      <c r="J228" s="51" t="s">
        <v>1031</v>
      </c>
      <c r="K228" s="51" t="s">
        <v>1243</v>
      </c>
      <c r="L228" s="53">
        <f>O228*CFGRECT!$S$10</f>
        <v>527</v>
      </c>
      <c r="M228" s="53">
        <f>P228*CFGRECT!$T$10</f>
        <v>892.5</v>
      </c>
      <c r="N228" s="53"/>
      <c r="O228" s="226">
        <v>620</v>
      </c>
      <c r="P228" s="226">
        <v>1050</v>
      </c>
      <c r="Q228" s="53"/>
      <c r="R228" s="56"/>
      <c r="S228" s="57"/>
      <c r="T228" s="53"/>
    </row>
    <row r="229" spans="6:20">
      <c r="F229" s="51" t="s">
        <v>1105</v>
      </c>
      <c r="G229" s="51" t="s">
        <v>1098</v>
      </c>
      <c r="H229" s="51" t="str">
        <f t="shared" si="3"/>
        <v>AHDB B8 - 900[1*80]</v>
      </c>
      <c r="I229" s="51" t="s">
        <v>975</v>
      </c>
      <c r="J229" s="51" t="s">
        <v>1044</v>
      </c>
      <c r="K229" s="51" t="s">
        <v>1106</v>
      </c>
      <c r="L229" s="53">
        <f>O229*CFGRECT!$S$10</f>
        <v>135.15</v>
      </c>
      <c r="M229" s="53">
        <f>P229*CFGRECT!$T$10</f>
        <v>158.94999999999999</v>
      </c>
      <c r="N229" s="53"/>
      <c r="O229" s="226">
        <v>159</v>
      </c>
      <c r="P229" s="226">
        <v>187</v>
      </c>
      <c r="Q229" s="53"/>
      <c r="R229" s="56"/>
      <c r="S229" s="57"/>
      <c r="T229" s="53"/>
    </row>
    <row r="230" spans="6:20">
      <c r="F230" s="51" t="s">
        <v>1105</v>
      </c>
      <c r="G230" s="51" t="s">
        <v>1100</v>
      </c>
      <c r="H230" s="51" t="str">
        <f t="shared" si="3"/>
        <v>AHDB B8 - 900[2*80]</v>
      </c>
      <c r="I230" s="51" t="s">
        <v>975</v>
      </c>
      <c r="J230" s="51" t="s">
        <v>1044</v>
      </c>
      <c r="K230" s="51" t="s">
        <v>1106</v>
      </c>
      <c r="L230" s="53">
        <f>O230*CFGRECT!$S$10</f>
        <v>232.04999999999998</v>
      </c>
      <c r="M230" s="53">
        <f>P230*CFGRECT!$T$10</f>
        <v>280.5</v>
      </c>
      <c r="N230" s="53"/>
      <c r="O230" s="226">
        <v>273</v>
      </c>
      <c r="P230" s="226">
        <v>330</v>
      </c>
      <c r="Q230" s="53"/>
      <c r="R230" s="56"/>
      <c r="S230" s="57"/>
      <c r="T230" s="53"/>
    </row>
    <row r="231" spans="6:20">
      <c r="F231" s="51" t="s">
        <v>1241</v>
      </c>
      <c r="G231" s="51" t="s">
        <v>1244</v>
      </c>
      <c r="H231" s="51" t="str">
        <f t="shared" si="3"/>
        <v>RRU4480 B28/B8 - 07+09[4*40]</v>
      </c>
      <c r="I231" s="51" t="s">
        <v>975</v>
      </c>
      <c r="J231" s="51" t="s">
        <v>1031</v>
      </c>
      <c r="K231" s="51" t="s">
        <v>1245</v>
      </c>
      <c r="L231" s="53">
        <f>O231*CFGRECT!$S$10</f>
        <v>483.65</v>
      </c>
      <c r="M231" s="53">
        <f>P231*CFGRECT!$T$10</f>
        <v>774.35</v>
      </c>
      <c r="N231" s="53"/>
      <c r="O231" s="226">
        <v>569</v>
      </c>
      <c r="P231" s="226">
        <v>911</v>
      </c>
      <c r="Q231" s="53"/>
      <c r="R231" s="56"/>
      <c r="S231" s="57"/>
      <c r="T231" s="53"/>
    </row>
    <row r="232" spans="6:20">
      <c r="F232" s="51" t="s">
        <v>1246</v>
      </c>
      <c r="G232" s="51" t="s">
        <v>977</v>
      </c>
      <c r="H232" s="51" t="str">
        <f t="shared" si="3"/>
        <v>RRU5309 - 700[4*40]</v>
      </c>
      <c r="I232" s="51" t="s">
        <v>975</v>
      </c>
      <c r="J232" s="51" t="s">
        <v>923</v>
      </c>
      <c r="K232" s="51" t="s">
        <v>1247</v>
      </c>
      <c r="L232" s="53">
        <f>O232*CFGRECT!$S$10</f>
        <v>323.84999999999997</v>
      </c>
      <c r="M232" s="53">
        <f>P232*CFGRECT!$T$10</f>
        <v>384.2</v>
      </c>
      <c r="N232" s="53"/>
      <c r="O232" s="226">
        <v>381</v>
      </c>
      <c r="P232" s="226">
        <v>452</v>
      </c>
      <c r="Q232" s="53"/>
      <c r="R232" s="56"/>
      <c r="S232" s="57"/>
      <c r="T232" s="53"/>
    </row>
    <row r="233" spans="6:20">
      <c r="F233" s="51" t="s">
        <v>1248</v>
      </c>
      <c r="G233" s="51" t="s">
        <v>1020</v>
      </c>
      <c r="H233" s="51" t="str">
        <f t="shared" si="3"/>
        <v>RRU5304 - 2600[4*40]</v>
      </c>
      <c r="I233" s="51" t="s">
        <v>975</v>
      </c>
      <c r="J233" s="51" t="s">
        <v>923</v>
      </c>
      <c r="K233" s="51" t="s">
        <v>1249</v>
      </c>
      <c r="L233" s="53">
        <f>O233*CFGRECT!$S$10</f>
        <v>280.5</v>
      </c>
      <c r="M233" s="53">
        <f>P233*CFGRECT!$T$10</f>
        <v>351.9</v>
      </c>
      <c r="N233" s="53"/>
      <c r="O233" s="226">
        <v>330</v>
      </c>
      <c r="P233" s="226">
        <v>414</v>
      </c>
      <c r="Q233" s="53"/>
      <c r="R233" s="56"/>
      <c r="S233" s="57"/>
      <c r="T233" s="53"/>
    </row>
    <row r="234" spans="6:20">
      <c r="F234" s="51" t="s">
        <v>1250</v>
      </c>
      <c r="G234" s="51" t="s">
        <v>1251</v>
      </c>
      <c r="H234" s="51" t="str">
        <f t="shared" si="3"/>
        <v>AIR1281 B257 (DC) - 28G[4*24 AE]</v>
      </c>
      <c r="I234" s="51" t="s">
        <v>1023</v>
      </c>
      <c r="J234" s="51" t="s">
        <v>1031</v>
      </c>
      <c r="K234" s="51"/>
      <c r="L234" s="53">
        <f>O234*CFGRECT!$S$10</f>
        <v>96.899999999999991</v>
      </c>
      <c r="M234" s="53">
        <f>P234*CFGRECT!$T$10</f>
        <v>136.85</v>
      </c>
      <c r="N234" s="53"/>
      <c r="O234" s="226">
        <v>114</v>
      </c>
      <c r="P234" s="226">
        <v>161</v>
      </c>
      <c r="Q234" s="53"/>
      <c r="R234" s="56"/>
      <c r="S234" s="57"/>
      <c r="T234" s="53"/>
    </row>
    <row r="235" spans="6:20">
      <c r="F235" s="51" t="s">
        <v>1111</v>
      </c>
      <c r="G235" s="51" t="s">
        <v>1252</v>
      </c>
      <c r="H235" s="51" t="str">
        <f t="shared" si="3"/>
        <v>AHPDA B28/B8 - 07+09[2*15]</v>
      </c>
      <c r="I235" s="51" t="s">
        <v>975</v>
      </c>
      <c r="J235" s="51" t="s">
        <v>1044</v>
      </c>
      <c r="K235" s="51"/>
      <c r="L235" s="53">
        <f>O235*CFGRECT!$S$10</f>
        <v>320.45</v>
      </c>
      <c r="M235" s="53">
        <f>P235*CFGRECT!$T$10</f>
        <v>306</v>
      </c>
      <c r="N235" s="53"/>
      <c r="O235" s="226">
        <v>377</v>
      </c>
      <c r="P235" s="226">
        <v>360</v>
      </c>
      <c r="Q235" s="53"/>
      <c r="R235" s="56"/>
      <c r="S235" s="57"/>
      <c r="T235" s="53"/>
    </row>
    <row r="236" spans="6:20">
      <c r="F236" s="51" t="s">
        <v>1079</v>
      </c>
      <c r="G236" s="51" t="s">
        <v>1253</v>
      </c>
      <c r="H236" s="51" t="str">
        <f t="shared" si="3"/>
        <v>AHPB B28 - 700[4x20]</v>
      </c>
      <c r="I236" s="51" t="s">
        <v>975</v>
      </c>
      <c r="J236" s="51" t="s">
        <v>1044</v>
      </c>
      <c r="K236" s="51"/>
      <c r="L236" s="53">
        <f>O236*CFGRECT!$S$10</f>
        <v>263.5</v>
      </c>
      <c r="M236" s="53">
        <f>P236*CFGRECT!$T$10</f>
        <v>368.05</v>
      </c>
      <c r="N236" s="53"/>
      <c r="O236" s="226">
        <v>310</v>
      </c>
      <c r="P236" s="226">
        <v>433</v>
      </c>
      <c r="Q236" s="53"/>
      <c r="R236" s="56"/>
      <c r="S236" s="57"/>
      <c r="T236" s="53"/>
    </row>
    <row r="237" spans="6:20">
      <c r="F237" s="51" t="s">
        <v>1241</v>
      </c>
      <c r="G237" s="51" t="s">
        <v>1254</v>
      </c>
      <c r="H237" s="51" t="str">
        <f t="shared" si="3"/>
        <v>RRU4480 B28/B8 - 07+09[4*20/20]</v>
      </c>
      <c r="I237" s="51" t="s">
        <v>975</v>
      </c>
      <c r="J237" s="51" t="s">
        <v>1031</v>
      </c>
      <c r="K237" s="51"/>
      <c r="L237" s="53">
        <f>O237*CFGRECT!$S$10</f>
        <v>319.59999999999997</v>
      </c>
      <c r="M237" s="53">
        <f>P237*CFGRECT!$T$10</f>
        <v>601.79999999999995</v>
      </c>
      <c r="N237" s="53"/>
      <c r="O237" s="226">
        <v>376</v>
      </c>
      <c r="P237" s="226">
        <v>708</v>
      </c>
      <c r="Q237" s="53"/>
      <c r="R237" s="56"/>
      <c r="S237" s="57"/>
      <c r="T237" s="53"/>
    </row>
    <row r="238" spans="6:20">
      <c r="F238" s="51" t="s">
        <v>1241</v>
      </c>
      <c r="G238" s="51" t="s">
        <v>1255</v>
      </c>
      <c r="H238" s="51" t="str">
        <f t="shared" si="3"/>
        <v>RRU4480 B28/B8 - 700[4*20/20]</v>
      </c>
      <c r="I238" s="51" t="s">
        <v>975</v>
      </c>
      <c r="J238" s="51" t="s">
        <v>1031</v>
      </c>
      <c r="K238" s="51"/>
      <c r="L238" s="53">
        <f>O238*CFGRECT!$S$10</f>
        <v>260.95</v>
      </c>
      <c r="M238" s="53">
        <f>P238*CFGRECT!$T$10</f>
        <v>494.7</v>
      </c>
      <c r="N238" s="53"/>
      <c r="O238" s="226">
        <v>307</v>
      </c>
      <c r="P238" s="226">
        <v>582</v>
      </c>
      <c r="Q238" s="53"/>
      <c r="R238" s="56"/>
      <c r="S238" s="57"/>
      <c r="T238" s="53"/>
    </row>
    <row r="239" spans="6:20">
      <c r="F239" s="51" t="s">
        <v>1036</v>
      </c>
      <c r="G239" s="51" t="s">
        <v>1139</v>
      </c>
      <c r="H239" s="51" t="str">
        <f t="shared" si="3"/>
        <v>RRU4480 B3/B1 - 18+21[4*20/20]</v>
      </c>
      <c r="I239" s="51" t="s">
        <v>975</v>
      </c>
      <c r="J239" s="51" t="s">
        <v>1031</v>
      </c>
      <c r="K239" s="51"/>
      <c r="L239" s="53">
        <f>O239*CFGRECT!$S$10</f>
        <v>246.5</v>
      </c>
      <c r="M239" s="53">
        <f>P239*CFGRECT!$T$10</f>
        <v>554.19999999999993</v>
      </c>
      <c r="N239" s="53"/>
      <c r="O239" s="226">
        <v>290</v>
      </c>
      <c r="P239" s="226">
        <v>652</v>
      </c>
      <c r="Q239" s="53"/>
      <c r="R239" s="56"/>
      <c r="S239" s="57"/>
      <c r="T239" s="53"/>
    </row>
    <row r="240" spans="6:20">
      <c r="F240" s="51" t="s">
        <v>1256</v>
      </c>
      <c r="G240" s="51"/>
      <c r="H240" s="51" t="str">
        <f t="shared" si="3"/>
        <v>AAU5726</v>
      </c>
      <c r="I240" s="51" t="s">
        <v>1023</v>
      </c>
      <c r="J240" s="51" t="s">
        <v>923</v>
      </c>
      <c r="K240" s="51"/>
      <c r="L240" s="53">
        <f>O240*CFGRECT!$S$10</f>
        <v>892.5</v>
      </c>
      <c r="M240" s="53">
        <f>P240*CFGRECT!$T$10</f>
        <v>1360</v>
      </c>
      <c r="N240" s="53"/>
      <c r="O240" s="226">
        <v>1050</v>
      </c>
      <c r="P240" s="226">
        <v>1600</v>
      </c>
      <c r="Q240" s="53"/>
      <c r="R240" s="56"/>
      <c r="S240" s="57"/>
      <c r="T240" s="53"/>
    </row>
    <row r="241" spans="6:20">
      <c r="F241" s="51" t="s">
        <v>1257</v>
      </c>
      <c r="G241" s="51" t="s">
        <v>977</v>
      </c>
      <c r="H241" s="51" t="str">
        <f t="shared" si="3"/>
        <v>RRU5304W B28 - 700[4*40]</v>
      </c>
      <c r="I241" s="51" t="s">
        <v>975</v>
      </c>
      <c r="J241" s="51" t="s">
        <v>923</v>
      </c>
      <c r="K241" s="51"/>
      <c r="L241" s="53">
        <f>O241*CFGRECT!$S$10</f>
        <v>433.5</v>
      </c>
      <c r="M241" s="53">
        <f>P241*CFGRECT!$T$10</f>
        <v>682.55</v>
      </c>
      <c r="N241" s="53"/>
      <c r="O241" s="226">
        <v>510</v>
      </c>
      <c r="P241" s="226">
        <v>803</v>
      </c>
      <c r="Q241" s="53"/>
      <c r="R241" s="56"/>
      <c r="S241" s="57"/>
      <c r="T241" s="53"/>
    </row>
    <row r="242" spans="6:20">
      <c r="F242" s="51" t="s">
        <v>1040</v>
      </c>
      <c r="G242" s="51" t="s">
        <v>1258</v>
      </c>
      <c r="H242" s="51" t="str">
        <f t="shared" si="3"/>
        <v>RRU4415 B7 - 2600[4*20]</v>
      </c>
      <c r="I242" s="51" t="s">
        <v>975</v>
      </c>
      <c r="J242" s="51" t="s">
        <v>1031</v>
      </c>
      <c r="K242" s="51"/>
      <c r="L242" s="53">
        <f>O242*CFGRECT!$S$10</f>
        <v>166.6</v>
      </c>
      <c r="M242" s="53">
        <f>P242*CFGRECT!$T$10</f>
        <v>335.75</v>
      </c>
      <c r="N242" s="53"/>
      <c r="O242" s="226">
        <v>196</v>
      </c>
      <c r="P242" s="226">
        <v>395</v>
      </c>
      <c r="Q242" s="53"/>
      <c r="R242" s="56"/>
      <c r="S242" s="57"/>
      <c r="T242" s="53"/>
    </row>
    <row r="243" spans="6:20">
      <c r="F243" s="51" t="s">
        <v>1259</v>
      </c>
      <c r="G243" s="51" t="s">
        <v>1260</v>
      </c>
      <c r="H243" s="51" t="str">
        <f t="shared" si="3"/>
        <v>RRU8863 B42 - 3500[8*20]</v>
      </c>
      <c r="I243" s="51" t="s">
        <v>975</v>
      </c>
      <c r="J243" s="51" t="s">
        <v>1031</v>
      </c>
      <c r="K243" s="51"/>
      <c r="L243" s="53">
        <f>O243*CFGRECT!$S$10</f>
        <v>191.25</v>
      </c>
      <c r="M243" s="53">
        <f>P243*CFGRECT!$T$10</f>
        <v>489.59999999999997</v>
      </c>
      <c r="N243" s="53"/>
      <c r="O243" s="226">
        <v>225</v>
      </c>
      <c r="P243" s="226">
        <v>576</v>
      </c>
      <c r="Q243" s="53"/>
      <c r="R243" s="56"/>
      <c r="S243" s="57"/>
      <c r="T243" s="53"/>
    </row>
    <row r="244" spans="6:20">
      <c r="F244" s="51" t="s">
        <v>1141</v>
      </c>
      <c r="G244" s="51" t="s">
        <v>1139</v>
      </c>
      <c r="H244" s="51" t="str">
        <f t="shared" si="3"/>
        <v>AHEGC B3/B1 - 18+21[4*20/20]</v>
      </c>
      <c r="I244" s="51" t="s">
        <v>975</v>
      </c>
      <c r="J244" s="51" t="s">
        <v>1044</v>
      </c>
      <c r="K244" s="51"/>
      <c r="L244" s="53">
        <f>O244*CFGRECT!$S$10</f>
        <v>412.25</v>
      </c>
      <c r="M244" s="53">
        <f>P244*CFGRECT!$T$10</f>
        <v>454.75</v>
      </c>
      <c r="N244" s="53"/>
      <c r="O244" s="226">
        <v>485</v>
      </c>
      <c r="P244" s="226">
        <v>535</v>
      </c>
      <c r="Q244" s="53"/>
      <c r="R244" s="56"/>
      <c r="S244" s="57">
        <v>485</v>
      </c>
      <c r="T244" s="53">
        <v>637</v>
      </c>
    </row>
    <row r="245" spans="6:20">
      <c r="F245" s="51" t="s">
        <v>1195</v>
      </c>
      <c r="G245" s="51" t="s">
        <v>1260</v>
      </c>
      <c r="H245" s="51" t="str">
        <f t="shared" si="3"/>
        <v>AZQG N78 - 3500[8*20]</v>
      </c>
      <c r="I245" s="51" t="s">
        <v>975</v>
      </c>
      <c r="J245" s="51" t="s">
        <v>1044</v>
      </c>
      <c r="K245" s="51"/>
      <c r="L245" s="53">
        <f>O245*CFGRECT!$S$10</f>
        <v>327.25</v>
      </c>
      <c r="M245" s="53">
        <f>P245*CFGRECT!$T$10</f>
        <v>379.95</v>
      </c>
      <c r="N245" s="53"/>
      <c r="O245" s="226">
        <v>385</v>
      </c>
      <c r="P245" s="226">
        <v>447</v>
      </c>
      <c r="Q245" s="53"/>
      <c r="R245" s="56"/>
      <c r="S245" s="57"/>
      <c r="T245" s="53"/>
    </row>
    <row r="246" spans="6:20">
      <c r="F246" s="51" t="s">
        <v>1111</v>
      </c>
      <c r="G246" s="51" t="s">
        <v>1261</v>
      </c>
      <c r="H246" s="51" t="str">
        <f t="shared" si="3"/>
        <v>AHPDA B28/B8 - 07+09[4*15/15]</v>
      </c>
      <c r="I246" s="51" t="s">
        <v>975</v>
      </c>
      <c r="J246" s="51" t="s">
        <v>1044</v>
      </c>
      <c r="K246" s="51"/>
      <c r="L246" s="53">
        <f>O246*CFGRECT!$S$10</f>
        <v>438.59999999999997</v>
      </c>
      <c r="M246" s="53">
        <f>P246*CFGRECT!$T$10</f>
        <v>470.05</v>
      </c>
      <c r="N246" s="53"/>
      <c r="O246" s="226">
        <v>516</v>
      </c>
      <c r="P246" s="226">
        <v>553</v>
      </c>
      <c r="Q246" s="53"/>
      <c r="R246" s="56"/>
      <c r="S246" s="57"/>
      <c r="T246" s="53"/>
    </row>
    <row r="247" spans="6:20">
      <c r="F247" s="51" t="s">
        <v>1079</v>
      </c>
      <c r="G247" s="51" t="s">
        <v>1204</v>
      </c>
      <c r="H247" s="51" t="str">
        <f t="shared" si="3"/>
        <v>AHPB B28 - 700[2*20]</v>
      </c>
      <c r="I247" s="51" t="s">
        <v>975</v>
      </c>
      <c r="J247" s="51" t="s">
        <v>1044</v>
      </c>
      <c r="K247" s="51"/>
      <c r="L247" s="53">
        <f>O247*CFGRECT!$S$10</f>
        <v>188.7</v>
      </c>
      <c r="M247" s="53">
        <f>P247*CFGRECT!$T$10</f>
        <v>204</v>
      </c>
      <c r="N247" s="53"/>
      <c r="O247" s="226">
        <v>222</v>
      </c>
      <c r="P247" s="226">
        <v>240</v>
      </c>
      <c r="Q247" s="53"/>
      <c r="R247" s="56"/>
      <c r="S247" s="57"/>
      <c r="T247" s="53"/>
    </row>
    <row r="248" spans="6:20">
      <c r="F248" s="51" t="s">
        <v>1141</v>
      </c>
      <c r="G248" s="51" t="s">
        <v>1137</v>
      </c>
      <c r="H248" s="51" t="str">
        <f t="shared" si="3"/>
        <v>AHEGC B3/B1 - 18+21[2*20/20]</v>
      </c>
      <c r="I248" s="51" t="s">
        <v>975</v>
      </c>
      <c r="J248" s="51" t="s">
        <v>1044</v>
      </c>
      <c r="K248" s="51"/>
      <c r="L248" s="53">
        <f>O248*CFGRECT!$S$10</f>
        <v>289.84999999999997</v>
      </c>
      <c r="M248" s="53">
        <f>P248*CFGRECT!$T$10</f>
        <v>311.09999999999997</v>
      </c>
      <c r="N248" s="53"/>
      <c r="O248" s="226">
        <v>341</v>
      </c>
      <c r="P248" s="226">
        <v>366</v>
      </c>
      <c r="Q248" s="53"/>
      <c r="R248" s="56"/>
      <c r="S248" s="57"/>
      <c r="T248" s="53"/>
    </row>
    <row r="249" spans="6:20">
      <c r="F249" s="51" t="s">
        <v>1262</v>
      </c>
      <c r="G249" s="51" t="s">
        <v>1260</v>
      </c>
      <c r="H249" s="51" t="str">
        <f t="shared" si="3"/>
        <v>AZQI N78 - 3500[8*20]</v>
      </c>
      <c r="I249" s="51" t="s">
        <v>975</v>
      </c>
      <c r="J249" s="51" t="s">
        <v>1044</v>
      </c>
      <c r="K249" s="51"/>
      <c r="L249" s="53">
        <f>O249*CFGRECT!$S$10</f>
        <v>374</v>
      </c>
      <c r="M249" s="53">
        <f>P249*CFGRECT!$T$10</f>
        <v>433.5</v>
      </c>
      <c r="N249" s="53"/>
      <c r="O249" s="226">
        <v>440</v>
      </c>
      <c r="P249" s="226">
        <v>510</v>
      </c>
      <c r="Q249" s="53"/>
      <c r="R249" s="56"/>
      <c r="S249" s="57"/>
      <c r="T249" s="53"/>
    </row>
    <row r="250" spans="6:20">
      <c r="F250" s="51" t="s">
        <v>1262</v>
      </c>
      <c r="G250" s="51" t="s">
        <v>1196</v>
      </c>
      <c r="H250" s="51" t="str">
        <f t="shared" si="3"/>
        <v>AZQI N78 - 3500[8*40]</v>
      </c>
      <c r="I250" s="51" t="s">
        <v>975</v>
      </c>
      <c r="J250" s="51" t="s">
        <v>1044</v>
      </c>
      <c r="K250" s="51"/>
      <c r="L250" s="53">
        <f>O250*CFGRECT!$S$10</f>
        <v>476</v>
      </c>
      <c r="M250" s="53">
        <f>P250*CFGRECT!$T$10</f>
        <v>595</v>
      </c>
      <c r="N250" s="53"/>
      <c r="O250" s="226">
        <v>560</v>
      </c>
      <c r="P250" s="226">
        <v>700</v>
      </c>
      <c r="Q250" s="53"/>
      <c r="R250" s="56"/>
      <c r="S250" s="57"/>
      <c r="T250" s="53"/>
    </row>
    <row r="251" spans="6:20">
      <c r="F251" s="51" t="s">
        <v>1263</v>
      </c>
      <c r="G251" s="51" t="s">
        <v>1264</v>
      </c>
      <c r="H251" s="51" t="str">
        <f t="shared" si="3"/>
        <v>AENA B40 - 2300[64TRx]200w</v>
      </c>
      <c r="I251" s="51" t="s">
        <v>1023</v>
      </c>
      <c r="J251" s="51" t="s">
        <v>1044</v>
      </c>
      <c r="K251" s="51"/>
      <c r="L251" s="53">
        <f>O251*CFGRECT!$S$10</f>
        <v>722.5</v>
      </c>
      <c r="M251" s="53">
        <f>P251*CFGRECT!$T$10</f>
        <v>765</v>
      </c>
      <c r="N251" s="53"/>
      <c r="O251" s="226">
        <v>850</v>
      </c>
      <c r="P251" s="226">
        <v>900</v>
      </c>
      <c r="Q251" s="53"/>
      <c r="R251" s="56">
        <v>1050</v>
      </c>
      <c r="S251" s="57"/>
      <c r="T251" s="53"/>
    </row>
    <row r="252" spans="6:20">
      <c r="F252" s="51" t="s">
        <v>1265</v>
      </c>
      <c r="G252" s="51" t="s">
        <v>1266</v>
      </c>
      <c r="H252" s="51" t="str">
        <f t="shared" si="3"/>
        <v>AENB B40 - 2300[32TRx]240w</v>
      </c>
      <c r="I252" s="51" t="s">
        <v>1023</v>
      </c>
      <c r="J252" s="51" t="s">
        <v>1044</v>
      </c>
      <c r="K252" s="51"/>
      <c r="L252" s="53">
        <f>O252*CFGRECT!$S$10</f>
        <v>476</v>
      </c>
      <c r="M252" s="53">
        <f>P252*CFGRECT!$T$10</f>
        <v>595</v>
      </c>
      <c r="N252" s="53"/>
      <c r="O252" s="226">
        <v>560</v>
      </c>
      <c r="P252" s="226">
        <v>700</v>
      </c>
      <c r="Q252" s="53"/>
      <c r="R252" s="56">
        <v>840</v>
      </c>
      <c r="S252" s="57"/>
      <c r="T252" s="53"/>
    </row>
    <row r="253" spans="6:20">
      <c r="F253" s="51" t="s">
        <v>1267</v>
      </c>
      <c r="G253" s="51" t="s">
        <v>1268</v>
      </c>
      <c r="H253" s="51" t="str">
        <f t="shared" si="3"/>
        <v>AEUB N257 - 28GHz[2*256 AE]</v>
      </c>
      <c r="I253" s="51" t="s">
        <v>1023</v>
      </c>
      <c r="J253" s="51" t="s">
        <v>1044</v>
      </c>
      <c r="K253" s="51"/>
      <c r="L253" s="53">
        <f>O253*CFGRECT!$S$10</f>
        <v>289</v>
      </c>
      <c r="M253" s="53">
        <f>P253*CFGRECT!$T$10</f>
        <v>291.55</v>
      </c>
      <c r="N253" s="53"/>
      <c r="O253" s="226">
        <v>340</v>
      </c>
      <c r="P253" s="226">
        <v>343</v>
      </c>
      <c r="Q253" s="53"/>
      <c r="R253" s="56"/>
      <c r="S253" s="57"/>
      <c r="T253" s="53"/>
    </row>
    <row r="254" spans="6:20">
      <c r="F254" s="51" t="s">
        <v>1269</v>
      </c>
      <c r="G254" s="51" t="s">
        <v>1042</v>
      </c>
      <c r="H254" s="51" t="str">
        <f t="shared" si="3"/>
        <v>AEQE N78 - 3500[64TRx]200w</v>
      </c>
      <c r="I254" s="51" t="s">
        <v>1023</v>
      </c>
      <c r="J254" s="51" t="s">
        <v>1044</v>
      </c>
      <c r="K254" s="51"/>
      <c r="L254" s="53">
        <f>O254*CFGRECT!$S$10</f>
        <v>667.25</v>
      </c>
      <c r="M254" s="53">
        <f>P254*CFGRECT!$T$10</f>
        <v>735.25</v>
      </c>
      <c r="N254" s="53"/>
      <c r="O254" s="226">
        <v>785</v>
      </c>
      <c r="P254" s="226">
        <v>865</v>
      </c>
      <c r="Q254" s="53"/>
      <c r="R254" s="56"/>
      <c r="S254" s="57"/>
      <c r="T254" s="53"/>
    </row>
    <row r="255" spans="6:20">
      <c r="F255" s="51" t="s">
        <v>1082</v>
      </c>
      <c r="G255" s="51" t="s">
        <v>1085</v>
      </c>
      <c r="H255" s="51" t="str">
        <f t="shared" si="3"/>
        <v>AHCA B5 - 850[4*40]</v>
      </c>
      <c r="I255" s="51" t="s">
        <v>975</v>
      </c>
      <c r="J255" s="51" t="s">
        <v>1044</v>
      </c>
      <c r="K255" s="51"/>
      <c r="L255" s="53">
        <f>O255*CFGRECT!$S$10</f>
        <v>250.75</v>
      </c>
      <c r="M255" s="53">
        <f>P255*CFGRECT!$T$10</f>
        <v>301.75</v>
      </c>
      <c r="N255" s="53"/>
      <c r="O255" s="226">
        <v>295</v>
      </c>
      <c r="P255" s="226">
        <v>355</v>
      </c>
      <c r="Q255" s="53"/>
      <c r="R255" s="56"/>
      <c r="S255" s="57"/>
      <c r="T255" s="53"/>
    </row>
    <row r="256" spans="6:20">
      <c r="F256" s="51" t="s">
        <v>1082</v>
      </c>
      <c r="G256" s="51" t="s">
        <v>1084</v>
      </c>
      <c r="H256" s="51" t="str">
        <f t="shared" si="3"/>
        <v>AHCA B5 - 850[2*60]</v>
      </c>
      <c r="I256" s="51" t="s">
        <v>975</v>
      </c>
      <c r="J256" s="51" t="s">
        <v>1044</v>
      </c>
      <c r="K256" s="51"/>
      <c r="L256" s="53">
        <f>O256*CFGRECT!$S$10</f>
        <v>209.95</v>
      </c>
      <c r="M256" s="53">
        <f>P256*CFGRECT!$T$10</f>
        <v>251.6</v>
      </c>
      <c r="N256" s="53"/>
      <c r="O256" s="226">
        <v>247</v>
      </c>
      <c r="P256" s="226">
        <v>296</v>
      </c>
      <c r="Q256" s="53"/>
      <c r="R256" s="56"/>
      <c r="S256" s="57"/>
      <c r="T256" s="53"/>
    </row>
    <row r="257" spans="6:20">
      <c r="F257" s="51" t="s">
        <v>1270</v>
      </c>
      <c r="G257" s="51" t="s">
        <v>1271</v>
      </c>
      <c r="H257" s="51" t="str">
        <f t="shared" si="3"/>
        <v>AHPCDB B28/B5/B8 - 07+85+09[2*2*60]</v>
      </c>
      <c r="I257" s="51" t="s">
        <v>975</v>
      </c>
      <c r="J257" s="51" t="s">
        <v>1044</v>
      </c>
      <c r="K257" s="51"/>
      <c r="L257" s="53">
        <f>O257*CFGRECT!$S$10</f>
        <v>469.2</v>
      </c>
      <c r="M257" s="53">
        <f>P257*CFGRECT!$T$10</f>
        <v>827.05</v>
      </c>
      <c r="N257" s="53"/>
      <c r="O257" s="226">
        <v>552</v>
      </c>
      <c r="P257" s="226">
        <v>973</v>
      </c>
      <c r="Q257" s="53"/>
      <c r="R257" s="56"/>
      <c r="S257" s="57"/>
      <c r="T257" s="53"/>
    </row>
    <row r="258" spans="6:20">
      <c r="F258" s="51" t="s">
        <v>1270</v>
      </c>
      <c r="G258" s="51" t="s">
        <v>1272</v>
      </c>
      <c r="H258" s="51" t="str">
        <f t="shared" si="3"/>
        <v>AHPCDB B28/B5/B8 - 07+85+09[2*60]</v>
      </c>
      <c r="I258" s="51" t="s">
        <v>975</v>
      </c>
      <c r="J258" s="51" t="s">
        <v>1044</v>
      </c>
      <c r="K258" s="51"/>
      <c r="L258" s="53">
        <f>O258*CFGRECT!$S$10</f>
        <v>393.55</v>
      </c>
      <c r="M258" s="53">
        <f>P258*CFGRECT!$T$10</f>
        <v>457.3</v>
      </c>
      <c r="N258" s="53"/>
      <c r="O258" s="226">
        <v>463</v>
      </c>
      <c r="P258" s="226">
        <v>538</v>
      </c>
      <c r="Q258" s="53"/>
      <c r="R258" s="56"/>
      <c r="S258" s="57"/>
      <c r="T258" s="53"/>
    </row>
    <row r="259" spans="6:20">
      <c r="F259" s="51" t="s">
        <v>1273</v>
      </c>
      <c r="G259" s="51" t="s">
        <v>1274</v>
      </c>
      <c r="H259" s="51" t="str">
        <f t="shared" si="3"/>
        <v>ARHA B7 - 2600[1*60]</v>
      </c>
      <c r="I259" s="51" t="s">
        <v>975</v>
      </c>
      <c r="J259" s="51" t="s">
        <v>1044</v>
      </c>
      <c r="K259" s="51"/>
      <c r="L259" s="53">
        <f>O259*CFGRECT!$S$10</f>
        <v>178.5</v>
      </c>
      <c r="M259" s="53">
        <f>P259*CFGRECT!$T$10</f>
        <v>202.29999999999998</v>
      </c>
      <c r="N259" s="53"/>
      <c r="O259" s="226">
        <v>210</v>
      </c>
      <c r="P259" s="226">
        <v>238</v>
      </c>
      <c r="Q259" s="53"/>
      <c r="R259" s="56"/>
      <c r="S259" s="57"/>
      <c r="T259" s="53"/>
    </row>
    <row r="260" spans="6:20">
      <c r="F260" s="51" t="s">
        <v>1273</v>
      </c>
      <c r="G260" s="51" t="s">
        <v>972</v>
      </c>
      <c r="H260" s="51" t="str">
        <f t="shared" si="3"/>
        <v>ARHA B7 - 2600[2*60]</v>
      </c>
      <c r="I260" s="51" t="s">
        <v>975</v>
      </c>
      <c r="J260" s="51" t="s">
        <v>1044</v>
      </c>
      <c r="K260" s="51"/>
      <c r="L260" s="53">
        <f>O260*CFGRECT!$S$10</f>
        <v>255.85</v>
      </c>
      <c r="M260" s="53">
        <f>P260*CFGRECT!$T$10</f>
        <v>303.45</v>
      </c>
      <c r="N260" s="53"/>
      <c r="O260" s="226">
        <v>301</v>
      </c>
      <c r="P260" s="226">
        <v>357</v>
      </c>
      <c r="Q260" s="53"/>
      <c r="R260" s="56"/>
      <c r="S260" s="57"/>
      <c r="T260" s="53"/>
    </row>
    <row r="261" spans="6:20">
      <c r="F261" s="51" t="s">
        <v>1273</v>
      </c>
      <c r="G261" s="51" t="s">
        <v>1275</v>
      </c>
      <c r="H261" s="51" t="str">
        <f t="shared" si="3"/>
        <v>ARHA B7 - 2600[3*60]</v>
      </c>
      <c r="I261" s="51" t="s">
        <v>975</v>
      </c>
      <c r="J261" s="51" t="s">
        <v>1044</v>
      </c>
      <c r="K261" s="51"/>
      <c r="L261" s="53">
        <f>O261*CFGRECT!$S$10</f>
        <v>345.95</v>
      </c>
      <c r="M261" s="53">
        <f>P261*CFGRECT!$T$10</f>
        <v>420.75</v>
      </c>
      <c r="N261" s="53"/>
      <c r="O261" s="226">
        <v>407</v>
      </c>
      <c r="P261" s="226">
        <v>495</v>
      </c>
      <c r="Q261" s="53"/>
      <c r="R261" s="56"/>
      <c r="S261" s="57"/>
      <c r="T261" s="53"/>
    </row>
    <row r="262" spans="6:20">
      <c r="F262" s="51" t="s">
        <v>1273</v>
      </c>
      <c r="G262" s="51" t="s">
        <v>1276</v>
      </c>
      <c r="H262" s="51" t="str">
        <f t="shared" si="3"/>
        <v>ARHA B7 - 2600[4*60]</v>
      </c>
      <c r="I262" s="51" t="s">
        <v>975</v>
      </c>
      <c r="J262" s="51" t="s">
        <v>1044</v>
      </c>
      <c r="K262" s="51"/>
      <c r="L262" s="53">
        <f>O262*CFGRECT!$S$10</f>
        <v>422.45</v>
      </c>
      <c r="M262" s="53">
        <f>P262*CFGRECT!$T$10</f>
        <v>521.9</v>
      </c>
      <c r="N262" s="53"/>
      <c r="O262" s="226">
        <v>497</v>
      </c>
      <c r="P262" s="226">
        <v>614</v>
      </c>
      <c r="Q262" s="53"/>
      <c r="R262" s="56"/>
      <c r="S262" s="57"/>
      <c r="T262" s="53"/>
    </row>
    <row r="263" spans="6:20">
      <c r="F263" s="51" t="s">
        <v>1273</v>
      </c>
      <c r="G263" s="51" t="s">
        <v>1277</v>
      </c>
      <c r="H263" s="51" t="str">
        <f t="shared" si="3"/>
        <v>ARHA B7 - 2600[6*60]</v>
      </c>
      <c r="I263" s="51" t="s">
        <v>975</v>
      </c>
      <c r="J263" s="51" t="s">
        <v>1044</v>
      </c>
      <c r="K263" s="51"/>
      <c r="L263" s="53">
        <f>O263*CFGRECT!$S$10</f>
        <v>591.6</v>
      </c>
      <c r="M263" s="53">
        <f>P263*CFGRECT!$T$10</f>
        <v>743.75</v>
      </c>
      <c r="N263" s="53"/>
      <c r="O263" s="226">
        <v>696</v>
      </c>
      <c r="P263" s="226">
        <v>875</v>
      </c>
      <c r="Q263" s="53"/>
      <c r="R263" s="56"/>
      <c r="S263" s="57"/>
      <c r="T263" s="53"/>
    </row>
    <row r="264" spans="6:20">
      <c r="F264" s="51" t="s">
        <v>1278</v>
      </c>
      <c r="G264" s="51" t="s">
        <v>1279</v>
      </c>
      <c r="H264" s="51" t="str">
        <f t="shared" si="3"/>
        <v>AIR6449 B42 - 3500[64TRx]320w</v>
      </c>
      <c r="I264" s="51" t="s">
        <v>1023</v>
      </c>
      <c r="J264" s="51" t="s">
        <v>1031</v>
      </c>
      <c r="K264" s="51"/>
      <c r="L264" s="53">
        <f>O264*CFGRECT!$S$10</f>
        <v>460.7</v>
      </c>
      <c r="M264" s="53">
        <f>P264*CFGRECT!$T$10</f>
        <v>1191.7</v>
      </c>
      <c r="N264" s="53"/>
      <c r="O264" s="226">
        <v>542</v>
      </c>
      <c r="P264" s="226">
        <v>1402</v>
      </c>
      <c r="Q264" s="53"/>
      <c r="R264" s="56"/>
      <c r="S264" s="57"/>
      <c r="T264" s="53"/>
    </row>
    <row r="265" spans="6:20">
      <c r="F265" s="51" t="s">
        <v>1280</v>
      </c>
      <c r="G265" s="51" t="s">
        <v>1104</v>
      </c>
      <c r="H265" s="51" t="str">
        <f t="shared" si="3"/>
        <v>AIR5322 B258 (AC) - 28G/26G[8*24 AE]</v>
      </c>
      <c r="I265" s="51" t="s">
        <v>1023</v>
      </c>
      <c r="J265" s="51" t="s">
        <v>1031</v>
      </c>
      <c r="K265" s="51"/>
      <c r="L265" s="53">
        <f>O265*CFGRECT!$S$10</f>
        <v>182.75</v>
      </c>
      <c r="M265" s="53">
        <f>P265*CFGRECT!$T$10</f>
        <v>234.6</v>
      </c>
      <c r="N265" s="53"/>
      <c r="O265" s="226">
        <v>215</v>
      </c>
      <c r="P265" s="226">
        <v>276</v>
      </c>
      <c r="Q265" s="53"/>
      <c r="R265" s="56"/>
      <c r="S265" s="57"/>
      <c r="T265" s="53"/>
    </row>
    <row r="266" spans="6:20">
      <c r="F266" s="51" t="s">
        <v>1036</v>
      </c>
      <c r="G266" s="51" t="s">
        <v>993</v>
      </c>
      <c r="H266" s="51" t="str">
        <f t="shared" si="3"/>
        <v>RRU4480 B3/B1 - 1800[4*40]</v>
      </c>
      <c r="I266" s="51" t="s">
        <v>975</v>
      </c>
      <c r="J266" s="51" t="s">
        <v>1031</v>
      </c>
      <c r="K266" s="51"/>
      <c r="L266" s="53">
        <f>O266*CFGRECT!$S$10</f>
        <v>192.1</v>
      </c>
      <c r="M266" s="53">
        <f>P266*CFGRECT!$T$10</f>
        <v>508.3</v>
      </c>
      <c r="N266" s="53"/>
      <c r="O266" s="226">
        <v>226</v>
      </c>
      <c r="P266" s="226">
        <v>598</v>
      </c>
      <c r="Q266" s="53"/>
      <c r="R266" s="56"/>
      <c r="S266" s="57"/>
      <c r="T266" s="53"/>
    </row>
    <row r="267" spans="6:20">
      <c r="F267" s="51" t="s">
        <v>1036</v>
      </c>
      <c r="G267" s="51" t="s">
        <v>1003</v>
      </c>
      <c r="H267" s="51" t="str">
        <f t="shared" ref="H267:H330" si="4">F267&amp;IF(G267="",""," - "&amp;G267)</f>
        <v>RRU4480 B3/B1 - 2100[4*60]</v>
      </c>
      <c r="I267" s="51" t="s">
        <v>975</v>
      </c>
      <c r="J267" s="51" t="s">
        <v>1031</v>
      </c>
      <c r="K267" s="51"/>
      <c r="L267" s="53">
        <f>O267*CFGRECT!$S$10</f>
        <v>195.5</v>
      </c>
      <c r="M267" s="53">
        <f>P267*CFGRECT!$T$10</f>
        <v>531.25</v>
      </c>
      <c r="N267" s="53"/>
      <c r="O267" s="226">
        <v>230</v>
      </c>
      <c r="P267" s="226">
        <v>625</v>
      </c>
      <c r="Q267" s="53"/>
      <c r="R267" s="56"/>
      <c r="S267" s="57"/>
      <c r="T267" s="53"/>
    </row>
    <row r="268" spans="6:20">
      <c r="F268" s="51" t="s">
        <v>1241</v>
      </c>
      <c r="G268" s="51" t="s">
        <v>1077</v>
      </c>
      <c r="H268" s="51" t="str">
        <f t="shared" si="4"/>
        <v>RRU4480 B28/B8 - 700[4*60]</v>
      </c>
      <c r="I268" s="51" t="s">
        <v>975</v>
      </c>
      <c r="J268" s="51" t="s">
        <v>1031</v>
      </c>
      <c r="K268" s="51"/>
      <c r="L268" s="53">
        <f>O268*CFGRECT!$S$10</f>
        <v>196.35</v>
      </c>
      <c r="M268" s="53">
        <f>P268*CFGRECT!$T$10</f>
        <v>528.69999999999993</v>
      </c>
      <c r="N268" s="53"/>
      <c r="O268" s="226">
        <v>231</v>
      </c>
      <c r="P268" s="226">
        <v>622</v>
      </c>
      <c r="Q268" s="53"/>
      <c r="R268" s="56"/>
      <c r="S268" s="57"/>
      <c r="T268" s="53"/>
    </row>
    <row r="269" spans="6:20">
      <c r="F269" s="51" t="s">
        <v>1241</v>
      </c>
      <c r="G269" s="51" t="s">
        <v>1281</v>
      </c>
      <c r="H269" s="51" t="str">
        <f t="shared" si="4"/>
        <v>RRU4480 B28/B8 - 900[4*60]</v>
      </c>
      <c r="I269" s="51" t="s">
        <v>975</v>
      </c>
      <c r="J269" s="51" t="s">
        <v>1031</v>
      </c>
      <c r="K269" s="51"/>
      <c r="L269" s="53">
        <f>O269*CFGRECT!$S$10</f>
        <v>179.35</v>
      </c>
      <c r="M269" s="53">
        <f>P269*CFGRECT!$T$10</f>
        <v>530.4</v>
      </c>
      <c r="N269" s="53"/>
      <c r="O269" s="226">
        <v>211</v>
      </c>
      <c r="P269" s="226">
        <v>624</v>
      </c>
      <c r="Q269" s="53"/>
      <c r="R269" s="56"/>
      <c r="S269" s="57"/>
      <c r="T269" s="53"/>
    </row>
    <row r="270" spans="6:20">
      <c r="F270" s="51" t="s">
        <v>1259</v>
      </c>
      <c r="G270" s="51" t="s">
        <v>1196</v>
      </c>
      <c r="H270" s="51" t="str">
        <f t="shared" si="4"/>
        <v>RRU8863 B42 - 3500[8*40]</v>
      </c>
      <c r="I270" s="51" t="s">
        <v>975</v>
      </c>
      <c r="J270" s="51" t="s">
        <v>1031</v>
      </c>
      <c r="K270" s="51"/>
      <c r="L270" s="53">
        <f>O270*CFGRECT!$S$10</f>
        <v>544</v>
      </c>
      <c r="M270" s="53">
        <f>P270*CFGRECT!$T$10</f>
        <v>765</v>
      </c>
      <c r="N270" s="53"/>
      <c r="O270" s="226">
        <v>640</v>
      </c>
      <c r="P270" s="226">
        <v>900</v>
      </c>
      <c r="Q270" s="53"/>
      <c r="R270" s="56"/>
      <c r="S270" s="57"/>
      <c r="T270" s="53"/>
    </row>
    <row r="271" spans="6:20">
      <c r="F271" s="51" t="s">
        <v>1259</v>
      </c>
      <c r="G271" s="51" t="s">
        <v>1260</v>
      </c>
      <c r="H271" s="51" t="str">
        <f t="shared" si="4"/>
        <v>RRU8863 B42 - 3500[8*20]</v>
      </c>
      <c r="I271" s="51" t="s">
        <v>975</v>
      </c>
      <c r="J271" s="51" t="s">
        <v>1031</v>
      </c>
      <c r="K271" s="51"/>
      <c r="L271" s="53">
        <f>O271*CFGRECT!$S$10</f>
        <v>340</v>
      </c>
      <c r="M271" s="53">
        <f>P271*CFGRECT!$T$10</f>
        <v>465.8</v>
      </c>
      <c r="N271" s="53"/>
      <c r="O271" s="226">
        <v>400</v>
      </c>
      <c r="P271" s="226">
        <v>548</v>
      </c>
      <c r="Q271" s="53"/>
      <c r="R271" s="56"/>
      <c r="S271" s="57"/>
      <c r="T271" s="53"/>
    </row>
    <row r="272" spans="6:20">
      <c r="F272" s="51" t="s">
        <v>1282</v>
      </c>
      <c r="G272" s="51" t="s">
        <v>1104</v>
      </c>
      <c r="H272" s="51" t="str">
        <f t="shared" si="4"/>
        <v>AIR5322 B257 (DC) - 28G/26G[8*24 AE]</v>
      </c>
      <c r="I272" s="51" t="s">
        <v>1023</v>
      </c>
      <c r="J272" s="51" t="s">
        <v>1031</v>
      </c>
      <c r="K272" s="51"/>
      <c r="L272" s="53">
        <f>O272*CFGRECT!$S$10</f>
        <v>182.75</v>
      </c>
      <c r="M272" s="53">
        <f>P272*CFGRECT!$T$10</f>
        <v>234.6</v>
      </c>
      <c r="N272" s="53"/>
      <c r="O272" s="226">
        <v>215</v>
      </c>
      <c r="P272" s="226">
        <v>276</v>
      </c>
      <c r="Q272" s="53"/>
      <c r="R272" s="56"/>
      <c r="S272" s="57"/>
      <c r="T272" s="53"/>
    </row>
    <row r="273" spans="6:20">
      <c r="F273" s="51" t="s">
        <v>1283</v>
      </c>
      <c r="G273" s="51" t="s">
        <v>1284</v>
      </c>
      <c r="H273" s="51" t="str">
        <f t="shared" si="4"/>
        <v>AWEUD N258 - 26G[2*96 AE]</v>
      </c>
      <c r="I273" s="51" t="s">
        <v>1023</v>
      </c>
      <c r="J273" s="51" t="s">
        <v>1044</v>
      </c>
      <c r="K273" s="51"/>
      <c r="L273" s="53">
        <f>O273*CFGRECT!$S$10</f>
        <v>175.95</v>
      </c>
      <c r="M273" s="53">
        <f>P273*CFGRECT!$T$10</f>
        <v>192.95</v>
      </c>
      <c r="N273" s="53"/>
      <c r="O273" s="226">
        <v>207</v>
      </c>
      <c r="P273" s="226">
        <v>227</v>
      </c>
      <c r="Q273" s="53"/>
      <c r="R273" s="56"/>
      <c r="S273" s="57"/>
      <c r="T273" s="53"/>
    </row>
    <row r="274" spans="6:20">
      <c r="F274" s="51" t="s">
        <v>1285</v>
      </c>
      <c r="G274" s="51"/>
      <c r="H274" s="51" t="str">
        <f t="shared" si="4"/>
        <v>BBU6648</v>
      </c>
      <c r="I274" s="51" t="s">
        <v>930</v>
      </c>
      <c r="J274" s="51" t="s">
        <v>1031</v>
      </c>
      <c r="K274" s="51"/>
      <c r="L274" s="53">
        <f>O274*CFGRECT!$S$10</f>
        <v>308.55</v>
      </c>
      <c r="M274" s="53">
        <f>P274*CFGRECT!$T$10</f>
        <v>340.84999999999997</v>
      </c>
      <c r="N274" s="53"/>
      <c r="O274" s="226">
        <v>363</v>
      </c>
      <c r="P274" s="226">
        <v>401</v>
      </c>
      <c r="Q274" s="53"/>
      <c r="R274" s="56"/>
      <c r="S274" s="57"/>
      <c r="T274" s="53"/>
    </row>
    <row r="275" spans="6:20">
      <c r="F275" s="51" t="s">
        <v>1286</v>
      </c>
      <c r="G275" s="51" t="s">
        <v>1287</v>
      </c>
      <c r="H275" s="51" t="str">
        <f t="shared" si="4"/>
        <v>RRU8863 B40 - 2300[8*40]</v>
      </c>
      <c r="I275" s="51" t="s">
        <v>975</v>
      </c>
      <c r="J275" s="51" t="s">
        <v>1031</v>
      </c>
      <c r="K275" s="51"/>
      <c r="L275" s="53">
        <f>O275*CFGRECT!$S$10</f>
        <v>452.2</v>
      </c>
      <c r="M275" s="53">
        <f>P275*CFGRECT!$T$10</f>
        <v>675.75</v>
      </c>
      <c r="N275" s="53"/>
      <c r="O275" s="226">
        <v>532</v>
      </c>
      <c r="P275" s="226">
        <v>795</v>
      </c>
      <c r="Q275" s="53"/>
      <c r="R275" s="56"/>
      <c r="S275" s="57"/>
      <c r="T275" s="53"/>
    </row>
    <row r="276" spans="6:20">
      <c r="F276" s="51" t="s">
        <v>1286</v>
      </c>
      <c r="G276" s="51" t="s">
        <v>1288</v>
      </c>
      <c r="H276" s="51" t="str">
        <f t="shared" si="4"/>
        <v>RRU8863 B40 - 2300[8*20]</v>
      </c>
      <c r="I276" s="51" t="s">
        <v>975</v>
      </c>
      <c r="J276" s="51" t="s">
        <v>1031</v>
      </c>
      <c r="K276" s="51"/>
      <c r="L276" s="53">
        <f>O276*CFGRECT!$S$10</f>
        <v>282.2</v>
      </c>
      <c r="M276" s="53">
        <f>P276*CFGRECT!$T$10</f>
        <v>386.75</v>
      </c>
      <c r="N276" s="53"/>
      <c r="O276" s="226">
        <v>332</v>
      </c>
      <c r="P276" s="226">
        <v>455</v>
      </c>
      <c r="Q276" s="53"/>
      <c r="R276" s="56"/>
      <c r="S276" s="57"/>
      <c r="T276" s="53"/>
    </row>
    <row r="277" spans="6:20">
      <c r="F277" s="51" t="s">
        <v>1289</v>
      </c>
      <c r="G277" s="51" t="s">
        <v>1279</v>
      </c>
      <c r="H277" s="51" t="str">
        <f t="shared" si="4"/>
        <v>AQQL N78 - 3500[64TRx]320w</v>
      </c>
      <c r="I277" s="51" t="s">
        <v>1023</v>
      </c>
      <c r="J277" s="51" t="s">
        <v>1044</v>
      </c>
      <c r="K277" s="51" t="s">
        <v>1290</v>
      </c>
      <c r="L277" s="53">
        <f>O277*CFGRECT!$S$10</f>
        <v>1008.9499999999999</v>
      </c>
      <c r="M277" s="53">
        <f>P277*CFGRECT!$T$10</f>
        <v>1141.55</v>
      </c>
      <c r="N277" s="53"/>
      <c r="O277" s="226">
        <v>1187</v>
      </c>
      <c r="P277" s="226">
        <v>1343</v>
      </c>
      <c r="Q277" s="53">
        <v>924</v>
      </c>
      <c r="R277" s="56">
        <v>1187</v>
      </c>
      <c r="S277" s="57">
        <v>1343</v>
      </c>
      <c r="T277" s="53">
        <v>1694</v>
      </c>
    </row>
    <row r="278" spans="6:20">
      <c r="F278" s="51" t="s">
        <v>1291</v>
      </c>
      <c r="G278" s="51" t="s">
        <v>1292</v>
      </c>
      <c r="H278" s="51" t="str">
        <f t="shared" si="4"/>
        <v>AQQY N78 - 3500[32TRx]240w</v>
      </c>
      <c r="I278" s="51" t="s">
        <v>1023</v>
      </c>
      <c r="J278" s="51" t="s">
        <v>1044</v>
      </c>
      <c r="K278" s="51" t="s">
        <v>1192</v>
      </c>
      <c r="L278" s="53">
        <f>O278*CFGRECT!$S$10</f>
        <v>584.79999999999995</v>
      </c>
      <c r="M278" s="53">
        <f>P278*CFGRECT!$T$10</f>
        <v>663</v>
      </c>
      <c r="N278" s="53"/>
      <c r="O278" s="226">
        <v>688</v>
      </c>
      <c r="P278" s="226">
        <v>780</v>
      </c>
      <c r="Q278" s="53">
        <v>489</v>
      </c>
      <c r="R278" s="56">
        <v>688</v>
      </c>
      <c r="S278" s="57">
        <v>780</v>
      </c>
      <c r="T278" s="53">
        <v>975</v>
      </c>
    </row>
    <row r="279" spans="6:20">
      <c r="F279" s="51" t="s">
        <v>1293</v>
      </c>
      <c r="G279" s="51"/>
      <c r="H279" s="51" t="str">
        <f t="shared" si="4"/>
        <v>ABIO</v>
      </c>
      <c r="I279" s="51" t="s">
        <v>935</v>
      </c>
      <c r="J279" s="51" t="s">
        <v>1044</v>
      </c>
      <c r="K279" s="51" t="s">
        <v>1294</v>
      </c>
      <c r="L279" s="53">
        <f>O279*CFGRECT!$S$10</f>
        <v>110.5</v>
      </c>
      <c r="M279" s="53">
        <f>P279*CFGRECT!$T$10</f>
        <v>126.64999999999999</v>
      </c>
      <c r="N279" s="53"/>
      <c r="O279" s="226">
        <v>130</v>
      </c>
      <c r="P279" s="226">
        <v>149</v>
      </c>
      <c r="Q279" s="53"/>
      <c r="R279" s="56"/>
      <c r="S279" s="57"/>
      <c r="T279" s="53"/>
    </row>
    <row r="280" spans="6:20">
      <c r="F280" s="51" t="s">
        <v>1295</v>
      </c>
      <c r="G280" s="51"/>
      <c r="H280" s="51" t="str">
        <f t="shared" si="4"/>
        <v>ASIL</v>
      </c>
      <c r="I280" s="51" t="s">
        <v>935</v>
      </c>
      <c r="J280" s="51" t="s">
        <v>1044</v>
      </c>
      <c r="K280" s="51" t="s">
        <v>1296</v>
      </c>
      <c r="L280" s="53">
        <f>O280*CFGRECT!$S$10</f>
        <v>85</v>
      </c>
      <c r="M280" s="53">
        <f>P280*CFGRECT!$T$10</f>
        <v>91.8</v>
      </c>
      <c r="N280" s="53"/>
      <c r="O280" s="226">
        <v>100</v>
      </c>
      <c r="P280" s="226">
        <v>108</v>
      </c>
      <c r="Q280" s="53"/>
      <c r="R280" s="56"/>
      <c r="S280" s="57"/>
      <c r="T280" s="53"/>
    </row>
    <row r="281" spans="6:20">
      <c r="F281" s="51" t="s">
        <v>1297</v>
      </c>
      <c r="G281" s="51" t="s">
        <v>1042</v>
      </c>
      <c r="H281" s="51" t="str">
        <f t="shared" si="4"/>
        <v>AIR6419 B42 - 3500[64TRx]200w</v>
      </c>
      <c r="I281" s="51" t="s">
        <v>1023</v>
      </c>
      <c r="J281" s="51" t="s">
        <v>1031</v>
      </c>
      <c r="K281" s="51" t="s">
        <v>1298</v>
      </c>
      <c r="L281" s="53">
        <f>O281*CFGRECT!$S$10</f>
        <v>414.8</v>
      </c>
      <c r="M281" s="53">
        <f>P281*CFGRECT!$T$10</f>
        <v>786.25</v>
      </c>
      <c r="N281" s="53"/>
      <c r="O281" s="226">
        <v>488</v>
      </c>
      <c r="P281" s="226">
        <v>925</v>
      </c>
      <c r="Q281" s="53"/>
      <c r="R281" s="56"/>
      <c r="S281" s="57"/>
      <c r="T281" s="53"/>
    </row>
    <row r="282" spans="6:20">
      <c r="F282" s="51" t="s">
        <v>1297</v>
      </c>
      <c r="G282" s="51" t="s">
        <v>1279</v>
      </c>
      <c r="H282" s="51" t="str">
        <f t="shared" si="4"/>
        <v>AIR6419 B42 - 3500[64TRx]320w</v>
      </c>
      <c r="I282" s="51" t="s">
        <v>1023</v>
      </c>
      <c r="J282" s="51" t="s">
        <v>1031</v>
      </c>
      <c r="K282" s="51" t="s">
        <v>1298</v>
      </c>
      <c r="L282" s="53">
        <f>O282*CFGRECT!$S$10</f>
        <v>471.75</v>
      </c>
      <c r="M282" s="53">
        <f>P282*CFGRECT!$T$10</f>
        <v>979.19999999999993</v>
      </c>
      <c r="N282" s="53"/>
      <c r="O282" s="226">
        <v>555</v>
      </c>
      <c r="P282" s="226">
        <v>1152</v>
      </c>
      <c r="Q282" s="53"/>
      <c r="R282" s="56"/>
      <c r="S282" s="57"/>
      <c r="T282" s="53"/>
    </row>
    <row r="283" spans="6:20">
      <c r="F283" s="51" t="s">
        <v>1299</v>
      </c>
      <c r="G283" s="51" t="s">
        <v>1300</v>
      </c>
      <c r="H283" s="51" t="str">
        <f t="shared" si="4"/>
        <v>AIR3278 B78K - 3500[32TRx]200w</v>
      </c>
      <c r="I283" s="51" t="s">
        <v>1023</v>
      </c>
      <c r="J283" s="51" t="s">
        <v>1031</v>
      </c>
      <c r="K283" s="51" t="s">
        <v>1301</v>
      </c>
      <c r="L283" s="53">
        <f>O283*CFGRECT!$S$10</f>
        <v>423.3</v>
      </c>
      <c r="M283" s="53">
        <f>P283*CFGRECT!$T$10</f>
        <v>730.15</v>
      </c>
      <c r="N283" s="53"/>
      <c r="O283" s="226">
        <v>498</v>
      </c>
      <c r="P283" s="226">
        <v>859</v>
      </c>
      <c r="Q283" s="53"/>
      <c r="R283" s="56"/>
      <c r="S283" s="57"/>
      <c r="T283" s="53"/>
    </row>
    <row r="284" spans="6:20">
      <c r="F284" s="51" t="s">
        <v>1302</v>
      </c>
      <c r="G284" s="51" t="s">
        <v>1303</v>
      </c>
      <c r="H284" s="51" t="str">
        <f t="shared" si="4"/>
        <v>AIR1641 B3/B1 - 18+21[4*40]</v>
      </c>
      <c r="I284" s="51" t="s">
        <v>975</v>
      </c>
      <c r="J284" s="51" t="s">
        <v>1031</v>
      </c>
      <c r="K284" s="51" t="s">
        <v>1304</v>
      </c>
      <c r="L284" s="53">
        <f>O284*CFGRECT!$S$10</f>
        <v>976.65</v>
      </c>
      <c r="M284" s="53">
        <f>P284*CFGRECT!$T$10</f>
        <v>1539.35</v>
      </c>
      <c r="N284" s="53"/>
      <c r="O284" s="226">
        <v>1149</v>
      </c>
      <c r="P284" s="226">
        <v>1811</v>
      </c>
      <c r="Q284" s="53"/>
      <c r="R284" s="56"/>
      <c r="S284" s="57"/>
      <c r="T284" s="53"/>
    </row>
    <row r="285" spans="6:20">
      <c r="F285" s="51" t="s">
        <v>1305</v>
      </c>
      <c r="G285" s="51" t="s">
        <v>1104</v>
      </c>
      <c r="H285" s="51" t="str">
        <f t="shared" si="4"/>
        <v>AIR5322 B257 (AC) - 28G/26G[8*24 AE]</v>
      </c>
      <c r="I285" s="51" t="s">
        <v>1023</v>
      </c>
      <c r="J285" s="51" t="s">
        <v>1031</v>
      </c>
      <c r="K285" s="51"/>
      <c r="L285" s="53">
        <f>O285*CFGRECT!$S$10</f>
        <v>182.75</v>
      </c>
      <c r="M285" s="53">
        <f>P285*CFGRECT!$T$10</f>
        <v>234.6</v>
      </c>
      <c r="N285" s="53"/>
      <c r="O285" s="226">
        <v>215</v>
      </c>
      <c r="P285" s="226">
        <v>276</v>
      </c>
      <c r="Q285" s="53"/>
      <c r="R285" s="56"/>
      <c r="S285" s="57"/>
      <c r="T285" s="53"/>
    </row>
    <row r="286" spans="6:20">
      <c r="F286" s="51" t="s">
        <v>1033</v>
      </c>
      <c r="G286" s="51" t="s">
        <v>1005</v>
      </c>
      <c r="H286" s="51" t="str">
        <f t="shared" si="4"/>
        <v>RRU4428 B1 - 2100[4*40]</v>
      </c>
      <c r="I286" s="51" t="s">
        <v>975</v>
      </c>
      <c r="J286" s="51" t="s">
        <v>1031</v>
      </c>
      <c r="K286" s="51" t="s">
        <v>1306</v>
      </c>
      <c r="L286" s="53">
        <f>O286*CFGRECT!$S$10</f>
        <v>234.6</v>
      </c>
      <c r="M286" s="53">
        <f>P286*CFGRECT!$T$10</f>
        <v>414.8</v>
      </c>
      <c r="N286" s="53"/>
      <c r="O286" s="226">
        <v>276</v>
      </c>
      <c r="P286" s="226">
        <v>488</v>
      </c>
      <c r="Q286" s="53"/>
      <c r="R286" s="56"/>
      <c r="S286" s="57"/>
      <c r="T286" s="53"/>
    </row>
    <row r="287" spans="6:20">
      <c r="F287" s="51" t="s">
        <v>1307</v>
      </c>
      <c r="G287" s="51" t="s">
        <v>1308</v>
      </c>
      <c r="H287" s="51" t="str">
        <f t="shared" si="4"/>
        <v>RRU4466 B3/B1/B7 - 18+21+26[4*60/60/40]</v>
      </c>
      <c r="I287" s="51" t="s">
        <v>975</v>
      </c>
      <c r="J287" s="51" t="s">
        <v>1031</v>
      </c>
      <c r="K287" s="51" t="s">
        <v>1309</v>
      </c>
      <c r="L287" s="53">
        <f>O287*CFGRECT!$S$10</f>
        <v>718.25</v>
      </c>
      <c r="M287" s="53">
        <f>P287*CFGRECT!$T$10</f>
        <v>1551.25</v>
      </c>
      <c r="N287" s="53"/>
      <c r="O287" s="226">
        <v>845</v>
      </c>
      <c r="P287" s="226">
        <v>1825</v>
      </c>
      <c r="Q287" s="53"/>
      <c r="R287" s="56"/>
      <c r="S287" s="57"/>
      <c r="T287" s="53"/>
    </row>
    <row r="288" spans="6:20">
      <c r="F288" s="51" t="s">
        <v>1310</v>
      </c>
      <c r="G288" s="51" t="s">
        <v>1258</v>
      </c>
      <c r="H288" s="51" t="str">
        <f t="shared" si="4"/>
        <v>RRU4419 B7 - 2600[4*20]</v>
      </c>
      <c r="I288" s="51" t="s">
        <v>975</v>
      </c>
      <c r="J288" s="51" t="s">
        <v>1031</v>
      </c>
      <c r="K288" s="51"/>
      <c r="L288" s="53">
        <f>O288*CFGRECT!$S$10</f>
        <v>149.6</v>
      </c>
      <c r="M288" s="53">
        <f>P288*CFGRECT!$T$10</f>
        <v>285.59999999999997</v>
      </c>
      <c r="N288" s="53"/>
      <c r="O288" s="226">
        <v>176</v>
      </c>
      <c r="P288" s="226">
        <v>336</v>
      </c>
      <c r="Q288" s="53"/>
      <c r="R288" s="56"/>
      <c r="S288" s="57"/>
      <c r="T288" s="53"/>
    </row>
    <row r="289" spans="6:20">
      <c r="F289" s="51" t="s">
        <v>1310</v>
      </c>
      <c r="G289" s="51" t="s">
        <v>1020</v>
      </c>
      <c r="H289" s="51" t="str">
        <f t="shared" si="4"/>
        <v>RRU4419 B7 - 2600[4*40]</v>
      </c>
      <c r="I289" s="51" t="s">
        <v>975</v>
      </c>
      <c r="J289" s="51" t="s">
        <v>1031</v>
      </c>
      <c r="K289" s="51"/>
      <c r="L289" s="53">
        <f>O289*CFGRECT!$S$10</f>
        <v>255</v>
      </c>
      <c r="M289" s="53">
        <f>P289*CFGRECT!$T$10</f>
        <v>382.5</v>
      </c>
      <c r="N289" s="53"/>
      <c r="O289" s="226">
        <v>300</v>
      </c>
      <c r="P289" s="226">
        <v>450</v>
      </c>
      <c r="Q289" s="53"/>
      <c r="R289" s="56"/>
      <c r="S289" s="57"/>
      <c r="T289" s="53"/>
    </row>
    <row r="290" spans="6:20">
      <c r="F290" s="51" t="s">
        <v>1311</v>
      </c>
      <c r="G290" s="51" t="s">
        <v>1266</v>
      </c>
      <c r="H290" s="51" t="str">
        <f t="shared" si="4"/>
        <v>AIR3219 B40 - 2300[32TRx]240w</v>
      </c>
      <c r="I290" s="51" t="s">
        <v>1023</v>
      </c>
      <c r="J290" s="51" t="s">
        <v>1031</v>
      </c>
      <c r="K290" s="51"/>
      <c r="L290" s="53">
        <f>O290*CFGRECT!$S$10</f>
        <v>595</v>
      </c>
      <c r="M290" s="53">
        <f>P290*CFGRECT!$T$10</f>
        <v>807.5</v>
      </c>
      <c r="N290" s="53"/>
      <c r="O290" s="226">
        <v>700</v>
      </c>
      <c r="P290" s="226">
        <v>950</v>
      </c>
      <c r="Q290" s="53"/>
      <c r="R290" s="56"/>
      <c r="S290" s="57"/>
      <c r="T290" s="53"/>
    </row>
    <row r="291" spans="6:20">
      <c r="F291" s="51" t="s">
        <v>1312</v>
      </c>
      <c r="G291" s="51" t="s">
        <v>1300</v>
      </c>
      <c r="H291" s="51" t="str">
        <f t="shared" si="4"/>
        <v>AIR3268 B78Y - 3500[32TRx]200w</v>
      </c>
      <c r="I291" s="51" t="s">
        <v>1023</v>
      </c>
      <c r="J291" s="51" t="s">
        <v>1031</v>
      </c>
      <c r="K291" s="51"/>
      <c r="L291" s="53">
        <f>O291*CFGRECT!$S$10</f>
        <v>352.75</v>
      </c>
      <c r="M291" s="53">
        <f>P291*CFGRECT!$T$10</f>
        <v>739.5</v>
      </c>
      <c r="N291" s="53"/>
      <c r="O291" s="226">
        <v>415</v>
      </c>
      <c r="P291" s="226">
        <v>870</v>
      </c>
      <c r="Q291" s="53"/>
      <c r="R291" s="56"/>
      <c r="S291" s="57"/>
      <c r="T291" s="53"/>
    </row>
    <row r="292" spans="6:20">
      <c r="F292" s="51" t="s">
        <v>1313</v>
      </c>
      <c r="G292" s="51" t="s">
        <v>1300</v>
      </c>
      <c r="H292" s="51" t="str">
        <f t="shared" si="4"/>
        <v>AIR3268 B42 - 3500[32TRx]200w</v>
      </c>
      <c r="I292" s="51" t="s">
        <v>1023</v>
      </c>
      <c r="J292" s="51" t="s">
        <v>1031</v>
      </c>
      <c r="K292" s="51"/>
      <c r="L292" s="53">
        <f>O292*CFGRECT!$S$10</f>
        <v>331.5</v>
      </c>
      <c r="M292" s="53">
        <f>P292*CFGRECT!$T$10</f>
        <v>680</v>
      </c>
      <c r="N292" s="53"/>
      <c r="O292" s="226">
        <v>390</v>
      </c>
      <c r="P292" s="226">
        <v>800</v>
      </c>
      <c r="Q292" s="53"/>
      <c r="R292" s="56"/>
      <c r="S292" s="57"/>
      <c r="T292" s="53"/>
    </row>
    <row r="293" spans="6:20">
      <c r="F293" s="51" t="s">
        <v>1314</v>
      </c>
      <c r="G293" s="51" t="s">
        <v>1315</v>
      </c>
      <c r="H293" s="51" t="str">
        <f t="shared" si="4"/>
        <v>RRU4422 B42F - 3500[4*40]</v>
      </c>
      <c r="I293" s="51" t="s">
        <v>975</v>
      </c>
      <c r="J293" s="51" t="s">
        <v>1031</v>
      </c>
      <c r="K293" s="51"/>
      <c r="L293" s="53">
        <f>O293*CFGRECT!$S$10</f>
        <v>215.9</v>
      </c>
      <c r="M293" s="53">
        <f>P293*CFGRECT!$T$10</f>
        <v>403.75</v>
      </c>
      <c r="N293" s="53"/>
      <c r="O293" s="226">
        <v>254</v>
      </c>
      <c r="P293" s="226">
        <v>475</v>
      </c>
      <c r="Q293" s="53"/>
      <c r="R293" s="56"/>
      <c r="S293" s="57"/>
      <c r="T293" s="53"/>
    </row>
    <row r="294" spans="6:20">
      <c r="F294" s="51" t="s">
        <v>1314</v>
      </c>
      <c r="G294" s="51" t="s">
        <v>1316</v>
      </c>
      <c r="H294" s="51" t="str">
        <f t="shared" si="4"/>
        <v>RRU4422 B42F - 3500[4*20]</v>
      </c>
      <c r="I294" s="51" t="s">
        <v>975</v>
      </c>
      <c r="J294" s="51" t="s">
        <v>1031</v>
      </c>
      <c r="K294" s="51"/>
      <c r="L294" s="53">
        <f>O294*CFGRECT!$S$10</f>
        <v>170</v>
      </c>
      <c r="M294" s="53">
        <f>P294*CFGRECT!$T$10</f>
        <v>300.05</v>
      </c>
      <c r="N294" s="53"/>
      <c r="O294" s="226">
        <v>200</v>
      </c>
      <c r="P294" s="226">
        <v>353</v>
      </c>
      <c r="Q294" s="53"/>
      <c r="R294" s="56"/>
      <c r="S294" s="57"/>
      <c r="T294" s="53"/>
    </row>
    <row r="295" spans="6:20">
      <c r="F295" s="51" t="s">
        <v>1317</v>
      </c>
      <c r="G295" s="51" t="s">
        <v>1318</v>
      </c>
      <c r="H295" s="51" t="str">
        <f t="shared" si="4"/>
        <v>AHEGHA B3/B1/B7 - 18+21+26[4*60/60/60]</v>
      </c>
      <c r="I295" s="51" t="s">
        <v>975</v>
      </c>
      <c r="J295" s="51" t="s">
        <v>1044</v>
      </c>
      <c r="K295" s="51" t="s">
        <v>1319</v>
      </c>
      <c r="L295" s="53">
        <f>O295*CFGRECT!$S$10</f>
        <v>977.5</v>
      </c>
      <c r="M295" s="53">
        <f>P295*CFGRECT!$T$10</f>
        <v>1530</v>
      </c>
      <c r="N295" s="53"/>
      <c r="O295" s="226">
        <v>1150</v>
      </c>
      <c r="P295" s="226">
        <v>1800</v>
      </c>
      <c r="Q295" s="53"/>
      <c r="R295" s="56"/>
      <c r="S295" s="57"/>
      <c r="T295" s="53"/>
    </row>
    <row r="296" spans="6:20">
      <c r="F296" s="51" t="s">
        <v>1320</v>
      </c>
      <c r="G296" s="51"/>
      <c r="H296" s="51" t="str">
        <f t="shared" si="4"/>
        <v>BBU6651</v>
      </c>
      <c r="I296" s="51" t="s">
        <v>930</v>
      </c>
      <c r="J296" s="51" t="s">
        <v>1031</v>
      </c>
      <c r="K296" s="51" t="s">
        <v>1321</v>
      </c>
      <c r="L296" s="53">
        <f>O296*CFGRECT!$S$10</f>
        <v>215.9</v>
      </c>
      <c r="M296" s="53">
        <f>P296*CFGRECT!$T$10</f>
        <v>231.2</v>
      </c>
      <c r="N296" s="53"/>
      <c r="O296" s="226">
        <v>254</v>
      </c>
      <c r="P296" s="226">
        <v>272</v>
      </c>
      <c r="Q296" s="53"/>
      <c r="R296" s="56"/>
      <c r="S296" s="57"/>
      <c r="T296" s="53"/>
    </row>
    <row r="297" spans="6:20">
      <c r="F297" s="51" t="s">
        <v>1322</v>
      </c>
      <c r="G297" s="51" t="s">
        <v>1323</v>
      </c>
      <c r="H297" s="51" t="str">
        <f t="shared" si="4"/>
        <v>AIR3258 B78V - 3500[32TRx]320w</v>
      </c>
      <c r="I297" s="51" t="s">
        <v>1023</v>
      </c>
      <c r="J297" s="51" t="s">
        <v>1031</v>
      </c>
      <c r="K297" s="51" t="s">
        <v>1324</v>
      </c>
      <c r="L297" s="53">
        <f>O297*CFGRECT!$S$10</f>
        <v>620.5</v>
      </c>
      <c r="M297" s="53">
        <f>P297*CFGRECT!$T$10</f>
        <v>912.9</v>
      </c>
      <c r="N297" s="53"/>
      <c r="O297" s="226">
        <v>730</v>
      </c>
      <c r="P297" s="226">
        <v>1074</v>
      </c>
      <c r="Q297" s="53"/>
      <c r="R297" s="56"/>
      <c r="S297" s="57"/>
      <c r="T297" s="53"/>
    </row>
    <row r="298" spans="6:20">
      <c r="F298" s="51" t="s">
        <v>1322</v>
      </c>
      <c r="G298" s="51" t="s">
        <v>1300</v>
      </c>
      <c r="H298" s="51" t="str">
        <f t="shared" si="4"/>
        <v>AIR3258 B78V - 3500[32TRx]200w</v>
      </c>
      <c r="I298" s="51" t="s">
        <v>1023</v>
      </c>
      <c r="J298" s="51" t="s">
        <v>1031</v>
      </c>
      <c r="K298" s="51" t="s">
        <v>1324</v>
      </c>
      <c r="L298" s="53">
        <f>O298*CFGRECT!$S$10</f>
        <v>532.1</v>
      </c>
      <c r="M298" s="53">
        <f>P298*CFGRECT!$T$10</f>
        <v>723.35</v>
      </c>
      <c r="N298" s="53"/>
      <c r="O298" s="226">
        <v>626</v>
      </c>
      <c r="P298" s="226">
        <v>851</v>
      </c>
      <c r="Q298" s="53"/>
      <c r="R298" s="56"/>
      <c r="S298" s="57"/>
      <c r="T298" s="53"/>
    </row>
    <row r="299" spans="6:20">
      <c r="F299" s="51" t="s">
        <v>1325</v>
      </c>
      <c r="G299" s="51" t="s">
        <v>1039</v>
      </c>
      <c r="H299" s="51" t="str">
        <f t="shared" si="4"/>
        <v>AKNB N78 - 2300[4*50]</v>
      </c>
      <c r="I299" s="51" t="s">
        <v>975</v>
      </c>
      <c r="J299" s="51" t="s">
        <v>1044</v>
      </c>
      <c r="K299" s="51" t="s">
        <v>1326</v>
      </c>
      <c r="L299" s="53">
        <f>O299*CFGRECT!$S$10</f>
        <v>267.75</v>
      </c>
      <c r="M299" s="53">
        <f>P299*CFGRECT!$T$10</f>
        <v>322.14999999999998</v>
      </c>
      <c r="N299" s="51"/>
      <c r="O299" s="227">
        <v>315</v>
      </c>
      <c r="P299" s="227">
        <v>379</v>
      </c>
      <c r="Q299" s="51"/>
      <c r="R299" s="54"/>
      <c r="S299" s="55"/>
      <c r="T299" s="51"/>
    </row>
    <row r="300" spans="6:20">
      <c r="F300" s="51" t="s">
        <v>1325</v>
      </c>
      <c r="G300" s="51" t="s">
        <v>1327</v>
      </c>
      <c r="H300" s="51" t="str">
        <f t="shared" si="4"/>
        <v>AKNB N78 - 2300[8*50]</v>
      </c>
      <c r="I300" s="51" t="s">
        <v>975</v>
      </c>
      <c r="J300" s="51" t="s">
        <v>1044</v>
      </c>
      <c r="K300" s="51" t="s">
        <v>1326</v>
      </c>
      <c r="L300" s="53">
        <f>O300*CFGRECT!$S$10</f>
        <v>442.84999999999997</v>
      </c>
      <c r="M300" s="53">
        <f>P300*CFGRECT!$T$10</f>
        <v>551.65</v>
      </c>
      <c r="N300" s="51"/>
      <c r="O300" s="227">
        <v>521</v>
      </c>
      <c r="P300" s="227">
        <v>649</v>
      </c>
      <c r="Q300" s="51"/>
      <c r="R300" s="54"/>
      <c r="S300" s="55"/>
      <c r="T300" s="51"/>
    </row>
    <row r="301" spans="6:20">
      <c r="F301" s="51" t="s">
        <v>1328</v>
      </c>
      <c r="G301" s="51" t="s">
        <v>1329</v>
      </c>
      <c r="H301" s="51" t="str">
        <f t="shared" si="4"/>
        <v>AHPDC B28/B8 - 07+09[4*120]</v>
      </c>
      <c r="I301" s="51" t="s">
        <v>975</v>
      </c>
      <c r="J301" s="51" t="s">
        <v>1044</v>
      </c>
      <c r="K301" s="51"/>
      <c r="L301" s="53">
        <f>O301*CFGRECT!$S$10</f>
        <v>779.44999999999993</v>
      </c>
      <c r="M301" s="53">
        <f>P301*CFGRECT!$T$10</f>
        <v>933.3</v>
      </c>
      <c r="N301" s="51"/>
      <c r="O301" s="227">
        <v>917</v>
      </c>
      <c r="P301" s="227">
        <v>1098</v>
      </c>
      <c r="Q301" s="51">
        <v>577</v>
      </c>
      <c r="R301" s="54">
        <v>917</v>
      </c>
      <c r="S301" s="55">
        <v>1098</v>
      </c>
      <c r="T301" s="51">
        <v>1473</v>
      </c>
    </row>
    <row r="302" spans="6:20">
      <c r="F302" s="51" t="s">
        <v>1330</v>
      </c>
      <c r="G302" s="51" t="s">
        <v>1331</v>
      </c>
      <c r="H302" s="51" t="str">
        <f t="shared" si="4"/>
        <v>AHEGG B3/B1 - 18+21[4*60/60]</v>
      </c>
      <c r="I302" s="51" t="s">
        <v>975</v>
      </c>
      <c r="J302" s="51" t="s">
        <v>1044</v>
      </c>
      <c r="K302" s="51"/>
      <c r="L302" s="53">
        <f>O302*CFGRECT!$S$10</f>
        <v>661.3</v>
      </c>
      <c r="M302" s="53">
        <f>P302*CFGRECT!$T$10</f>
        <v>829.6</v>
      </c>
      <c r="N302" s="51"/>
      <c r="O302" s="227">
        <v>778</v>
      </c>
      <c r="P302" s="227">
        <v>976</v>
      </c>
      <c r="Q302" s="51">
        <v>430</v>
      </c>
      <c r="R302" s="54">
        <v>778</v>
      </c>
      <c r="S302" s="55">
        <v>976</v>
      </c>
      <c r="T302" s="51">
        <v>1404</v>
      </c>
    </row>
    <row r="303" spans="6:20">
      <c r="F303" s="51" t="s">
        <v>1330</v>
      </c>
      <c r="G303" s="51" t="s">
        <v>1140</v>
      </c>
      <c r="H303" s="51" t="str">
        <f t="shared" si="4"/>
        <v>AHEGG B3/B1 - 18+21[4*40/40]</v>
      </c>
      <c r="I303" s="51" t="s">
        <v>975</v>
      </c>
      <c r="J303" s="51" t="s">
        <v>1044</v>
      </c>
      <c r="K303" s="51"/>
      <c r="L303" s="53">
        <f>O303*CFGRECT!$S$10</f>
        <v>522.75</v>
      </c>
      <c r="M303" s="53">
        <f>P303*CFGRECT!$T$10</f>
        <v>646</v>
      </c>
      <c r="N303" s="51"/>
      <c r="O303" s="227">
        <v>615</v>
      </c>
      <c r="P303" s="227">
        <v>760</v>
      </c>
      <c r="Q303" s="51">
        <v>390</v>
      </c>
      <c r="R303" s="54">
        <v>615</v>
      </c>
      <c r="S303" s="55">
        <v>760</v>
      </c>
      <c r="T303" s="51">
        <v>1060</v>
      </c>
    </row>
    <row r="304" spans="6:20">
      <c r="F304" s="51" t="s">
        <v>1330</v>
      </c>
      <c r="G304" s="51" t="s">
        <v>1144</v>
      </c>
      <c r="H304" s="51" t="str">
        <f t="shared" si="4"/>
        <v>AHEGG B3/B1 - 18+21[4*30/30]</v>
      </c>
      <c r="I304" s="51" t="s">
        <v>975</v>
      </c>
      <c r="J304" s="51" t="s">
        <v>1044</v>
      </c>
      <c r="K304" s="51"/>
      <c r="L304" s="53">
        <f>O304*CFGRECT!$S$10</f>
        <v>463.25</v>
      </c>
      <c r="M304" s="53">
        <f>P304*CFGRECT!$T$10</f>
        <v>554.19999999999993</v>
      </c>
      <c r="N304" s="51"/>
      <c r="O304" s="227">
        <v>545</v>
      </c>
      <c r="P304" s="227">
        <v>652</v>
      </c>
      <c r="Q304" s="51">
        <v>382</v>
      </c>
      <c r="R304" s="54">
        <v>545</v>
      </c>
      <c r="S304" s="55">
        <v>652</v>
      </c>
      <c r="T304" s="51">
        <v>887</v>
      </c>
    </row>
    <row r="305" spans="6:20">
      <c r="F305" s="51" t="s">
        <v>1330</v>
      </c>
      <c r="G305" s="51" t="s">
        <v>1139</v>
      </c>
      <c r="H305" s="51" t="str">
        <f t="shared" si="4"/>
        <v>AHEGG B3/B1 - 18+21[4*20/20]</v>
      </c>
      <c r="I305" s="51" t="s">
        <v>975</v>
      </c>
      <c r="J305" s="51" t="s">
        <v>1044</v>
      </c>
      <c r="K305" s="51"/>
      <c r="L305" s="53">
        <f>O305*CFGRECT!$S$10</f>
        <v>408</v>
      </c>
      <c r="M305" s="53">
        <f>P305*CFGRECT!$T$10</f>
        <v>612</v>
      </c>
      <c r="N305" s="51"/>
      <c r="O305" s="227">
        <v>480</v>
      </c>
      <c r="P305" s="227">
        <v>720</v>
      </c>
      <c r="Q305" s="51">
        <v>370</v>
      </c>
      <c r="R305" s="54">
        <v>480</v>
      </c>
      <c r="S305" s="55">
        <v>560</v>
      </c>
      <c r="T305" s="51">
        <v>720</v>
      </c>
    </row>
    <row r="306" spans="6:20">
      <c r="F306" s="51" t="s">
        <v>1330</v>
      </c>
      <c r="G306" s="51" t="s">
        <v>1135</v>
      </c>
      <c r="H306" s="51" t="str">
        <f t="shared" si="4"/>
        <v>AHEGG B3/B1 - 18+21[2*60/60]</v>
      </c>
      <c r="I306" s="51" t="s">
        <v>975</v>
      </c>
      <c r="J306" s="51" t="s">
        <v>1044</v>
      </c>
      <c r="K306" s="51"/>
      <c r="L306" s="53">
        <f>O306*CFGRECT!$S$10</f>
        <v>365.5</v>
      </c>
      <c r="M306" s="53">
        <f>P306*CFGRECT!$T$10</f>
        <v>450.5</v>
      </c>
      <c r="N306" s="51"/>
      <c r="O306" s="227">
        <v>430</v>
      </c>
      <c r="P306" s="227">
        <v>530</v>
      </c>
      <c r="Q306" s="51">
        <v>250</v>
      </c>
      <c r="R306" s="54">
        <v>430</v>
      </c>
      <c r="S306" s="55">
        <v>530</v>
      </c>
      <c r="T306" s="51">
        <v>740</v>
      </c>
    </row>
    <row r="307" spans="6:20">
      <c r="F307" s="51" t="s">
        <v>1330</v>
      </c>
      <c r="G307" s="51" t="s">
        <v>1133</v>
      </c>
      <c r="H307" s="51" t="str">
        <f t="shared" si="4"/>
        <v>AHEGG B3/B1 - 18+21[2*40/40]</v>
      </c>
      <c r="I307" s="51" t="s">
        <v>975</v>
      </c>
      <c r="J307" s="51" t="s">
        <v>1044</v>
      </c>
      <c r="K307" s="51"/>
      <c r="L307" s="53">
        <f>O307*CFGRECT!$S$10</f>
        <v>289</v>
      </c>
      <c r="M307" s="53">
        <f>P307*CFGRECT!$T$10</f>
        <v>357</v>
      </c>
      <c r="N307" s="51"/>
      <c r="O307" s="227">
        <v>340</v>
      </c>
      <c r="P307" s="227">
        <v>420</v>
      </c>
      <c r="Q307" s="51">
        <v>230</v>
      </c>
      <c r="R307" s="54">
        <v>340</v>
      </c>
      <c r="S307" s="55">
        <v>420</v>
      </c>
      <c r="T307" s="51">
        <v>570</v>
      </c>
    </row>
    <row r="308" spans="6:20">
      <c r="F308" s="51" t="s">
        <v>1330</v>
      </c>
      <c r="G308" s="51" t="s">
        <v>1137</v>
      </c>
      <c r="H308" s="51" t="str">
        <f t="shared" si="4"/>
        <v>AHEGG B3/B1 - 18+21[2*20/20]</v>
      </c>
      <c r="I308" s="51" t="s">
        <v>975</v>
      </c>
      <c r="J308" s="51" t="s">
        <v>1044</v>
      </c>
      <c r="K308" s="51"/>
      <c r="L308" s="53">
        <f>O308*CFGRECT!$S$10</f>
        <v>238</v>
      </c>
      <c r="M308" s="53">
        <f>P308*CFGRECT!$T$10</f>
        <v>272</v>
      </c>
      <c r="N308" s="51"/>
      <c r="O308" s="227">
        <v>280</v>
      </c>
      <c r="P308" s="227">
        <v>320</v>
      </c>
      <c r="Q308" s="51">
        <v>220</v>
      </c>
      <c r="R308" s="54">
        <v>280</v>
      </c>
      <c r="S308" s="55">
        <v>320</v>
      </c>
      <c r="T308" s="51">
        <v>400</v>
      </c>
    </row>
    <row r="309" spans="6:20">
      <c r="F309" s="51" t="s">
        <v>1332</v>
      </c>
      <c r="G309" s="51" t="s">
        <v>1196</v>
      </c>
      <c r="H309" s="51" t="str">
        <f t="shared" si="4"/>
        <v>AKQJ N78 - 3500[8*40]</v>
      </c>
      <c r="I309" s="51" t="s">
        <v>975</v>
      </c>
      <c r="J309" s="51" t="s">
        <v>1044</v>
      </c>
      <c r="K309" s="51" t="s">
        <v>1333</v>
      </c>
      <c r="L309" s="53">
        <f>O309*CFGRECT!$S$10</f>
        <v>452.2</v>
      </c>
      <c r="M309" s="53">
        <f>P309*CFGRECT!$T$10</f>
        <v>559.29999999999995</v>
      </c>
      <c r="N309" s="51"/>
      <c r="O309" s="227">
        <v>532</v>
      </c>
      <c r="P309" s="227">
        <v>658</v>
      </c>
      <c r="Q309" s="51">
        <v>220</v>
      </c>
      <c r="R309" s="54">
        <v>532</v>
      </c>
      <c r="S309" s="55">
        <v>658</v>
      </c>
      <c r="T309" s="51">
        <v>960</v>
      </c>
    </row>
    <row r="310" spans="6:20">
      <c r="F310" s="51" t="s">
        <v>1332</v>
      </c>
      <c r="G310" s="51" t="s">
        <v>1260</v>
      </c>
      <c r="H310" s="51" t="str">
        <f t="shared" si="4"/>
        <v>AKQJ N78 - 3500[8*20]</v>
      </c>
      <c r="I310" s="51" t="s">
        <v>975</v>
      </c>
      <c r="J310" s="51" t="s">
        <v>1044</v>
      </c>
      <c r="K310" s="51" t="s">
        <v>1333</v>
      </c>
      <c r="L310" s="53">
        <f>O310*CFGRECT!$S$10</f>
        <v>338.3</v>
      </c>
      <c r="M310" s="53">
        <f>P310*CFGRECT!$T$10</f>
        <v>399.5</v>
      </c>
      <c r="N310" s="51"/>
      <c r="O310" s="227">
        <v>398</v>
      </c>
      <c r="P310" s="227">
        <v>470</v>
      </c>
      <c r="Q310" s="51">
        <v>219</v>
      </c>
      <c r="R310" s="54">
        <v>398</v>
      </c>
      <c r="S310" s="55">
        <v>470</v>
      </c>
      <c r="T310" s="51">
        <v>619</v>
      </c>
    </row>
    <row r="311" spans="6:20">
      <c r="F311" s="51" t="s">
        <v>1332</v>
      </c>
      <c r="G311" s="51" t="s">
        <v>1334</v>
      </c>
      <c r="H311" s="51" t="str">
        <f t="shared" si="4"/>
        <v>AKQJ N78 - 3500[8*10]</v>
      </c>
      <c r="I311" s="51" t="s">
        <v>975</v>
      </c>
      <c r="J311" s="51" t="s">
        <v>1044</v>
      </c>
      <c r="K311" s="51" t="s">
        <v>1333</v>
      </c>
      <c r="L311" s="53">
        <f>O311*CFGRECT!$S$10</f>
        <v>273.7</v>
      </c>
      <c r="M311" s="53">
        <f>P311*CFGRECT!$T$10</f>
        <v>310.25</v>
      </c>
      <c r="N311" s="51"/>
      <c r="O311" s="227">
        <v>322</v>
      </c>
      <c r="P311" s="227">
        <v>365</v>
      </c>
      <c r="Q311" s="51">
        <v>216</v>
      </c>
      <c r="R311" s="54">
        <v>322</v>
      </c>
      <c r="S311" s="55">
        <v>365</v>
      </c>
      <c r="T311" s="51">
        <v>453</v>
      </c>
    </row>
    <row r="312" spans="6:20">
      <c r="F312" s="51" t="s">
        <v>1332</v>
      </c>
      <c r="G312" s="51" t="s">
        <v>1335</v>
      </c>
      <c r="H312" s="51" t="str">
        <f t="shared" si="4"/>
        <v>AKQJ N78 - 3500[8*5]</v>
      </c>
      <c r="I312" s="51" t="s">
        <v>975</v>
      </c>
      <c r="J312" s="51" t="s">
        <v>1044</v>
      </c>
      <c r="K312" s="51" t="s">
        <v>1333</v>
      </c>
      <c r="L312" s="53">
        <f>O312*CFGRECT!$S$10</f>
        <v>234.6</v>
      </c>
      <c r="M312" s="53">
        <f>P312*CFGRECT!$T$10</f>
        <v>256.7</v>
      </c>
      <c r="N312" s="51"/>
      <c r="O312" s="227">
        <v>276</v>
      </c>
      <c r="P312" s="227">
        <v>302</v>
      </c>
      <c r="Q312" s="51">
        <v>214</v>
      </c>
      <c r="R312" s="54">
        <v>276</v>
      </c>
      <c r="S312" s="55">
        <v>302</v>
      </c>
      <c r="T312" s="51">
        <v>357</v>
      </c>
    </row>
    <row r="313" spans="6:20">
      <c r="F313" s="51" t="s">
        <v>1332</v>
      </c>
      <c r="G313" s="51" t="s">
        <v>1336</v>
      </c>
      <c r="H313" s="51" t="str">
        <f t="shared" si="4"/>
        <v>AKQJ N78 - 3500[8*2]</v>
      </c>
      <c r="I313" s="51" t="s">
        <v>975</v>
      </c>
      <c r="J313" s="51" t="s">
        <v>1044</v>
      </c>
      <c r="K313" s="51" t="s">
        <v>1333</v>
      </c>
      <c r="L313" s="53">
        <f>O313*CFGRECT!$S$10</f>
        <v>205.7</v>
      </c>
      <c r="M313" s="53">
        <f>P313*CFGRECT!$T$10</f>
        <v>217.6</v>
      </c>
      <c r="N313" s="51"/>
      <c r="O313" s="227">
        <v>242</v>
      </c>
      <c r="P313" s="227">
        <v>256</v>
      </c>
      <c r="Q313" s="51">
        <v>211</v>
      </c>
      <c r="R313" s="54">
        <v>242</v>
      </c>
      <c r="S313" s="55">
        <v>256</v>
      </c>
      <c r="T313" s="51">
        <v>286</v>
      </c>
    </row>
    <row r="314" spans="6:20">
      <c r="F314" s="51" t="s">
        <v>1332</v>
      </c>
      <c r="G314" s="51" t="s">
        <v>1315</v>
      </c>
      <c r="H314" s="51" t="str">
        <f t="shared" si="4"/>
        <v>AKQJ N78 - 3500[4*40]</v>
      </c>
      <c r="I314" s="51" t="s">
        <v>975</v>
      </c>
      <c r="J314" s="51" t="s">
        <v>1044</v>
      </c>
      <c r="K314" s="51" t="s">
        <v>1333</v>
      </c>
      <c r="L314" s="53">
        <f>O314*CFGRECT!$S$10</f>
        <v>270.3</v>
      </c>
      <c r="M314" s="53">
        <f>P314*CFGRECT!$T$10</f>
        <v>323</v>
      </c>
      <c r="N314" s="51"/>
      <c r="O314" s="227">
        <v>318</v>
      </c>
      <c r="P314" s="227">
        <v>380</v>
      </c>
      <c r="Q314" s="51">
        <v>167</v>
      </c>
      <c r="R314" s="54">
        <v>318</v>
      </c>
      <c r="S314" s="55">
        <v>380</v>
      </c>
      <c r="T314" s="51">
        <v>531</v>
      </c>
    </row>
    <row r="315" spans="6:20">
      <c r="F315" s="51" t="s">
        <v>1332</v>
      </c>
      <c r="G315" s="51" t="s">
        <v>1316</v>
      </c>
      <c r="H315" s="51" t="str">
        <f t="shared" si="4"/>
        <v>AKQJ N78 - 3500[4*20]</v>
      </c>
      <c r="I315" s="51" t="s">
        <v>975</v>
      </c>
      <c r="J315" s="51" t="s">
        <v>1044</v>
      </c>
      <c r="K315" s="51" t="s">
        <v>1333</v>
      </c>
      <c r="L315" s="53">
        <f>O315*CFGRECT!$S$10</f>
        <v>216.75</v>
      </c>
      <c r="M315" s="53">
        <f>P315*CFGRECT!$T$10</f>
        <v>248.2</v>
      </c>
      <c r="N315" s="51"/>
      <c r="O315" s="227">
        <v>255</v>
      </c>
      <c r="P315" s="227">
        <v>292</v>
      </c>
      <c r="Q315" s="51">
        <v>166</v>
      </c>
      <c r="R315" s="54">
        <v>255</v>
      </c>
      <c r="S315" s="55">
        <v>292</v>
      </c>
      <c r="T315" s="51">
        <v>366</v>
      </c>
    </row>
    <row r="316" spans="6:20">
      <c r="F316" s="51" t="s">
        <v>1332</v>
      </c>
      <c r="G316" s="51" t="s">
        <v>1337</v>
      </c>
      <c r="H316" s="51" t="str">
        <f t="shared" si="4"/>
        <v>AKQJ N78 - 3500[4*10]</v>
      </c>
      <c r="I316" s="51" t="s">
        <v>975</v>
      </c>
      <c r="J316" s="51" t="s">
        <v>1044</v>
      </c>
      <c r="K316" s="51" t="s">
        <v>1333</v>
      </c>
      <c r="L316" s="53">
        <f>O316*CFGRECT!$S$10</f>
        <v>185.29999999999998</v>
      </c>
      <c r="M316" s="53">
        <f>P316*CFGRECT!$T$10</f>
        <v>204</v>
      </c>
      <c r="N316" s="51"/>
      <c r="O316" s="227">
        <v>218</v>
      </c>
      <c r="P316" s="227">
        <v>240</v>
      </c>
      <c r="Q316" s="51">
        <v>164</v>
      </c>
      <c r="R316" s="54">
        <v>218</v>
      </c>
      <c r="S316" s="55">
        <v>240</v>
      </c>
      <c r="T316" s="51">
        <v>285</v>
      </c>
    </row>
    <row r="317" spans="6:20">
      <c r="F317" s="51" t="s">
        <v>1332</v>
      </c>
      <c r="G317" s="51" t="s">
        <v>1338</v>
      </c>
      <c r="H317" s="51" t="str">
        <f t="shared" si="4"/>
        <v>AKQJ N78 - 3500[4*5]</v>
      </c>
      <c r="I317" s="51" t="s">
        <v>975</v>
      </c>
      <c r="J317" s="51" t="s">
        <v>1044</v>
      </c>
      <c r="K317" s="51" t="s">
        <v>1333</v>
      </c>
      <c r="L317" s="53">
        <f>O317*CFGRECT!$S$10</f>
        <v>165.75</v>
      </c>
      <c r="M317" s="53">
        <f>P317*CFGRECT!$T$10</f>
        <v>176.79999999999998</v>
      </c>
      <c r="N317" s="51"/>
      <c r="O317" s="227">
        <v>195</v>
      </c>
      <c r="P317" s="227">
        <v>208</v>
      </c>
      <c r="Q317" s="51">
        <v>163</v>
      </c>
      <c r="R317" s="54">
        <v>195</v>
      </c>
      <c r="S317" s="55">
        <v>208</v>
      </c>
      <c r="T317" s="51">
        <v>236</v>
      </c>
    </row>
    <row r="318" spans="6:20">
      <c r="F318" s="51" t="s">
        <v>1332</v>
      </c>
      <c r="G318" s="51" t="s">
        <v>1339</v>
      </c>
      <c r="H318" s="51" t="str">
        <f t="shared" si="4"/>
        <v>AKQJ N78 - 3500[4*2]</v>
      </c>
      <c r="I318" s="51" t="s">
        <v>975</v>
      </c>
      <c r="J318" s="51" t="s">
        <v>1044</v>
      </c>
      <c r="K318" s="51" t="s">
        <v>1333</v>
      </c>
      <c r="L318" s="53">
        <f>O318*CFGRECT!$S$10</f>
        <v>151.29999999999998</v>
      </c>
      <c r="M318" s="53">
        <f>P318*CFGRECT!$T$10</f>
        <v>157.25</v>
      </c>
      <c r="N318" s="51"/>
      <c r="O318" s="227">
        <v>178</v>
      </c>
      <c r="P318" s="227">
        <v>185</v>
      </c>
      <c r="Q318" s="51">
        <v>162</v>
      </c>
      <c r="R318" s="54">
        <v>178</v>
      </c>
      <c r="S318" s="55">
        <v>185</v>
      </c>
      <c r="T318" s="51">
        <v>200</v>
      </c>
    </row>
    <row r="319" spans="6:20">
      <c r="F319" s="51" t="s">
        <v>1340</v>
      </c>
      <c r="G319" s="51" t="s">
        <v>1341</v>
      </c>
      <c r="H319" s="51" t="str">
        <f t="shared" si="4"/>
        <v>AWGUC N258 (AC) - 26G[2*196 AE]</v>
      </c>
      <c r="I319" s="51" t="s">
        <v>1023</v>
      </c>
      <c r="J319" s="51" t="s">
        <v>1044</v>
      </c>
      <c r="K319" s="51"/>
      <c r="L319" s="53">
        <f>O319*CFGRECT!$S$10</f>
        <v>172.54999999999998</v>
      </c>
      <c r="M319" s="53">
        <f>P319*CFGRECT!$T$10</f>
        <v>175.1</v>
      </c>
      <c r="N319" s="51"/>
      <c r="O319" s="226">
        <v>203</v>
      </c>
      <c r="P319" s="226">
        <v>206</v>
      </c>
      <c r="Q319" s="53">
        <v>209</v>
      </c>
      <c r="R319" s="53">
        <v>203</v>
      </c>
      <c r="S319" s="53">
        <v>206</v>
      </c>
      <c r="T319" s="53">
        <v>211</v>
      </c>
    </row>
    <row r="320" spans="6:20">
      <c r="F320" s="51" t="s">
        <v>1342</v>
      </c>
      <c r="G320" s="51" t="s">
        <v>1341</v>
      </c>
      <c r="H320" s="51" t="str">
        <f t="shared" si="4"/>
        <v>AWGUD N258 (DC) - 26G[2*196 AE]</v>
      </c>
      <c r="I320" s="51" t="s">
        <v>1023</v>
      </c>
      <c r="J320" s="51" t="s">
        <v>1044</v>
      </c>
      <c r="K320" s="51"/>
      <c r="L320" s="53">
        <f>O320*CFGRECT!$S$10</f>
        <v>164.04999999999998</v>
      </c>
      <c r="M320" s="53">
        <f>P320*CFGRECT!$T$10</f>
        <v>166.6</v>
      </c>
      <c r="N320" s="51"/>
      <c r="O320" s="226">
        <v>193</v>
      </c>
      <c r="P320" s="226">
        <v>196</v>
      </c>
      <c r="Q320" s="53">
        <v>189</v>
      </c>
      <c r="R320" s="53">
        <v>193</v>
      </c>
      <c r="S320" s="53">
        <v>196</v>
      </c>
      <c r="T320" s="53">
        <v>201</v>
      </c>
    </row>
    <row r="321" spans="6:20">
      <c r="F321" s="51" t="s">
        <v>1343</v>
      </c>
      <c r="G321" s="51" t="s">
        <v>1331</v>
      </c>
      <c r="H321" s="51" t="str">
        <f t="shared" si="4"/>
        <v>RRU4490HP B3/B1 - 18+21[4*60/60]</v>
      </c>
      <c r="I321" s="51" t="s">
        <v>975</v>
      </c>
      <c r="J321" s="51" t="s">
        <v>1031</v>
      </c>
      <c r="K321" s="51"/>
      <c r="L321" s="53">
        <f>O321*CFGRECT!$S$10</f>
        <v>437.75</v>
      </c>
      <c r="M321" s="53">
        <f>P321*CFGRECT!$T$10</f>
        <v>765</v>
      </c>
      <c r="N321" s="51"/>
      <c r="O321" s="226">
        <v>515</v>
      </c>
      <c r="P321" s="226">
        <v>900</v>
      </c>
      <c r="Q321" s="53"/>
      <c r="R321" s="53">
        <v>515</v>
      </c>
      <c r="S321" s="53">
        <v>900</v>
      </c>
      <c r="T321" s="53">
        <v>1139</v>
      </c>
    </row>
    <row r="322" spans="6:20">
      <c r="F322" s="51" t="s">
        <v>1344</v>
      </c>
      <c r="G322" s="51" t="s">
        <v>1316</v>
      </c>
      <c r="H322" s="51" t="str">
        <f t="shared" si="4"/>
        <v>AIR4435 B42 - 3500[4*20]</v>
      </c>
      <c r="I322" s="51" t="s">
        <v>1023</v>
      </c>
      <c r="J322" s="51" t="s">
        <v>1031</v>
      </c>
      <c r="K322" s="51"/>
      <c r="L322" s="53">
        <f>O322*CFGRECT!$S$10</f>
        <v>102.85</v>
      </c>
      <c r="M322" s="53">
        <f>P322*CFGRECT!$T$10</f>
        <v>202.29999999999998</v>
      </c>
      <c r="N322" s="51"/>
      <c r="O322" s="226">
        <v>121</v>
      </c>
      <c r="P322" s="226">
        <v>238</v>
      </c>
      <c r="Q322" s="53"/>
      <c r="R322" s="53">
        <v>121</v>
      </c>
      <c r="S322" s="53">
        <v>223</v>
      </c>
      <c r="T322" s="53">
        <v>223</v>
      </c>
    </row>
    <row r="323" spans="6:20">
      <c r="F323" s="51" t="s">
        <v>1307</v>
      </c>
      <c r="G323" s="51" t="s">
        <v>1345</v>
      </c>
      <c r="H323" s="51" t="str">
        <f t="shared" si="4"/>
        <v>RRU4466 B3/B1/B7 - 18+21+26[4*20/20/20]</v>
      </c>
      <c r="I323" s="51" t="s">
        <v>975</v>
      </c>
      <c r="J323" s="51" t="s">
        <v>1031</v>
      </c>
      <c r="K323" s="51"/>
      <c r="L323" s="53">
        <f>O323*CFGRECT!$S$10</f>
        <v>434.34999999999997</v>
      </c>
      <c r="M323" s="53">
        <f>P323*CFGRECT!$T$10</f>
        <v>836.4</v>
      </c>
      <c r="N323" s="51"/>
      <c r="O323" s="226">
        <v>511</v>
      </c>
      <c r="P323" s="226">
        <v>984</v>
      </c>
      <c r="Q323" s="53"/>
      <c r="R323" s="56"/>
      <c r="S323" s="57"/>
      <c r="T323" s="53"/>
    </row>
    <row r="324" spans="6:20">
      <c r="F324" s="51" t="s">
        <v>1317</v>
      </c>
      <c r="G324" s="51" t="s">
        <v>1345</v>
      </c>
      <c r="H324" s="51" t="str">
        <f t="shared" si="4"/>
        <v>AHEGHA B3/B1/B7 - 18+21+26[4*20/20/20]</v>
      </c>
      <c r="I324" s="51" t="s">
        <v>975</v>
      </c>
      <c r="J324" s="51" t="s">
        <v>1044</v>
      </c>
      <c r="K324" s="51"/>
      <c r="L324" s="53">
        <f>O324*CFGRECT!$S$10</f>
        <v>660.44999999999993</v>
      </c>
      <c r="M324" s="53">
        <f>P324*CFGRECT!$T$10</f>
        <v>965.6</v>
      </c>
      <c r="N324" s="51"/>
      <c r="O324" s="226">
        <v>777</v>
      </c>
      <c r="P324" s="226">
        <v>1136</v>
      </c>
      <c r="Q324" s="53"/>
      <c r="R324" s="53"/>
      <c r="S324" s="53"/>
      <c r="T324" s="53"/>
    </row>
    <row r="325" spans="6:20">
      <c r="F325" s="51" t="s">
        <v>1181</v>
      </c>
      <c r="G325" s="51" t="s">
        <v>1258</v>
      </c>
      <c r="H325" s="51" t="str">
        <f t="shared" si="4"/>
        <v>AHHB B7 - 2600[4*20]</v>
      </c>
      <c r="I325" s="51" t="s">
        <v>975</v>
      </c>
      <c r="J325" s="51" t="s">
        <v>1044</v>
      </c>
      <c r="K325" s="51" t="s">
        <v>1182</v>
      </c>
      <c r="L325" s="53">
        <f>O325*CFGRECT!$S$10</f>
        <v>179.35</v>
      </c>
      <c r="M325" s="53">
        <f>P325*CFGRECT!$T$10</f>
        <v>298.34999999999997</v>
      </c>
      <c r="N325" s="51"/>
      <c r="O325" s="226">
        <v>211</v>
      </c>
      <c r="P325" s="226">
        <v>351</v>
      </c>
      <c r="Q325" s="53"/>
      <c r="R325" s="53"/>
      <c r="S325" s="53"/>
      <c r="T325" s="53"/>
    </row>
    <row r="326" spans="6:20">
      <c r="F326" s="51" t="s">
        <v>1111</v>
      </c>
      <c r="G326" s="51" t="s">
        <v>1254</v>
      </c>
      <c r="H326" s="51" t="str">
        <f t="shared" si="4"/>
        <v>AHPDA B28/B8 - 07+09[4*20/20]</v>
      </c>
      <c r="I326" s="51" t="s">
        <v>975</v>
      </c>
      <c r="J326" s="51" t="s">
        <v>1044</v>
      </c>
      <c r="K326" s="51"/>
      <c r="L326" s="53">
        <f>O326*CFGRECT!$S$10</f>
        <v>515.1</v>
      </c>
      <c r="M326" s="53">
        <f>P326*CFGRECT!$T$10</f>
        <v>753.94999999999993</v>
      </c>
      <c r="N326" s="51"/>
      <c r="O326" s="226">
        <v>606</v>
      </c>
      <c r="P326" s="226">
        <v>887</v>
      </c>
      <c r="Q326" s="53"/>
      <c r="R326" s="53"/>
      <c r="S326" s="53"/>
      <c r="T326" s="53"/>
    </row>
    <row r="327" spans="6:20">
      <c r="F327" s="51" t="s">
        <v>1173</v>
      </c>
      <c r="G327" s="51" t="s">
        <v>1346</v>
      </c>
      <c r="H327" s="51" t="str">
        <f t="shared" si="4"/>
        <v>AZNA B40 - 2300[4*20]</v>
      </c>
      <c r="I327" s="51" t="s">
        <v>975</v>
      </c>
      <c r="J327" s="51" t="s">
        <v>1044</v>
      </c>
      <c r="K327" s="51" t="s">
        <v>1175</v>
      </c>
      <c r="L327" s="53">
        <f>O327*CFGRECT!$S$10</f>
        <v>121.55</v>
      </c>
      <c r="M327" s="53">
        <f>P327*CFGRECT!$T$10</f>
        <v>191.25</v>
      </c>
      <c r="N327" s="51"/>
      <c r="O327" s="226">
        <v>143</v>
      </c>
      <c r="P327" s="226">
        <v>225</v>
      </c>
      <c r="Q327" s="53"/>
      <c r="R327" s="53"/>
      <c r="S327" s="53"/>
      <c r="T327" s="53"/>
    </row>
    <row r="328" spans="6:20">
      <c r="F328" s="51" t="s">
        <v>1325</v>
      </c>
      <c r="G328" s="51" t="s">
        <v>1346</v>
      </c>
      <c r="H328" s="51" t="str">
        <f t="shared" si="4"/>
        <v>AKNB N78 - 2300[4*20]</v>
      </c>
      <c r="I328" s="51" t="s">
        <v>975</v>
      </c>
      <c r="J328" s="51" t="s">
        <v>1044</v>
      </c>
      <c r="K328" s="51" t="s">
        <v>1326</v>
      </c>
      <c r="L328" s="53">
        <f>O328*CFGRECT!$S$10</f>
        <v>198.9</v>
      </c>
      <c r="M328" s="53">
        <f>P328*CFGRECT!$T$10</f>
        <v>287.3</v>
      </c>
      <c r="N328" s="51"/>
      <c r="O328" s="226">
        <v>234</v>
      </c>
      <c r="P328" s="226">
        <v>338</v>
      </c>
      <c r="Q328" s="53"/>
      <c r="R328" s="53"/>
      <c r="S328" s="53"/>
      <c r="T328" s="53"/>
    </row>
    <row r="329" spans="6:20">
      <c r="F329" s="51" t="s">
        <v>1325</v>
      </c>
      <c r="G329" s="51" t="s">
        <v>1288</v>
      </c>
      <c r="H329" s="51" t="str">
        <f t="shared" si="4"/>
        <v>AKNB N78 - 2300[8*20]</v>
      </c>
      <c r="I329" s="51" t="s">
        <v>975</v>
      </c>
      <c r="J329" s="51" t="s">
        <v>1044</v>
      </c>
      <c r="K329" s="51" t="s">
        <v>1326</v>
      </c>
      <c r="L329" s="53">
        <f>O329*CFGRECT!$S$10</f>
        <v>303.45</v>
      </c>
      <c r="M329" s="53">
        <f>P329*CFGRECT!$T$10</f>
        <v>489.59999999999997</v>
      </c>
      <c r="N329" s="51"/>
      <c r="O329" s="226">
        <v>357</v>
      </c>
      <c r="P329" s="226">
        <v>576</v>
      </c>
      <c r="Q329" s="53"/>
      <c r="R329" s="53"/>
      <c r="S329" s="53"/>
      <c r="T329" s="53"/>
    </row>
    <row r="330" spans="6:20">
      <c r="F330" s="51" t="s">
        <v>1347</v>
      </c>
      <c r="G330" s="51" t="s">
        <v>1284</v>
      </c>
      <c r="H330" s="51" t="str">
        <f t="shared" si="4"/>
        <v>AWEUC N258 - 26G[2*96 AE]</v>
      </c>
      <c r="I330" s="51" t="s">
        <v>1023</v>
      </c>
      <c r="J330" s="51" t="s">
        <v>1044</v>
      </c>
      <c r="K330" s="51"/>
      <c r="L330" s="53">
        <f>O330*CFGRECT!$S$10</f>
        <v>175.95</v>
      </c>
      <c r="M330" s="53">
        <f>P330*CFGRECT!$T$10</f>
        <v>192.95</v>
      </c>
      <c r="N330" s="51"/>
      <c r="O330" s="226">
        <v>207</v>
      </c>
      <c r="P330" s="226">
        <v>227</v>
      </c>
      <c r="Q330" s="53"/>
      <c r="R330" s="53"/>
      <c r="S330" s="53"/>
      <c r="T330" s="53"/>
    </row>
    <row r="331" spans="6:20">
      <c r="F331" s="51" t="s">
        <v>1348</v>
      </c>
      <c r="G331" s="51" t="s">
        <v>1337</v>
      </c>
      <c r="H331" s="51" t="str">
        <f t="shared" ref="H331:H336" si="5">F331&amp;IF(G331="",""," - "&amp;G331)</f>
        <v>AWHQE N78 - 3500[4*10]</v>
      </c>
      <c r="I331" s="51" t="s">
        <v>975</v>
      </c>
      <c r="J331" s="51" t="s">
        <v>1044</v>
      </c>
      <c r="K331" s="51"/>
      <c r="L331" s="53">
        <f>O331*CFGRECT!$S$10</f>
        <v>101.14999999999999</v>
      </c>
      <c r="M331" s="53">
        <f>P331*CFGRECT!$T$10</f>
        <v>174.25</v>
      </c>
      <c r="N331" s="51"/>
      <c r="O331" s="226">
        <v>119</v>
      </c>
      <c r="P331" s="226">
        <v>205</v>
      </c>
      <c r="Q331" s="53"/>
      <c r="R331" s="53"/>
      <c r="S331" s="53"/>
      <c r="T331" s="53"/>
    </row>
    <row r="332" spans="6:20">
      <c r="F332" s="51" t="s">
        <v>1349</v>
      </c>
      <c r="G332" s="51" t="s">
        <v>1337</v>
      </c>
      <c r="H332" s="51" t="str">
        <f t="shared" si="5"/>
        <v>AWHQF N78 - 3500[4*10]</v>
      </c>
      <c r="I332" s="51" t="s">
        <v>975</v>
      </c>
      <c r="J332" s="51" t="s">
        <v>1044</v>
      </c>
      <c r="K332" s="51"/>
      <c r="L332" s="53">
        <f>O332*CFGRECT!$S$10</f>
        <v>101.14999999999999</v>
      </c>
      <c r="M332" s="53">
        <f>P332*CFGRECT!$T$10</f>
        <v>174.25</v>
      </c>
      <c r="N332" s="51"/>
      <c r="O332" s="226">
        <v>119</v>
      </c>
      <c r="P332" s="226">
        <v>205</v>
      </c>
      <c r="Q332" s="53"/>
      <c r="R332" s="53"/>
      <c r="S332" s="53"/>
      <c r="T332" s="53"/>
    </row>
    <row r="333" spans="6:20">
      <c r="F333" s="51" t="s">
        <v>1350</v>
      </c>
      <c r="G333" s="51" t="s">
        <v>1251</v>
      </c>
      <c r="H333" s="51" t="str">
        <f t="shared" si="5"/>
        <v>AIR1281 B257 (AC) - 28G[4*24 AE]</v>
      </c>
      <c r="I333" s="51" t="s">
        <v>1023</v>
      </c>
      <c r="J333" s="51" t="s">
        <v>1031</v>
      </c>
      <c r="K333" s="51"/>
      <c r="L333" s="53">
        <f>O333*CFGRECT!$S$10</f>
        <v>96.899999999999991</v>
      </c>
      <c r="M333" s="53">
        <f>P333*CFGRECT!$T$10</f>
        <v>136.85</v>
      </c>
      <c r="N333" s="53"/>
      <c r="O333" s="226">
        <v>114</v>
      </c>
      <c r="P333" s="226">
        <v>161</v>
      </c>
      <c r="Q333" s="51"/>
      <c r="R333" s="54"/>
      <c r="S333" s="55"/>
      <c r="T333" s="51"/>
    </row>
    <row r="334" spans="6:20">
      <c r="F334" s="51" t="s">
        <v>1307</v>
      </c>
      <c r="G334" s="51" t="s">
        <v>1351</v>
      </c>
      <c r="H334" s="51" t="str">
        <f t="shared" si="5"/>
        <v>RRU4466 B3/B1/B7 - 18+21+26[2*60/60/40]</v>
      </c>
      <c r="I334" s="51" t="s">
        <v>975</v>
      </c>
      <c r="J334" s="51" t="s">
        <v>1031</v>
      </c>
      <c r="K334" s="51"/>
      <c r="L334" s="53">
        <f>O334*CFGRECT!$S$10</f>
        <v>419.05</v>
      </c>
      <c r="M334" s="53">
        <f>P334*CFGRECT!$T$10</f>
        <v>854.25</v>
      </c>
      <c r="N334" s="53"/>
      <c r="O334" s="226">
        <v>493</v>
      </c>
      <c r="P334" s="226">
        <v>1005</v>
      </c>
      <c r="Q334" s="51"/>
      <c r="R334" s="54"/>
      <c r="S334" s="55"/>
      <c r="T334" s="51"/>
    </row>
    <row r="335" spans="6:20">
      <c r="F335" s="51" t="s">
        <v>1307</v>
      </c>
      <c r="G335" s="51" t="s">
        <v>1352</v>
      </c>
      <c r="H335" s="51" t="str">
        <f t="shared" si="5"/>
        <v>RRU4466 B3/B1/B7 - 18+21+26[2*20/20/20]</v>
      </c>
      <c r="I335" s="51" t="s">
        <v>975</v>
      </c>
      <c r="J335" s="51" t="s">
        <v>1031</v>
      </c>
      <c r="K335" s="51"/>
      <c r="L335" s="53">
        <f>O335*CFGRECT!$S$10</f>
        <v>288.14999999999998</v>
      </c>
      <c r="M335" s="53">
        <f>P335*CFGRECT!$T$10</f>
        <v>493.84999999999997</v>
      </c>
      <c r="N335" s="53"/>
      <c r="O335" s="226">
        <v>339</v>
      </c>
      <c r="P335" s="226">
        <v>581</v>
      </c>
      <c r="Q335" s="51"/>
      <c r="R335" s="54"/>
      <c r="S335" s="55"/>
      <c r="T335" s="51"/>
    </row>
    <row r="336" spans="6:20">
      <c r="F336" s="51" t="s">
        <v>1036</v>
      </c>
      <c r="G336" s="51" t="s">
        <v>1353</v>
      </c>
      <c r="H336" s="51" t="str">
        <f t="shared" si="5"/>
        <v>RRU4480 B3/B1 - 18+21[2*60/40]</v>
      </c>
      <c r="I336" s="51" t="s">
        <v>975</v>
      </c>
      <c r="J336" s="51" t="s">
        <v>1031</v>
      </c>
      <c r="K336" s="51"/>
      <c r="L336" s="53">
        <f>O336*CFGRECT!$S$10</f>
        <v>279.64999999999998</v>
      </c>
      <c r="M336" s="53">
        <f>P336*CFGRECT!$T$10</f>
        <v>574.6</v>
      </c>
      <c r="N336" s="53"/>
      <c r="O336" s="226">
        <v>329</v>
      </c>
      <c r="P336" s="226">
        <v>676</v>
      </c>
      <c r="Q336" s="51"/>
      <c r="R336" s="54"/>
      <c r="S336" s="55"/>
      <c r="T336" s="51"/>
    </row>
    <row r="337" spans="6:21">
      <c r="F337" s="51" t="s">
        <v>1036</v>
      </c>
      <c r="G337" s="51" t="s">
        <v>1137</v>
      </c>
      <c r="H337" s="51" t="str">
        <f t="shared" ref="H337:H400" si="6">F337&amp;IF(G337="",""," - "&amp;G337)</f>
        <v>RRU4480 B3/B1 - 18+21[2*20/20]</v>
      </c>
      <c r="I337" s="51" t="s">
        <v>975</v>
      </c>
      <c r="J337" s="51" t="s">
        <v>1031</v>
      </c>
      <c r="K337" s="51"/>
      <c r="L337" s="53">
        <f>O337*CFGRECT!$S$10</f>
        <v>185.29999999999998</v>
      </c>
      <c r="M337" s="53">
        <f>P337*CFGRECT!$T$10</f>
        <v>322.14999999999998</v>
      </c>
      <c r="N337" s="51"/>
      <c r="O337" s="226">
        <v>218</v>
      </c>
      <c r="P337" s="226">
        <v>379</v>
      </c>
      <c r="Q337" s="51"/>
      <c r="R337" s="54"/>
      <c r="S337" s="55"/>
      <c r="T337" s="51"/>
    </row>
    <row r="338" spans="6:21">
      <c r="F338" s="51" t="s">
        <v>1317</v>
      </c>
      <c r="G338" s="51" t="s">
        <v>1354</v>
      </c>
      <c r="H338" s="51" t="str">
        <f t="shared" si="6"/>
        <v>AHEGHA B3/B1/B7 - 18+21+26[2*60/60/60]</v>
      </c>
      <c r="I338" s="51" t="s">
        <v>975</v>
      </c>
      <c r="J338" s="51" t="s">
        <v>1044</v>
      </c>
      <c r="K338" s="51"/>
      <c r="L338" s="53">
        <f>O338*CFGRECT!$S$10</f>
        <v>595</v>
      </c>
      <c r="M338" s="53">
        <f>P338*CFGRECT!$T$10</f>
        <v>714</v>
      </c>
      <c r="N338" s="51"/>
      <c r="O338" s="226">
        <v>700</v>
      </c>
      <c r="P338" s="226">
        <v>840</v>
      </c>
      <c r="Q338" s="51"/>
      <c r="R338" s="54"/>
      <c r="S338" s="55"/>
      <c r="T338" s="51"/>
    </row>
    <row r="339" spans="6:21">
      <c r="F339" s="51" t="s">
        <v>1317</v>
      </c>
      <c r="G339" s="51" t="s">
        <v>1352</v>
      </c>
      <c r="H339" s="51" t="str">
        <f t="shared" si="6"/>
        <v>AHEGHA B3/B1/B7 - 18+21+26[2*20/20/20]</v>
      </c>
      <c r="I339" s="51" t="s">
        <v>975</v>
      </c>
      <c r="J339" s="51" t="s">
        <v>1044</v>
      </c>
      <c r="K339" s="51"/>
      <c r="L339" s="53">
        <f>O339*CFGRECT!$S$10</f>
        <v>396.27</v>
      </c>
      <c r="M339" s="53">
        <f>P339*CFGRECT!$T$10</f>
        <v>579.36</v>
      </c>
      <c r="N339" s="51"/>
      <c r="O339" s="226">
        <f>777*0.6</f>
        <v>466.2</v>
      </c>
      <c r="P339" s="226">
        <f>1136*0.6</f>
        <v>681.6</v>
      </c>
      <c r="Q339" s="51"/>
      <c r="R339" s="54"/>
      <c r="S339" s="55"/>
      <c r="T339" s="51"/>
    </row>
    <row r="340" spans="6:21">
      <c r="F340" s="51" t="s">
        <v>1328</v>
      </c>
      <c r="G340" s="51" t="s">
        <v>1355</v>
      </c>
      <c r="H340" s="51" t="str">
        <f t="shared" si="6"/>
        <v>AHPDC B28/B8 - 07+09[2*120]</v>
      </c>
      <c r="I340" s="51" t="s">
        <v>975</v>
      </c>
      <c r="J340" s="51" t="s">
        <v>1044</v>
      </c>
      <c r="K340" s="51"/>
      <c r="L340" s="53">
        <f>O340*CFGRECT!$S$10</f>
        <v>467.6699999999999</v>
      </c>
      <c r="M340" s="53">
        <f>P340*CFGRECT!$T$10</f>
        <v>559.9799999999999</v>
      </c>
      <c r="N340" s="51"/>
      <c r="O340" s="227">
        <f>917*0.6</f>
        <v>550.19999999999993</v>
      </c>
      <c r="P340" s="227">
        <f>1098*0.6</f>
        <v>658.8</v>
      </c>
      <c r="Q340" s="51"/>
      <c r="R340" s="54"/>
      <c r="S340" s="55"/>
      <c r="T340" s="51"/>
    </row>
    <row r="341" spans="6:21">
      <c r="F341" s="49" t="str">
        <f>"RRU662"&amp;_xlfn.UNICHAR(8203)&amp;"6 B28/B8"</f>
        <v>RRU662​6 B28/B8</v>
      </c>
      <c r="G341" s="229" t="s">
        <v>1356</v>
      </c>
      <c r="H341" s="51" t="str">
        <f t="shared" si="6"/>
        <v>RRU662​6 B28/B8 - 07+09[6*120]</v>
      </c>
      <c r="I341" s="49" t="s">
        <v>975</v>
      </c>
      <c r="J341" s="49" t="s">
        <v>1031</v>
      </c>
      <c r="K341" s="49" t="s">
        <v>1357</v>
      </c>
      <c r="L341" s="53">
        <f>O341*CFGRECT!$S$10</f>
        <v>695.3</v>
      </c>
      <c r="M341" s="53">
        <f>P341*CFGRECT!$T$10</f>
        <v>977.5</v>
      </c>
      <c r="N341" s="26"/>
      <c r="O341" s="227">
        <v>818</v>
      </c>
      <c r="P341" s="227">
        <v>1150</v>
      </c>
      <c r="Q341" s="26"/>
      <c r="R341" s="26">
        <v>818</v>
      </c>
      <c r="S341" s="26">
        <v>1150</v>
      </c>
      <c r="T341" s="26">
        <v>1796</v>
      </c>
    </row>
    <row r="342" spans="6:21">
      <c r="F342" s="51" t="s">
        <v>1358</v>
      </c>
      <c r="G342" s="51" t="s">
        <v>1323</v>
      </c>
      <c r="H342" s="51" t="str">
        <f t="shared" si="6"/>
        <v>AVQC N78  - 3500[32TRx]320w</v>
      </c>
      <c r="I342" s="51" t="s">
        <v>1023</v>
      </c>
      <c r="J342" s="51" t="s">
        <v>1044</v>
      </c>
      <c r="K342" s="51" t="s">
        <v>1359</v>
      </c>
      <c r="L342" s="53">
        <f>O342*CFGRECT!$S$10</f>
        <v>584.79999999999995</v>
      </c>
      <c r="M342" s="53">
        <f>P342*CFGRECT!$T$10</f>
        <v>663</v>
      </c>
      <c r="N342" s="127"/>
      <c r="O342" s="227">
        <v>688</v>
      </c>
      <c r="P342" s="227">
        <v>780</v>
      </c>
      <c r="Q342" s="127">
        <v>489</v>
      </c>
      <c r="R342" s="127">
        <v>688</v>
      </c>
      <c r="S342" s="127">
        <v>780</v>
      </c>
      <c r="T342" s="127">
        <v>975</v>
      </c>
      <c r="U342">
        <v>583</v>
      </c>
    </row>
    <row r="343" spans="6:21">
      <c r="F343" s="51" t="s">
        <v>1360</v>
      </c>
      <c r="G343" s="51" t="s">
        <v>1279</v>
      </c>
      <c r="H343" s="51" t="str">
        <f t="shared" si="6"/>
        <v>AVQL N78 - 3500[64TRx]320w</v>
      </c>
      <c r="I343" s="51" t="s">
        <v>1023</v>
      </c>
      <c r="J343" s="51" t="s">
        <v>1044</v>
      </c>
      <c r="K343" s="51" t="s">
        <v>1361</v>
      </c>
      <c r="L343" s="53">
        <f>O343*CFGRECT!$S$10</f>
        <v>1008.9499999999999</v>
      </c>
      <c r="M343" s="53">
        <f>P343*CFGRECT!$T$10</f>
        <v>1141.55</v>
      </c>
      <c r="N343" s="127"/>
      <c r="O343" s="227">
        <v>1187</v>
      </c>
      <c r="P343" s="227">
        <v>1343</v>
      </c>
      <c r="Q343" s="127">
        <v>924</v>
      </c>
      <c r="R343" s="127">
        <v>1187</v>
      </c>
      <c r="S343" s="127">
        <v>1343</v>
      </c>
      <c r="T343" s="127">
        <v>1694</v>
      </c>
      <c r="U343">
        <v>570</v>
      </c>
    </row>
    <row r="344" spans="6:21">
      <c r="F344" s="49" t="str">
        <f>"RRU662"&amp;_xlfn.UNICHAR(8203)&amp;"6 B28/B8"</f>
        <v>RRU662​6 B28/B8</v>
      </c>
      <c r="G344" s="49" t="s">
        <v>1329</v>
      </c>
      <c r="H344" s="51" t="str">
        <f t="shared" si="6"/>
        <v>RRU662​6 B28/B8 - 07+09[4*120]</v>
      </c>
      <c r="I344" s="49" t="s">
        <v>975</v>
      </c>
      <c r="J344" s="49" t="s">
        <v>1031</v>
      </c>
      <c r="K344" s="49" t="s">
        <v>1362</v>
      </c>
      <c r="L344" s="53">
        <f>O344*CFGRECT!$S$10</f>
        <v>531.25</v>
      </c>
      <c r="M344" s="53">
        <f>P344*CFGRECT!$T$10</f>
        <v>742.05</v>
      </c>
      <c r="N344" s="26"/>
      <c r="O344" s="227">
        <v>625</v>
      </c>
      <c r="P344" s="227">
        <v>873</v>
      </c>
      <c r="Q344" s="26"/>
      <c r="R344" s="26">
        <v>625</v>
      </c>
      <c r="S344" s="26">
        <v>873</v>
      </c>
      <c r="T344" s="26">
        <v>1352</v>
      </c>
    </row>
    <row r="345" spans="6:21">
      <c r="F345" s="51" t="s">
        <v>1363</v>
      </c>
      <c r="G345" s="51" t="s">
        <v>1279</v>
      </c>
      <c r="H345" s="51" t="str">
        <f t="shared" si="6"/>
        <v>AIR6419 B78Y - 3500[64TRx]320w</v>
      </c>
      <c r="I345" s="51" t="s">
        <v>1023</v>
      </c>
      <c r="J345" s="51" t="s">
        <v>1031</v>
      </c>
      <c r="K345" s="51" t="s">
        <v>1364</v>
      </c>
      <c r="L345" s="53">
        <f>O345*CFGRECT!$S$10</f>
        <v>555.9</v>
      </c>
      <c r="M345" s="53">
        <f>P345*CFGRECT!$T$10</f>
        <v>676.6</v>
      </c>
      <c r="N345" s="127"/>
      <c r="O345" s="227">
        <v>654</v>
      </c>
      <c r="P345" s="227">
        <v>796</v>
      </c>
      <c r="Q345" s="127"/>
      <c r="R345" s="127">
        <v>654</v>
      </c>
      <c r="S345" s="127">
        <v>796</v>
      </c>
      <c r="T345" s="127">
        <v>1138</v>
      </c>
    </row>
    <row r="346" spans="6:21">
      <c r="F346" s="51" t="s">
        <v>1365</v>
      </c>
      <c r="G346" s="51"/>
      <c r="H346" s="51" t="str">
        <f t="shared" si="6"/>
        <v>BBU6655</v>
      </c>
      <c r="I346" s="51" t="s">
        <v>930</v>
      </c>
      <c r="J346" s="51" t="s">
        <v>1031</v>
      </c>
      <c r="K346" s="51" t="s">
        <v>1366</v>
      </c>
      <c r="L346" s="53">
        <f>O346*CFGRECT!$S$10</f>
        <v>90.1</v>
      </c>
      <c r="M346" s="53">
        <f>P346*CFGRECT!$T$10</f>
        <v>102</v>
      </c>
      <c r="N346" s="127"/>
      <c r="O346" s="227">
        <v>106</v>
      </c>
      <c r="P346" s="227">
        <v>120</v>
      </c>
      <c r="Q346" s="127"/>
      <c r="R346" s="127">
        <v>106</v>
      </c>
      <c r="S346" s="127">
        <v>120</v>
      </c>
      <c r="T346" s="127">
        <v>223</v>
      </c>
    </row>
    <row r="347" spans="6:21">
      <c r="F347" s="51" t="s">
        <v>372</v>
      </c>
      <c r="G347" s="51"/>
      <c r="H347" s="51" t="str">
        <f t="shared" si="6"/>
        <v>BBU6672</v>
      </c>
      <c r="I347" s="51" t="s">
        <v>930</v>
      </c>
      <c r="J347" s="51" t="s">
        <v>1031</v>
      </c>
      <c r="K347" s="51" t="s">
        <v>1367</v>
      </c>
      <c r="L347" s="53">
        <f>O347*CFGRECT!$S$10</f>
        <v>139.4</v>
      </c>
      <c r="M347" s="53">
        <f>P347*CFGRECT!$T$10</f>
        <v>158.1</v>
      </c>
      <c r="N347" s="127"/>
      <c r="O347" s="227">
        <v>164</v>
      </c>
      <c r="P347" s="227">
        <v>186</v>
      </c>
      <c r="Q347" s="127"/>
      <c r="R347" s="127">
        <v>164</v>
      </c>
      <c r="S347" s="127">
        <v>186</v>
      </c>
      <c r="T347" s="127">
        <v>336</v>
      </c>
    </row>
    <row r="348" spans="6:21">
      <c r="F348" s="51" t="s">
        <v>377</v>
      </c>
      <c r="G348" s="51"/>
      <c r="H348" s="51" t="str">
        <f t="shared" si="6"/>
        <v>ABIP</v>
      </c>
      <c r="I348" s="51" t="s">
        <v>935</v>
      </c>
      <c r="J348" s="51" t="s">
        <v>1044</v>
      </c>
      <c r="K348" s="51" t="s">
        <v>1294</v>
      </c>
      <c r="L348" s="53">
        <f>O348*CFGRECT!$S$10</f>
        <v>59.5</v>
      </c>
      <c r="M348" s="53">
        <f>P348*CFGRECT!$T$10</f>
        <v>65.45</v>
      </c>
      <c r="N348" s="127"/>
      <c r="O348" s="227">
        <v>70</v>
      </c>
      <c r="P348" s="227">
        <v>77</v>
      </c>
      <c r="Q348" s="127"/>
      <c r="R348" s="127"/>
      <c r="S348" s="127"/>
      <c r="T348" s="127"/>
    </row>
    <row r="349" spans="6:21">
      <c r="F349" s="51" t="s">
        <v>376</v>
      </c>
      <c r="G349" s="51"/>
      <c r="H349" s="51" t="str">
        <f t="shared" si="6"/>
        <v>ASIM</v>
      </c>
      <c r="I349" s="51" t="s">
        <v>935</v>
      </c>
      <c r="J349" s="51" t="s">
        <v>1044</v>
      </c>
      <c r="K349" s="51" t="s">
        <v>1296</v>
      </c>
      <c r="L349" s="53">
        <f>O349*CFGRECT!$S$10</f>
        <v>44.199999999999996</v>
      </c>
      <c r="M349" s="53">
        <f>P349*CFGRECT!$T$10</f>
        <v>48.449999999999996</v>
      </c>
      <c r="N349" s="127"/>
      <c r="O349" s="227">
        <v>52</v>
      </c>
      <c r="P349" s="227">
        <v>57</v>
      </c>
      <c r="Q349" s="127"/>
      <c r="R349" s="127"/>
      <c r="S349" s="127"/>
      <c r="T349" s="127"/>
    </row>
    <row r="350" spans="6:21">
      <c r="F350" s="51" t="s">
        <v>375</v>
      </c>
      <c r="G350" s="51"/>
      <c r="H350" s="51" t="str">
        <f t="shared" si="6"/>
        <v>AMID</v>
      </c>
      <c r="I350" s="51" t="s">
        <v>1049</v>
      </c>
      <c r="J350" s="51" t="s">
        <v>1044</v>
      </c>
      <c r="K350" s="51" t="s">
        <v>1050</v>
      </c>
      <c r="L350" s="53">
        <f>O350*CFGRECT!$S$10</f>
        <v>17</v>
      </c>
      <c r="M350" s="53">
        <f>P350*CFGRECT!$T$10</f>
        <v>34</v>
      </c>
      <c r="N350" s="127"/>
      <c r="O350" s="227">
        <v>20</v>
      </c>
      <c r="P350" s="227">
        <v>40</v>
      </c>
      <c r="Q350" s="127"/>
      <c r="R350" s="127"/>
      <c r="S350" s="127"/>
      <c r="T350" s="127"/>
    </row>
    <row r="351" spans="6:21">
      <c r="F351" s="51" t="s">
        <v>1368</v>
      </c>
      <c r="G351" s="51"/>
      <c r="H351" s="51" t="str">
        <f t="shared" si="6"/>
        <v>ABIQ</v>
      </c>
      <c r="I351" s="51" t="s">
        <v>935</v>
      </c>
      <c r="J351" s="51" t="s">
        <v>1044</v>
      </c>
      <c r="K351" s="51" t="s">
        <v>1294</v>
      </c>
      <c r="L351" s="53">
        <f>O351*CFGRECT!$S$10</f>
        <v>59.5</v>
      </c>
      <c r="M351" s="53">
        <f>P351*CFGRECT!$T$10</f>
        <v>65.45</v>
      </c>
      <c r="N351" s="127"/>
      <c r="O351" s="227">
        <v>70</v>
      </c>
      <c r="P351" s="227">
        <v>77</v>
      </c>
      <c r="Q351" s="127"/>
      <c r="R351" s="127"/>
      <c r="S351" s="127"/>
      <c r="T351" s="127"/>
    </row>
    <row r="352" spans="6:21">
      <c r="F352" s="49" t="s">
        <v>1241</v>
      </c>
      <c r="G352" s="49" t="s">
        <v>1369</v>
      </c>
      <c r="H352" s="51" t="str">
        <f t="shared" si="6"/>
        <v>RRU4480 B28/B8 - 07+09[2*20/20]</v>
      </c>
      <c r="I352" s="49" t="s">
        <v>975</v>
      </c>
      <c r="J352" s="49" t="s">
        <v>1031</v>
      </c>
      <c r="K352" s="49" t="s">
        <v>1370</v>
      </c>
      <c r="L352" s="53">
        <f>O352*CFGRECT!$S$10</f>
        <v>265.2</v>
      </c>
      <c r="M352" s="53">
        <f>P352*CFGRECT!$T$10</f>
        <v>418.2</v>
      </c>
      <c r="N352" s="26"/>
      <c r="O352" s="227">
        <v>312</v>
      </c>
      <c r="P352" s="227">
        <v>492</v>
      </c>
      <c r="Q352" s="26"/>
      <c r="R352" s="26"/>
      <c r="S352" s="26"/>
      <c r="T352" s="26"/>
    </row>
    <row r="353" spans="6:20">
      <c r="F353" s="49" t="s">
        <v>1241</v>
      </c>
      <c r="G353" s="49" t="s">
        <v>1371</v>
      </c>
      <c r="H353" s="51" t="str">
        <f t="shared" si="6"/>
        <v>RRU4480 B28/B8 - 07+09[2*40/40]</v>
      </c>
      <c r="I353" s="49" t="s">
        <v>975</v>
      </c>
      <c r="J353" s="49" t="s">
        <v>1031</v>
      </c>
      <c r="K353" s="49" t="s">
        <v>1372</v>
      </c>
      <c r="L353" s="53">
        <f>O353*CFGRECT!$S$10</f>
        <v>313.64999999999998</v>
      </c>
      <c r="M353" s="53">
        <f>P353*CFGRECT!$T$10</f>
        <v>558.44999999999993</v>
      </c>
      <c r="N353" s="26"/>
      <c r="O353" s="227">
        <v>369</v>
      </c>
      <c r="P353" s="227">
        <v>657</v>
      </c>
      <c r="Q353" s="26"/>
      <c r="R353" s="26"/>
      <c r="S353" s="26"/>
      <c r="T353" s="26"/>
    </row>
    <row r="354" spans="6:20">
      <c r="F354" s="49" t="s">
        <v>1241</v>
      </c>
      <c r="G354" s="49" t="s">
        <v>1373</v>
      </c>
      <c r="H354" s="51" t="str">
        <f t="shared" si="6"/>
        <v>RRU4480 B28/B8 - 07+09[2*40/60]</v>
      </c>
      <c r="I354" s="49" t="s">
        <v>975</v>
      </c>
      <c r="J354" s="49" t="s">
        <v>1031</v>
      </c>
      <c r="K354" s="49" t="s">
        <v>1374</v>
      </c>
      <c r="L354" s="53">
        <f>O354*CFGRECT!$S$10</f>
        <v>338.3</v>
      </c>
      <c r="M354" s="53">
        <f>P354*CFGRECT!$T$10</f>
        <v>633.25</v>
      </c>
      <c r="N354" s="26"/>
      <c r="O354" s="227">
        <v>398</v>
      </c>
      <c r="P354" s="227">
        <v>745</v>
      </c>
      <c r="Q354" s="26"/>
      <c r="R354" s="26"/>
      <c r="S354" s="26"/>
      <c r="T354" s="26"/>
    </row>
    <row r="355" spans="6:20">
      <c r="F355" s="49"/>
      <c r="G355" s="49"/>
      <c r="H355" s="51" t="str">
        <f t="shared" si="6"/>
        <v/>
      </c>
      <c r="I355" s="49"/>
      <c r="J355" s="49"/>
      <c r="K355" s="49"/>
      <c r="L355" s="53">
        <f>O355*CFGRECT!$S$10</f>
        <v>0</v>
      </c>
      <c r="M355" s="53">
        <f>P355*CFGRECT!$T$10</f>
        <v>0</v>
      </c>
      <c r="N355" s="26"/>
      <c r="O355" s="227"/>
      <c r="P355" s="227"/>
      <c r="Q355" s="26"/>
      <c r="R355" s="26"/>
      <c r="S355" s="26"/>
      <c r="T355" s="26"/>
    </row>
    <row r="356" spans="6:20">
      <c r="F356" s="49"/>
      <c r="G356" s="49"/>
      <c r="H356" s="51" t="str">
        <f t="shared" si="6"/>
        <v/>
      </c>
      <c r="I356" s="49"/>
      <c r="J356" s="49"/>
      <c r="K356" s="49"/>
      <c r="L356" s="53">
        <f>O356*CFGRECT!$S$10</f>
        <v>0</v>
      </c>
      <c r="M356" s="53">
        <f>P356*CFGRECT!$T$10</f>
        <v>0</v>
      </c>
      <c r="N356" s="26"/>
      <c r="O356" s="227"/>
      <c r="P356" s="227"/>
      <c r="Q356" s="26"/>
      <c r="R356" s="26"/>
      <c r="S356" s="26"/>
      <c r="T356" s="26"/>
    </row>
    <row r="357" spans="6:20">
      <c r="F357" s="49"/>
      <c r="G357" s="49"/>
      <c r="H357" s="51" t="str">
        <f t="shared" si="6"/>
        <v/>
      </c>
      <c r="I357" s="49"/>
      <c r="J357" s="49"/>
      <c r="K357" s="49"/>
      <c r="L357" s="53">
        <f>O357*CFGRECT!$S$10</f>
        <v>0</v>
      </c>
      <c r="M357" s="53">
        <f>P357*CFGRECT!$T$10</f>
        <v>0</v>
      </c>
      <c r="N357" s="26"/>
      <c r="O357" s="227"/>
      <c r="P357" s="227"/>
      <c r="Q357" s="26"/>
      <c r="R357" s="26"/>
      <c r="S357" s="26"/>
      <c r="T357" s="26"/>
    </row>
    <row r="358" spans="6:20">
      <c r="F358" s="49"/>
      <c r="G358" s="49"/>
      <c r="H358" s="51" t="str">
        <f t="shared" si="6"/>
        <v/>
      </c>
      <c r="I358" s="49"/>
      <c r="J358" s="49"/>
      <c r="K358" s="49"/>
      <c r="L358" s="53">
        <f>O358*CFGRECT!$S$10</f>
        <v>0</v>
      </c>
      <c r="M358" s="53">
        <f>P358*CFGRECT!$T$10</f>
        <v>0</v>
      </c>
      <c r="N358" s="26"/>
      <c r="O358" s="227"/>
      <c r="P358" s="227"/>
      <c r="Q358" s="26"/>
      <c r="R358" s="26"/>
      <c r="S358" s="26"/>
      <c r="T358" s="26"/>
    </row>
    <row r="359" spans="6:20">
      <c r="F359" s="49"/>
      <c r="G359" s="49"/>
      <c r="H359" s="51" t="str">
        <f t="shared" si="6"/>
        <v/>
      </c>
      <c r="I359" s="49"/>
      <c r="J359" s="49"/>
      <c r="K359" s="49"/>
      <c r="L359" s="53">
        <f>O359*CFGRECT!$S$10</f>
        <v>0</v>
      </c>
      <c r="M359" s="53">
        <f>P359*CFGRECT!$T$10</f>
        <v>0</v>
      </c>
      <c r="N359" s="26"/>
      <c r="O359" s="227"/>
      <c r="P359" s="227"/>
      <c r="Q359" s="26"/>
      <c r="R359" s="26"/>
      <c r="S359" s="26"/>
      <c r="T359" s="26"/>
    </row>
    <row r="360" spans="6:20">
      <c r="F360" s="49"/>
      <c r="G360" s="49"/>
      <c r="H360" s="51" t="str">
        <f t="shared" si="6"/>
        <v/>
      </c>
      <c r="I360" s="49"/>
      <c r="J360" s="49"/>
      <c r="K360" s="49"/>
      <c r="L360" s="53">
        <f>O360*CFGRECT!$S$10</f>
        <v>0</v>
      </c>
      <c r="M360" s="53">
        <f>P360*CFGRECT!$T$10</f>
        <v>0</v>
      </c>
      <c r="N360" s="26"/>
      <c r="O360" s="227"/>
      <c r="P360" s="227"/>
      <c r="Q360" s="26"/>
      <c r="R360" s="26"/>
      <c r="S360" s="26"/>
      <c r="T360" s="26"/>
    </row>
    <row r="361" spans="6:20">
      <c r="F361" s="49"/>
      <c r="G361" s="49"/>
      <c r="H361" s="51" t="str">
        <f t="shared" si="6"/>
        <v/>
      </c>
      <c r="I361" s="49"/>
      <c r="J361" s="49"/>
      <c r="K361" s="49"/>
      <c r="L361" s="53">
        <f>O361*CFGRECT!$S$10</f>
        <v>0</v>
      </c>
      <c r="M361" s="53">
        <f>P361*CFGRECT!$T$10</f>
        <v>0</v>
      </c>
      <c r="N361" s="26"/>
      <c r="O361" s="227"/>
      <c r="P361" s="227"/>
      <c r="Q361" s="26"/>
      <c r="R361" s="26"/>
      <c r="S361" s="26"/>
      <c r="T361" s="26"/>
    </row>
    <row r="362" spans="6:20">
      <c r="F362" s="49"/>
      <c r="G362" s="49"/>
      <c r="H362" s="51" t="str">
        <f t="shared" si="6"/>
        <v/>
      </c>
      <c r="I362" s="49"/>
      <c r="J362" s="49"/>
      <c r="K362" s="49"/>
      <c r="L362" s="53">
        <f>O362*CFGRECT!$S$10</f>
        <v>0</v>
      </c>
      <c r="M362" s="53">
        <f>P362*CFGRECT!$T$10</f>
        <v>0</v>
      </c>
      <c r="N362" s="26"/>
      <c r="O362" s="227"/>
      <c r="P362" s="227"/>
      <c r="Q362" s="26"/>
      <c r="R362" s="26"/>
      <c r="S362" s="26"/>
      <c r="T362" s="26"/>
    </row>
    <row r="363" spans="6:20">
      <c r="F363" s="49"/>
      <c r="G363" s="49"/>
      <c r="H363" s="51" t="str">
        <f t="shared" si="6"/>
        <v/>
      </c>
      <c r="I363" s="49"/>
      <c r="J363" s="49"/>
      <c r="K363" s="49"/>
      <c r="L363" s="53">
        <f>O363*CFGRECT!$S$10</f>
        <v>0</v>
      </c>
      <c r="M363" s="53">
        <f>P363*CFGRECT!$T$10</f>
        <v>0</v>
      </c>
      <c r="N363" s="26"/>
      <c r="O363" s="227"/>
      <c r="P363" s="227"/>
      <c r="Q363" s="26"/>
      <c r="R363" s="26"/>
      <c r="S363" s="26"/>
      <c r="T363" s="26"/>
    </row>
    <row r="364" spans="6:20">
      <c r="F364" s="49"/>
      <c r="G364" s="49"/>
      <c r="H364" s="51" t="str">
        <f t="shared" si="6"/>
        <v/>
      </c>
      <c r="I364" s="49"/>
      <c r="J364" s="49"/>
      <c r="K364" s="49"/>
      <c r="L364" s="53">
        <f>O364*CFGRECT!$S$10</f>
        <v>0</v>
      </c>
      <c r="M364" s="53">
        <f>P364*CFGRECT!$T$10</f>
        <v>0</v>
      </c>
      <c r="N364" s="26"/>
      <c r="O364" s="227"/>
      <c r="P364" s="227"/>
      <c r="Q364" s="26"/>
      <c r="R364" s="26"/>
      <c r="S364" s="26"/>
      <c r="T364" s="26"/>
    </row>
    <row r="365" spans="6:20">
      <c r="F365" s="49"/>
      <c r="G365" s="49"/>
      <c r="H365" s="51" t="str">
        <f t="shared" si="6"/>
        <v/>
      </c>
      <c r="I365" s="49"/>
      <c r="J365" s="49"/>
      <c r="K365" s="49"/>
      <c r="L365" s="53">
        <f>O365*CFGRECT!$S$10</f>
        <v>0</v>
      </c>
      <c r="M365" s="53">
        <f>P365*CFGRECT!$T$10</f>
        <v>0</v>
      </c>
      <c r="N365" s="26"/>
      <c r="O365" s="227"/>
      <c r="P365" s="227"/>
      <c r="Q365" s="26"/>
      <c r="R365" s="26"/>
      <c r="S365" s="26"/>
      <c r="T365" s="26"/>
    </row>
    <row r="366" spans="6:20">
      <c r="F366" s="49"/>
      <c r="G366" s="49"/>
      <c r="H366" s="51" t="str">
        <f t="shared" si="6"/>
        <v/>
      </c>
      <c r="I366" s="49"/>
      <c r="J366" s="49"/>
      <c r="K366" s="49"/>
      <c r="L366" s="53">
        <f>O366*CFGRECT!$S$10</f>
        <v>0</v>
      </c>
      <c r="M366" s="53">
        <f>P366*CFGRECT!$T$10</f>
        <v>0</v>
      </c>
      <c r="N366" s="26"/>
      <c r="O366" s="227"/>
      <c r="P366" s="227"/>
      <c r="Q366" s="26"/>
      <c r="R366" s="26"/>
      <c r="S366" s="26"/>
      <c r="T366" s="26"/>
    </row>
    <row r="367" spans="6:20">
      <c r="F367" s="49"/>
      <c r="G367" s="49"/>
      <c r="H367" s="51" t="str">
        <f t="shared" si="6"/>
        <v/>
      </c>
      <c r="I367" s="49"/>
      <c r="J367" s="49"/>
      <c r="K367" s="49"/>
      <c r="L367" s="53">
        <f>O367*CFGRECT!$S$10</f>
        <v>0</v>
      </c>
      <c r="M367" s="53">
        <f>P367*CFGRECT!$T$10</f>
        <v>0</v>
      </c>
      <c r="N367" s="26"/>
      <c r="O367" s="227"/>
      <c r="P367" s="227"/>
      <c r="Q367" s="26"/>
      <c r="R367" s="26"/>
      <c r="S367" s="26"/>
      <c r="T367" s="26"/>
    </row>
    <row r="368" spans="6:20">
      <c r="F368" s="49"/>
      <c r="G368" s="49"/>
      <c r="H368" s="51" t="str">
        <f t="shared" si="6"/>
        <v/>
      </c>
      <c r="I368" s="49"/>
      <c r="J368" s="49"/>
      <c r="K368" s="49"/>
      <c r="L368" s="53">
        <f>O368*CFGRECT!$S$10</f>
        <v>0</v>
      </c>
      <c r="M368" s="53">
        <f>P368*CFGRECT!$T$10</f>
        <v>0</v>
      </c>
      <c r="N368" s="26"/>
      <c r="O368" s="227"/>
      <c r="P368" s="227"/>
      <c r="Q368" s="26"/>
      <c r="R368" s="26"/>
      <c r="S368" s="26"/>
      <c r="T368" s="26"/>
    </row>
    <row r="369" spans="6:20">
      <c r="F369" s="49"/>
      <c r="G369" s="49"/>
      <c r="H369" s="51" t="str">
        <f t="shared" si="6"/>
        <v/>
      </c>
      <c r="I369" s="49"/>
      <c r="J369" s="49"/>
      <c r="K369" s="49"/>
      <c r="L369" s="53">
        <f>O369*CFGRECT!$S$10</f>
        <v>0</v>
      </c>
      <c r="M369" s="53">
        <f>P369*CFGRECT!$T$10</f>
        <v>0</v>
      </c>
      <c r="N369" s="26"/>
      <c r="O369" s="227"/>
      <c r="P369" s="227"/>
      <c r="Q369" s="26"/>
      <c r="R369" s="26"/>
      <c r="S369" s="26"/>
      <c r="T369" s="26"/>
    </row>
    <row r="370" spans="6:20">
      <c r="F370" s="49"/>
      <c r="G370" s="49"/>
      <c r="H370" s="51" t="str">
        <f t="shared" si="6"/>
        <v/>
      </c>
      <c r="I370" s="49"/>
      <c r="J370" s="49"/>
      <c r="K370" s="49"/>
      <c r="L370" s="53">
        <f>O370*CFGRECT!$S$10</f>
        <v>0</v>
      </c>
      <c r="M370" s="53">
        <f>P370*CFGRECT!$T$10</f>
        <v>0</v>
      </c>
      <c r="N370" s="26"/>
      <c r="O370" s="227"/>
      <c r="P370" s="227"/>
      <c r="Q370" s="26"/>
      <c r="R370" s="26"/>
      <c r="S370" s="26"/>
      <c r="T370" s="26"/>
    </row>
    <row r="371" spans="6:20">
      <c r="F371" s="49"/>
      <c r="G371" s="49"/>
      <c r="H371" s="51" t="str">
        <f t="shared" si="6"/>
        <v/>
      </c>
      <c r="I371" s="49"/>
      <c r="J371" s="49"/>
      <c r="K371" s="49"/>
      <c r="L371" s="53">
        <f>O371*CFGRECT!$S$10</f>
        <v>0</v>
      </c>
      <c r="M371" s="53">
        <f>P371*CFGRECT!$T$10</f>
        <v>0</v>
      </c>
      <c r="N371" s="26"/>
      <c r="O371" s="227"/>
      <c r="P371" s="227"/>
      <c r="Q371" s="26"/>
      <c r="R371" s="26"/>
      <c r="S371" s="26"/>
      <c r="T371" s="26"/>
    </row>
    <row r="372" spans="6:20">
      <c r="F372" s="49"/>
      <c r="G372" s="49"/>
      <c r="H372" s="51" t="str">
        <f t="shared" si="6"/>
        <v/>
      </c>
      <c r="I372" s="49"/>
      <c r="J372" s="49"/>
      <c r="K372" s="49"/>
      <c r="L372" s="53">
        <f>O372*CFGRECT!$S$10</f>
        <v>0</v>
      </c>
      <c r="M372" s="53">
        <f>P372*CFGRECT!$T$10</f>
        <v>0</v>
      </c>
      <c r="N372" s="26"/>
      <c r="O372" s="227"/>
      <c r="P372" s="227"/>
      <c r="Q372" s="26"/>
      <c r="R372" s="26"/>
      <c r="S372" s="26"/>
      <c r="T372" s="26"/>
    </row>
    <row r="373" spans="6:20">
      <c r="F373" s="49"/>
      <c r="G373" s="49"/>
      <c r="H373" s="51" t="str">
        <f t="shared" si="6"/>
        <v/>
      </c>
      <c r="I373" s="49"/>
      <c r="J373" s="49"/>
      <c r="K373" s="49"/>
      <c r="L373" s="53">
        <f>O373*CFGRECT!$S$10</f>
        <v>0</v>
      </c>
      <c r="M373" s="53">
        <f>P373*CFGRECT!$T$10</f>
        <v>0</v>
      </c>
      <c r="N373" s="26"/>
      <c r="O373" s="227"/>
      <c r="P373" s="227"/>
      <c r="Q373" s="26"/>
      <c r="R373" s="26"/>
      <c r="S373" s="26"/>
      <c r="T373" s="26"/>
    </row>
    <row r="374" spans="6:20">
      <c r="F374" s="49"/>
      <c r="G374" s="49"/>
      <c r="H374" s="51" t="str">
        <f t="shared" si="6"/>
        <v/>
      </c>
      <c r="I374" s="49"/>
      <c r="J374" s="49"/>
      <c r="K374" s="49"/>
      <c r="L374" s="53">
        <f>O374*CFGRECT!$S$10</f>
        <v>0</v>
      </c>
      <c r="M374" s="53">
        <f>P374*CFGRECT!$T$10</f>
        <v>0</v>
      </c>
      <c r="N374" s="26"/>
      <c r="O374" s="227"/>
      <c r="P374" s="227"/>
      <c r="Q374" s="26"/>
      <c r="R374" s="26"/>
      <c r="S374" s="26"/>
      <c r="T374" s="26"/>
    </row>
    <row r="375" spans="6:20">
      <c r="F375" s="49"/>
      <c r="G375" s="49"/>
      <c r="H375" s="51" t="str">
        <f t="shared" si="6"/>
        <v/>
      </c>
      <c r="I375" s="49"/>
      <c r="J375" s="49"/>
      <c r="K375" s="49"/>
      <c r="L375" s="53">
        <f>O375*CFGRECT!$S$10</f>
        <v>0</v>
      </c>
      <c r="M375" s="53">
        <f>P375*CFGRECT!$T$10</f>
        <v>0</v>
      </c>
      <c r="N375" s="26"/>
      <c r="O375" s="227"/>
      <c r="P375" s="227"/>
      <c r="Q375" s="26"/>
      <c r="R375" s="26"/>
      <c r="S375" s="26"/>
      <c r="T375" s="26"/>
    </row>
    <row r="376" spans="6:20">
      <c r="F376" s="49"/>
      <c r="G376" s="49"/>
      <c r="H376" s="51" t="str">
        <f t="shared" si="6"/>
        <v/>
      </c>
      <c r="I376" s="49"/>
      <c r="J376" s="49"/>
      <c r="K376" s="49"/>
      <c r="L376" s="53">
        <f>O376*CFGRECT!$S$10</f>
        <v>0</v>
      </c>
      <c r="M376" s="53">
        <f>P376*CFGRECT!$T$10</f>
        <v>0</v>
      </c>
      <c r="N376" s="26"/>
      <c r="O376" s="227"/>
      <c r="P376" s="227"/>
      <c r="Q376" s="26"/>
      <c r="R376" s="26"/>
      <c r="S376" s="26"/>
      <c r="T376" s="26"/>
    </row>
    <row r="377" spans="6:20">
      <c r="F377" s="49"/>
      <c r="G377" s="49"/>
      <c r="H377" s="51" t="str">
        <f t="shared" si="6"/>
        <v/>
      </c>
      <c r="I377" s="49"/>
      <c r="J377" s="49"/>
      <c r="K377" s="49"/>
      <c r="L377" s="53">
        <f>O377*CFGRECT!$S$10</f>
        <v>0</v>
      </c>
      <c r="M377" s="53">
        <f>P377*CFGRECT!$T$10</f>
        <v>0</v>
      </c>
      <c r="N377" s="26"/>
      <c r="O377" s="227"/>
      <c r="P377" s="227"/>
      <c r="Q377" s="26"/>
      <c r="R377" s="26"/>
      <c r="S377" s="26"/>
      <c r="T377" s="26"/>
    </row>
    <row r="378" spans="6:20">
      <c r="F378" s="49"/>
      <c r="G378" s="49"/>
      <c r="H378" s="51" t="str">
        <f t="shared" si="6"/>
        <v/>
      </c>
      <c r="I378" s="49"/>
      <c r="J378" s="49"/>
      <c r="K378" s="49"/>
      <c r="L378" s="53">
        <f>O378*CFGRECT!$S$10</f>
        <v>0</v>
      </c>
      <c r="M378" s="53">
        <f>P378*CFGRECT!$T$10</f>
        <v>0</v>
      </c>
      <c r="N378" s="26"/>
      <c r="O378" s="227"/>
      <c r="P378" s="227"/>
      <c r="Q378" s="26"/>
      <c r="R378" s="26"/>
      <c r="S378" s="26"/>
      <c r="T378" s="26"/>
    </row>
    <row r="379" spans="6:20">
      <c r="F379" s="49"/>
      <c r="G379" s="49"/>
      <c r="H379" s="51" t="str">
        <f t="shared" si="6"/>
        <v/>
      </c>
      <c r="I379" s="49"/>
      <c r="J379" s="49"/>
      <c r="K379" s="49"/>
      <c r="L379" s="53">
        <f>O379*CFGRECT!$S$10</f>
        <v>0</v>
      </c>
      <c r="M379" s="53">
        <f>P379*CFGRECT!$T$10</f>
        <v>0</v>
      </c>
      <c r="N379" s="26"/>
      <c r="O379" s="227"/>
      <c r="P379" s="227"/>
      <c r="Q379" s="26"/>
      <c r="R379" s="26"/>
      <c r="S379" s="26"/>
      <c r="T379" s="26"/>
    </row>
    <row r="380" spans="6:20">
      <c r="F380" s="49"/>
      <c r="G380" s="49"/>
      <c r="H380" s="51" t="str">
        <f t="shared" si="6"/>
        <v/>
      </c>
      <c r="I380" s="49"/>
      <c r="J380" s="49"/>
      <c r="K380" s="49"/>
      <c r="L380" s="53">
        <f>O380*CFGRECT!$S$10</f>
        <v>0</v>
      </c>
      <c r="M380" s="53">
        <f>P380*CFGRECT!$T$10</f>
        <v>0</v>
      </c>
      <c r="N380" s="26"/>
      <c r="O380" s="227"/>
      <c r="P380" s="227"/>
      <c r="Q380" s="26"/>
      <c r="R380" s="26"/>
      <c r="S380" s="26"/>
      <c r="T380" s="26"/>
    </row>
    <row r="381" spans="6:20">
      <c r="F381" s="49"/>
      <c r="G381" s="49"/>
      <c r="H381" s="51" t="str">
        <f t="shared" si="6"/>
        <v/>
      </c>
      <c r="I381" s="49"/>
      <c r="J381" s="49"/>
      <c r="K381" s="49"/>
      <c r="L381" s="53">
        <f>O381*CFGRECT!$S$10</f>
        <v>0</v>
      </c>
      <c r="M381" s="53">
        <f>P381*CFGRECT!$T$10</f>
        <v>0</v>
      </c>
      <c r="N381" s="26"/>
      <c r="O381" s="227"/>
      <c r="P381" s="227"/>
      <c r="Q381" s="26"/>
      <c r="R381" s="26"/>
      <c r="S381" s="26"/>
      <c r="T381" s="26"/>
    </row>
    <row r="382" spans="6:20">
      <c r="F382" s="49"/>
      <c r="G382" s="49"/>
      <c r="H382" s="51" t="str">
        <f t="shared" si="6"/>
        <v/>
      </c>
      <c r="I382" s="49"/>
      <c r="J382" s="49"/>
      <c r="K382" s="49"/>
      <c r="L382" s="53">
        <f>O382*CFGRECT!$S$10</f>
        <v>0</v>
      </c>
      <c r="M382" s="53">
        <f>P382*CFGRECT!$T$10</f>
        <v>0</v>
      </c>
      <c r="N382" s="26"/>
      <c r="O382" s="227"/>
      <c r="P382" s="227"/>
      <c r="Q382" s="26"/>
      <c r="R382" s="26"/>
      <c r="S382" s="26"/>
      <c r="T382" s="26"/>
    </row>
    <row r="383" spans="6:20">
      <c r="F383" s="49"/>
      <c r="G383" s="49"/>
      <c r="H383" s="51" t="str">
        <f t="shared" si="6"/>
        <v/>
      </c>
      <c r="I383" s="49"/>
      <c r="J383" s="49"/>
      <c r="K383" s="49"/>
      <c r="L383" s="53">
        <f>O383*CFGRECT!$S$10</f>
        <v>0</v>
      </c>
      <c r="M383" s="53">
        <f>P383*CFGRECT!$T$10</f>
        <v>0</v>
      </c>
      <c r="N383" s="26"/>
      <c r="O383" s="227"/>
      <c r="P383" s="227"/>
      <c r="Q383" s="26"/>
      <c r="R383" s="26"/>
      <c r="S383" s="26"/>
      <c r="T383" s="26"/>
    </row>
    <row r="384" spans="6:20">
      <c r="F384" s="49"/>
      <c r="G384" s="49"/>
      <c r="H384" s="51" t="str">
        <f t="shared" si="6"/>
        <v/>
      </c>
      <c r="I384" s="49"/>
      <c r="J384" s="49"/>
      <c r="K384" s="49"/>
      <c r="L384" s="53">
        <f>O384*CFGRECT!$S$10</f>
        <v>0</v>
      </c>
      <c r="M384" s="53">
        <f>P384*CFGRECT!$T$10</f>
        <v>0</v>
      </c>
      <c r="N384" s="26"/>
      <c r="O384" s="227"/>
      <c r="P384" s="227"/>
      <c r="Q384" s="26"/>
      <c r="R384" s="26"/>
      <c r="S384" s="26"/>
      <c r="T384" s="26"/>
    </row>
    <row r="385" spans="6:20">
      <c r="F385" s="49"/>
      <c r="G385" s="49"/>
      <c r="H385" s="51" t="str">
        <f t="shared" si="6"/>
        <v/>
      </c>
      <c r="I385" s="49"/>
      <c r="J385" s="49"/>
      <c r="K385" s="49"/>
      <c r="L385" s="53">
        <f>O385*CFGRECT!$S$10</f>
        <v>0</v>
      </c>
      <c r="M385" s="53">
        <f>P385*CFGRECT!$T$10</f>
        <v>0</v>
      </c>
      <c r="N385" s="26"/>
      <c r="O385" s="227"/>
      <c r="P385" s="227"/>
      <c r="Q385" s="26"/>
      <c r="R385" s="26"/>
      <c r="S385" s="26"/>
      <c r="T385" s="26"/>
    </row>
    <row r="386" spans="6:20">
      <c r="F386" s="49"/>
      <c r="G386" s="49"/>
      <c r="H386" s="51" t="str">
        <f t="shared" si="6"/>
        <v/>
      </c>
      <c r="I386" s="49"/>
      <c r="J386" s="49"/>
      <c r="K386" s="49"/>
      <c r="L386" s="53">
        <f>O386*CFGRECT!$S$10</f>
        <v>0</v>
      </c>
      <c r="M386" s="53">
        <f>P386*CFGRECT!$T$10</f>
        <v>0</v>
      </c>
      <c r="N386" s="26"/>
      <c r="O386" s="227"/>
      <c r="P386" s="227"/>
      <c r="Q386" s="26"/>
      <c r="R386" s="26"/>
      <c r="S386" s="26"/>
      <c r="T386" s="26"/>
    </row>
    <row r="387" spans="6:20">
      <c r="F387" s="49"/>
      <c r="G387" s="49"/>
      <c r="H387" s="51" t="str">
        <f t="shared" si="6"/>
        <v/>
      </c>
      <c r="I387" s="49"/>
      <c r="J387" s="49"/>
      <c r="K387" s="49"/>
      <c r="L387" s="53">
        <f>O387*CFGRECT!$S$10</f>
        <v>0</v>
      </c>
      <c r="M387" s="53">
        <f>P387*CFGRECT!$T$10</f>
        <v>0</v>
      </c>
      <c r="N387" s="26"/>
      <c r="O387" s="227"/>
      <c r="P387" s="227"/>
      <c r="Q387" s="26"/>
      <c r="R387" s="26"/>
      <c r="S387" s="26"/>
      <c r="T387" s="26"/>
    </row>
    <row r="388" spans="6:20">
      <c r="F388" s="49"/>
      <c r="G388" s="49"/>
      <c r="H388" s="51" t="str">
        <f t="shared" si="6"/>
        <v/>
      </c>
      <c r="I388" s="49"/>
      <c r="J388" s="49"/>
      <c r="K388" s="49"/>
      <c r="L388" s="53">
        <f>O388*CFGRECT!$S$10</f>
        <v>0</v>
      </c>
      <c r="M388" s="53">
        <f>P388*CFGRECT!$T$10</f>
        <v>0</v>
      </c>
      <c r="N388" s="26"/>
      <c r="O388" s="227"/>
      <c r="P388" s="227"/>
      <c r="Q388" s="26"/>
      <c r="R388" s="26"/>
      <c r="S388" s="26"/>
      <c r="T388" s="26"/>
    </row>
    <row r="389" spans="6:20">
      <c r="F389" s="49"/>
      <c r="G389" s="49"/>
      <c r="H389" s="51" t="str">
        <f t="shared" si="6"/>
        <v/>
      </c>
      <c r="I389" s="49"/>
      <c r="J389" s="49"/>
      <c r="K389" s="49"/>
      <c r="L389" s="53">
        <f>O389*CFGRECT!$S$10</f>
        <v>0</v>
      </c>
      <c r="M389" s="53">
        <f>P389*CFGRECT!$T$10</f>
        <v>0</v>
      </c>
      <c r="N389" s="26"/>
      <c r="O389" s="227"/>
      <c r="P389" s="227"/>
      <c r="Q389" s="26"/>
      <c r="R389" s="26"/>
      <c r="S389" s="26"/>
      <c r="T389" s="26"/>
    </row>
    <row r="390" spans="6:20">
      <c r="F390" s="49"/>
      <c r="G390" s="49"/>
      <c r="H390" s="51" t="str">
        <f t="shared" si="6"/>
        <v/>
      </c>
      <c r="I390" s="49"/>
      <c r="J390" s="49"/>
      <c r="K390" s="49"/>
      <c r="L390" s="53">
        <f>O390*CFGRECT!$S$10</f>
        <v>0</v>
      </c>
      <c r="M390" s="53">
        <f>P390*CFGRECT!$T$10</f>
        <v>0</v>
      </c>
      <c r="N390" s="26"/>
      <c r="O390" s="227"/>
      <c r="P390" s="227"/>
      <c r="Q390" s="26"/>
      <c r="R390" s="26"/>
      <c r="S390" s="26"/>
      <c r="T390" s="26"/>
    </row>
    <row r="391" spans="6:20">
      <c r="F391" s="49"/>
      <c r="G391" s="49"/>
      <c r="H391" s="51" t="str">
        <f t="shared" si="6"/>
        <v/>
      </c>
      <c r="I391" s="49"/>
      <c r="J391" s="49"/>
      <c r="K391" s="49"/>
      <c r="L391" s="53">
        <f>O391*CFGRECT!$S$10</f>
        <v>0</v>
      </c>
      <c r="M391" s="53">
        <f>P391*CFGRECT!$T$10</f>
        <v>0</v>
      </c>
      <c r="N391" s="26"/>
      <c r="O391" s="227"/>
      <c r="P391" s="227"/>
      <c r="Q391" s="26"/>
      <c r="R391" s="26"/>
      <c r="S391" s="26"/>
      <c r="T391" s="26"/>
    </row>
    <row r="392" spans="6:20">
      <c r="F392" s="49"/>
      <c r="G392" s="49"/>
      <c r="H392" s="51" t="str">
        <f t="shared" si="6"/>
        <v/>
      </c>
      <c r="I392" s="49"/>
      <c r="J392" s="49"/>
      <c r="K392" s="49"/>
      <c r="L392" s="53">
        <f>O392*CFGRECT!$S$10</f>
        <v>0</v>
      </c>
      <c r="M392" s="53">
        <f>P392*CFGRECT!$T$10</f>
        <v>0</v>
      </c>
      <c r="N392" s="26"/>
      <c r="O392" s="227"/>
      <c r="P392" s="227"/>
      <c r="Q392" s="26"/>
      <c r="R392" s="26"/>
      <c r="S392" s="26"/>
      <c r="T392" s="26"/>
    </row>
    <row r="393" spans="6:20">
      <c r="F393" s="49"/>
      <c r="G393" s="49"/>
      <c r="H393" s="51" t="str">
        <f t="shared" si="6"/>
        <v/>
      </c>
      <c r="I393" s="49"/>
      <c r="J393" s="49"/>
      <c r="K393" s="49"/>
      <c r="L393" s="53">
        <f>O393*CFGRECT!$S$10</f>
        <v>0</v>
      </c>
      <c r="M393" s="53">
        <f>P393*CFGRECT!$T$10</f>
        <v>0</v>
      </c>
      <c r="N393" s="26"/>
      <c r="O393" s="227"/>
      <c r="P393" s="227"/>
      <c r="Q393" s="26"/>
      <c r="R393" s="26"/>
      <c r="S393" s="26"/>
      <c r="T393" s="26"/>
    </row>
    <row r="394" spans="6:20">
      <c r="F394" s="49"/>
      <c r="G394" s="49"/>
      <c r="H394" s="51" t="str">
        <f t="shared" si="6"/>
        <v/>
      </c>
      <c r="I394" s="49"/>
      <c r="J394" s="49"/>
      <c r="K394" s="49"/>
      <c r="L394" s="53">
        <f>O394*CFGRECT!$S$10</f>
        <v>0</v>
      </c>
      <c r="M394" s="53">
        <f>P394*CFGRECT!$T$10</f>
        <v>0</v>
      </c>
      <c r="N394" s="26"/>
      <c r="O394" s="227"/>
      <c r="P394" s="227"/>
      <c r="Q394" s="26"/>
      <c r="R394" s="26"/>
      <c r="S394" s="26"/>
      <c r="T394" s="26"/>
    </row>
    <row r="395" spans="6:20">
      <c r="F395" s="49"/>
      <c r="G395" s="49"/>
      <c r="H395" s="51" t="str">
        <f t="shared" si="6"/>
        <v/>
      </c>
      <c r="I395" s="49"/>
      <c r="J395" s="49"/>
      <c r="K395" s="49"/>
      <c r="L395" s="53">
        <f>O395*CFGRECT!$S$10</f>
        <v>0</v>
      </c>
      <c r="M395" s="53">
        <f>P395*CFGRECT!$T$10</f>
        <v>0</v>
      </c>
      <c r="N395" s="26"/>
      <c r="O395" s="227"/>
      <c r="P395" s="227"/>
      <c r="Q395" s="26"/>
      <c r="R395" s="26"/>
      <c r="S395" s="26"/>
      <c r="T395" s="26"/>
    </row>
    <row r="396" spans="6:20">
      <c r="F396" s="49"/>
      <c r="G396" s="49"/>
      <c r="H396" s="51" t="str">
        <f t="shared" si="6"/>
        <v/>
      </c>
      <c r="I396" s="49"/>
      <c r="J396" s="49"/>
      <c r="K396" s="49"/>
      <c r="L396" s="53">
        <f>O396*CFGRECT!$S$10</f>
        <v>0</v>
      </c>
      <c r="M396" s="53">
        <f>P396*CFGRECT!$T$10</f>
        <v>0</v>
      </c>
      <c r="N396" s="26"/>
      <c r="O396" s="227"/>
      <c r="P396" s="227"/>
      <c r="Q396" s="26"/>
      <c r="R396" s="26"/>
      <c r="S396" s="26"/>
      <c r="T396" s="26"/>
    </row>
    <row r="397" spans="6:20">
      <c r="F397" s="49"/>
      <c r="G397" s="49"/>
      <c r="H397" s="51" t="str">
        <f t="shared" si="6"/>
        <v/>
      </c>
      <c r="I397" s="49"/>
      <c r="J397" s="49"/>
      <c r="K397" s="49"/>
      <c r="L397" s="53">
        <f>O397*CFGRECT!$S$10</f>
        <v>0</v>
      </c>
      <c r="M397" s="53">
        <f>P397*CFGRECT!$T$10</f>
        <v>0</v>
      </c>
      <c r="N397" s="26"/>
      <c r="O397" s="227"/>
      <c r="P397" s="227"/>
      <c r="Q397" s="26"/>
      <c r="R397" s="26"/>
      <c r="S397" s="26"/>
      <c r="T397" s="26"/>
    </row>
    <row r="398" spans="6:20">
      <c r="F398" s="49"/>
      <c r="G398" s="49"/>
      <c r="H398" s="51" t="str">
        <f t="shared" si="6"/>
        <v/>
      </c>
      <c r="I398" s="49"/>
      <c r="J398" s="49"/>
      <c r="K398" s="49"/>
      <c r="L398" s="53">
        <f>O398*CFGRECT!$S$10</f>
        <v>0</v>
      </c>
      <c r="M398" s="53">
        <f>P398*CFGRECT!$T$10</f>
        <v>0</v>
      </c>
      <c r="N398" s="26"/>
      <c r="O398" s="227"/>
      <c r="P398" s="227"/>
      <c r="Q398" s="26"/>
      <c r="R398" s="26"/>
      <c r="S398" s="26"/>
      <c r="T398" s="26"/>
    </row>
    <row r="399" spans="6:20">
      <c r="F399" s="49"/>
      <c r="G399" s="49"/>
      <c r="H399" s="51" t="str">
        <f t="shared" si="6"/>
        <v/>
      </c>
      <c r="I399" s="49"/>
      <c r="J399" s="49"/>
      <c r="K399" s="49"/>
      <c r="L399" s="53">
        <f>O399*CFGRECT!$S$10</f>
        <v>0</v>
      </c>
      <c r="M399" s="53">
        <f>P399*CFGRECT!$T$10</f>
        <v>0</v>
      </c>
      <c r="N399" s="26"/>
      <c r="O399" s="227"/>
      <c r="P399" s="227"/>
      <c r="Q399" s="26"/>
      <c r="R399" s="26"/>
      <c r="S399" s="26"/>
      <c r="T399" s="26"/>
    </row>
    <row r="400" spans="6:20">
      <c r="F400" s="49"/>
      <c r="G400" s="49"/>
      <c r="H400" s="51" t="str">
        <f t="shared" si="6"/>
        <v/>
      </c>
      <c r="I400" s="49"/>
      <c r="J400" s="49"/>
      <c r="K400" s="49"/>
      <c r="L400" s="53">
        <f>O400*CFGRECT!$S$10</f>
        <v>0</v>
      </c>
      <c r="M400" s="53">
        <f>P400*CFGRECT!$T$10</f>
        <v>0</v>
      </c>
      <c r="N400" s="26"/>
      <c r="O400" s="227"/>
      <c r="P400" s="227"/>
      <c r="Q400" s="26"/>
      <c r="R400" s="26"/>
      <c r="S400" s="26"/>
      <c r="T400" s="26"/>
    </row>
    <row r="401" spans="6:20">
      <c r="F401" s="49"/>
      <c r="G401" s="49"/>
      <c r="H401" s="51" t="str">
        <f t="shared" ref="H401:H464" si="7">F401&amp;IF(G401="",""," - "&amp;G401)</f>
        <v/>
      </c>
      <c r="I401" s="49"/>
      <c r="J401" s="49"/>
      <c r="K401" s="49"/>
      <c r="L401" s="53">
        <f>O401*CFGRECT!$S$10</f>
        <v>0</v>
      </c>
      <c r="M401" s="53">
        <f>P401*CFGRECT!$T$10</f>
        <v>0</v>
      </c>
      <c r="N401" s="26"/>
      <c r="O401" s="227"/>
      <c r="P401" s="227"/>
      <c r="Q401" s="26"/>
      <c r="R401" s="26"/>
      <c r="S401" s="26"/>
      <c r="T401" s="26"/>
    </row>
    <row r="402" spans="6:20">
      <c r="F402" s="49"/>
      <c r="G402" s="49"/>
      <c r="H402" s="51" t="str">
        <f t="shared" si="7"/>
        <v/>
      </c>
      <c r="I402" s="49"/>
      <c r="J402" s="49"/>
      <c r="K402" s="49"/>
      <c r="L402" s="53">
        <f>O402*CFGRECT!$S$10</f>
        <v>0</v>
      </c>
      <c r="M402" s="53">
        <f>P402*CFGRECT!$T$10</f>
        <v>0</v>
      </c>
      <c r="N402" s="26"/>
      <c r="O402" s="227"/>
      <c r="P402" s="227"/>
      <c r="Q402" s="26"/>
      <c r="R402" s="26"/>
      <c r="S402" s="26"/>
      <c r="T402" s="26"/>
    </row>
    <row r="403" spans="6:20">
      <c r="F403" s="49"/>
      <c r="G403" s="49"/>
      <c r="H403" s="51" t="str">
        <f t="shared" si="7"/>
        <v/>
      </c>
      <c r="I403" s="49"/>
      <c r="J403" s="49"/>
      <c r="K403" s="49"/>
      <c r="L403" s="53">
        <f>O403*CFGRECT!$S$10</f>
        <v>0</v>
      </c>
      <c r="M403" s="53">
        <f>P403*CFGRECT!$T$10</f>
        <v>0</v>
      </c>
      <c r="N403" s="26"/>
      <c r="O403" s="227"/>
      <c r="P403" s="227"/>
      <c r="Q403" s="26"/>
      <c r="R403" s="26"/>
      <c r="S403" s="26"/>
      <c r="T403" s="26"/>
    </row>
    <row r="404" spans="6:20">
      <c r="F404" s="49"/>
      <c r="G404" s="49"/>
      <c r="H404" s="51" t="str">
        <f t="shared" si="7"/>
        <v/>
      </c>
      <c r="I404" s="49"/>
      <c r="J404" s="49"/>
      <c r="K404" s="49"/>
      <c r="L404" s="53">
        <f>O404*CFGRECT!$S$10</f>
        <v>0</v>
      </c>
      <c r="M404" s="53">
        <f>P404*CFGRECT!$T$10</f>
        <v>0</v>
      </c>
      <c r="N404" s="26"/>
      <c r="O404" s="227"/>
      <c r="P404" s="227"/>
      <c r="Q404" s="26"/>
      <c r="R404" s="26"/>
      <c r="S404" s="26"/>
      <c r="T404" s="26"/>
    </row>
    <row r="405" spans="6:20">
      <c r="F405" s="49"/>
      <c r="G405" s="49"/>
      <c r="H405" s="51" t="str">
        <f t="shared" si="7"/>
        <v/>
      </c>
      <c r="I405" s="49"/>
      <c r="J405" s="49"/>
      <c r="K405" s="49"/>
      <c r="L405" s="53">
        <f>O405*CFGRECT!$S$10</f>
        <v>0</v>
      </c>
      <c r="M405" s="53">
        <f>P405*CFGRECT!$T$10</f>
        <v>0</v>
      </c>
      <c r="N405" s="26"/>
      <c r="O405" s="227"/>
      <c r="P405" s="227"/>
      <c r="Q405" s="26"/>
      <c r="R405" s="26"/>
      <c r="S405" s="26"/>
      <c r="T405" s="26"/>
    </row>
    <row r="406" spans="6:20">
      <c r="F406" s="49"/>
      <c r="G406" s="49"/>
      <c r="H406" s="51" t="str">
        <f t="shared" si="7"/>
        <v/>
      </c>
      <c r="I406" s="49"/>
      <c r="J406" s="49"/>
      <c r="K406" s="49"/>
      <c r="L406" s="53">
        <f>O406*CFGRECT!$S$10</f>
        <v>0</v>
      </c>
      <c r="M406" s="53">
        <f>P406*CFGRECT!$T$10</f>
        <v>0</v>
      </c>
      <c r="N406" s="26"/>
      <c r="O406" s="227"/>
      <c r="P406" s="227"/>
      <c r="Q406" s="26"/>
      <c r="R406" s="26"/>
      <c r="S406" s="26"/>
      <c r="T406" s="26"/>
    </row>
    <row r="407" spans="6:20">
      <c r="F407" s="49"/>
      <c r="G407" s="49"/>
      <c r="H407" s="51" t="str">
        <f t="shared" si="7"/>
        <v/>
      </c>
      <c r="I407" s="49"/>
      <c r="J407" s="49"/>
      <c r="K407" s="49"/>
      <c r="L407" s="53">
        <f>O407*CFGRECT!$S$10</f>
        <v>0</v>
      </c>
      <c r="M407" s="53">
        <f>P407*CFGRECT!$T$10</f>
        <v>0</v>
      </c>
      <c r="N407" s="26"/>
      <c r="O407" s="227"/>
      <c r="P407" s="227"/>
      <c r="Q407" s="26"/>
      <c r="R407" s="26"/>
      <c r="S407" s="26"/>
      <c r="T407" s="26"/>
    </row>
    <row r="408" spans="6:20">
      <c r="F408" s="49"/>
      <c r="G408" s="49"/>
      <c r="H408" s="51" t="str">
        <f t="shared" si="7"/>
        <v/>
      </c>
      <c r="I408" s="49"/>
      <c r="J408" s="49"/>
      <c r="K408" s="49"/>
      <c r="L408" s="53">
        <f>O408*CFGRECT!$S$10</f>
        <v>0</v>
      </c>
      <c r="M408" s="53">
        <f>P408*CFGRECT!$T$10</f>
        <v>0</v>
      </c>
      <c r="N408" s="26"/>
      <c r="O408" s="227"/>
      <c r="P408" s="227"/>
      <c r="Q408" s="26"/>
      <c r="R408" s="26"/>
      <c r="S408" s="26"/>
      <c r="T408" s="26"/>
    </row>
    <row r="409" spans="6:20">
      <c r="F409" s="49"/>
      <c r="G409" s="49"/>
      <c r="H409" s="51" t="str">
        <f t="shared" si="7"/>
        <v/>
      </c>
      <c r="I409" s="49"/>
      <c r="J409" s="49"/>
      <c r="K409" s="49"/>
      <c r="L409" s="53">
        <f>O409*CFGRECT!$S$10</f>
        <v>0</v>
      </c>
      <c r="M409" s="53">
        <f>P409*CFGRECT!$T$10</f>
        <v>0</v>
      </c>
      <c r="N409" s="26"/>
      <c r="O409" s="227"/>
      <c r="P409" s="227"/>
      <c r="Q409" s="26"/>
      <c r="R409" s="26"/>
      <c r="S409" s="26"/>
      <c r="T409" s="26"/>
    </row>
    <row r="410" spans="6:20">
      <c r="F410" s="49"/>
      <c r="G410" s="49"/>
      <c r="H410" s="51" t="str">
        <f t="shared" si="7"/>
        <v/>
      </c>
      <c r="I410" s="49"/>
      <c r="J410" s="49"/>
      <c r="K410" s="49"/>
      <c r="L410" s="53">
        <f>O410*CFGRECT!$S$10</f>
        <v>0</v>
      </c>
      <c r="M410" s="53">
        <f>P410*CFGRECT!$T$10</f>
        <v>0</v>
      </c>
      <c r="N410" s="26"/>
      <c r="O410" s="227"/>
      <c r="P410" s="227"/>
      <c r="Q410" s="26"/>
      <c r="R410" s="26"/>
      <c r="S410" s="26"/>
      <c r="T410" s="26"/>
    </row>
    <row r="411" spans="6:20">
      <c r="F411" s="49"/>
      <c r="G411" s="49"/>
      <c r="H411" s="51" t="str">
        <f t="shared" si="7"/>
        <v/>
      </c>
      <c r="I411" s="49"/>
      <c r="J411" s="49"/>
      <c r="K411" s="49"/>
      <c r="L411" s="53">
        <f>O411*CFGRECT!$S$10</f>
        <v>0</v>
      </c>
      <c r="M411" s="53">
        <f>P411*CFGRECT!$T$10</f>
        <v>0</v>
      </c>
      <c r="N411" s="26"/>
      <c r="O411" s="227"/>
      <c r="P411" s="227"/>
      <c r="Q411" s="26"/>
      <c r="R411" s="26"/>
      <c r="S411" s="26"/>
      <c r="T411" s="26"/>
    </row>
    <row r="412" spans="6:20">
      <c r="F412" s="49"/>
      <c r="G412" s="49"/>
      <c r="H412" s="51" t="str">
        <f t="shared" si="7"/>
        <v/>
      </c>
      <c r="I412" s="49"/>
      <c r="J412" s="49"/>
      <c r="K412" s="49"/>
      <c r="L412" s="53">
        <f>O412*CFGRECT!$S$10</f>
        <v>0</v>
      </c>
      <c r="M412" s="53">
        <f>P412*CFGRECT!$T$10</f>
        <v>0</v>
      </c>
      <c r="N412" s="26"/>
      <c r="O412" s="227"/>
      <c r="P412" s="227"/>
      <c r="Q412" s="26"/>
      <c r="R412" s="26"/>
      <c r="S412" s="26"/>
      <c r="T412" s="26"/>
    </row>
    <row r="413" spans="6:20">
      <c r="F413" s="49"/>
      <c r="G413" s="49"/>
      <c r="H413" s="51" t="str">
        <f t="shared" si="7"/>
        <v/>
      </c>
      <c r="I413" s="49"/>
      <c r="J413" s="49"/>
      <c r="K413" s="49"/>
      <c r="L413" s="53">
        <f>O413*CFGRECT!$S$10</f>
        <v>0</v>
      </c>
      <c r="M413" s="53">
        <f>P413*CFGRECT!$T$10</f>
        <v>0</v>
      </c>
      <c r="N413" s="26"/>
      <c r="O413" s="227"/>
      <c r="P413" s="227"/>
      <c r="Q413" s="26"/>
      <c r="R413" s="26"/>
      <c r="S413" s="26"/>
      <c r="T413" s="26"/>
    </row>
    <row r="414" spans="6:20">
      <c r="F414" s="49"/>
      <c r="G414" s="49"/>
      <c r="H414" s="51" t="str">
        <f t="shared" si="7"/>
        <v/>
      </c>
      <c r="I414" s="49"/>
      <c r="J414" s="49"/>
      <c r="K414" s="49"/>
      <c r="L414" s="53">
        <f>O414*CFGRECT!$S$10</f>
        <v>0</v>
      </c>
      <c r="M414" s="53">
        <f>P414*CFGRECT!$T$10</f>
        <v>0</v>
      </c>
      <c r="N414" s="26"/>
      <c r="O414" s="227"/>
      <c r="P414" s="227"/>
      <c r="Q414" s="26"/>
      <c r="R414" s="26"/>
      <c r="S414" s="26"/>
      <c r="T414" s="26"/>
    </row>
    <row r="415" spans="6:20">
      <c r="F415" s="49"/>
      <c r="G415" s="49"/>
      <c r="H415" s="51" t="str">
        <f t="shared" si="7"/>
        <v/>
      </c>
      <c r="I415" s="49"/>
      <c r="J415" s="49"/>
      <c r="K415" s="49"/>
      <c r="L415" s="53">
        <f>O415*CFGRECT!$S$10</f>
        <v>0</v>
      </c>
      <c r="M415" s="53">
        <f>P415*CFGRECT!$T$10</f>
        <v>0</v>
      </c>
      <c r="N415" s="26"/>
      <c r="O415" s="227"/>
      <c r="P415" s="227"/>
      <c r="Q415" s="26"/>
      <c r="R415" s="26"/>
      <c r="S415" s="26"/>
      <c r="T415" s="26"/>
    </row>
    <row r="416" spans="6:20">
      <c r="F416" s="49"/>
      <c r="G416" s="49"/>
      <c r="H416" s="51" t="str">
        <f t="shared" si="7"/>
        <v/>
      </c>
      <c r="I416" s="49"/>
      <c r="J416" s="49"/>
      <c r="K416" s="49"/>
      <c r="L416" s="53">
        <f>O416*CFGRECT!$S$10</f>
        <v>0</v>
      </c>
      <c r="M416" s="53">
        <f>P416*CFGRECT!$T$10</f>
        <v>0</v>
      </c>
      <c r="N416" s="26"/>
      <c r="O416" s="227"/>
      <c r="P416" s="227"/>
      <c r="Q416" s="26"/>
      <c r="R416" s="26"/>
      <c r="S416" s="26"/>
      <c r="T416" s="26"/>
    </row>
    <row r="417" spans="6:20">
      <c r="F417" s="49"/>
      <c r="G417" s="49"/>
      <c r="H417" s="51" t="str">
        <f t="shared" si="7"/>
        <v/>
      </c>
      <c r="I417" s="49"/>
      <c r="J417" s="49"/>
      <c r="K417" s="49"/>
      <c r="L417" s="53">
        <f>O417*CFGRECT!$S$10</f>
        <v>0</v>
      </c>
      <c r="M417" s="53">
        <f>P417*CFGRECT!$T$10</f>
        <v>0</v>
      </c>
      <c r="N417" s="26"/>
      <c r="O417" s="227"/>
      <c r="P417" s="227"/>
      <c r="Q417" s="26"/>
      <c r="R417" s="26"/>
      <c r="S417" s="26"/>
      <c r="T417" s="26"/>
    </row>
    <row r="418" spans="6:20">
      <c r="F418" s="49"/>
      <c r="G418" s="49"/>
      <c r="H418" s="51" t="str">
        <f t="shared" si="7"/>
        <v/>
      </c>
      <c r="I418" s="49"/>
      <c r="J418" s="49"/>
      <c r="K418" s="49"/>
      <c r="L418" s="53">
        <f>O418*CFGRECT!$S$10</f>
        <v>0</v>
      </c>
      <c r="M418" s="53">
        <f>P418*CFGRECT!$T$10</f>
        <v>0</v>
      </c>
      <c r="N418" s="26"/>
      <c r="O418" s="227"/>
      <c r="P418" s="227"/>
      <c r="Q418" s="26"/>
      <c r="R418" s="26"/>
      <c r="S418" s="26"/>
      <c r="T418" s="26"/>
    </row>
    <row r="419" spans="6:20">
      <c r="F419" s="49"/>
      <c r="G419" s="49"/>
      <c r="H419" s="51" t="str">
        <f t="shared" si="7"/>
        <v/>
      </c>
      <c r="I419" s="49"/>
      <c r="J419" s="49"/>
      <c r="K419" s="49"/>
      <c r="L419" s="53">
        <f>O419*CFGRECT!$S$10</f>
        <v>0</v>
      </c>
      <c r="M419" s="53">
        <f>P419*CFGRECT!$T$10</f>
        <v>0</v>
      </c>
      <c r="N419" s="26"/>
      <c r="O419" s="227"/>
      <c r="P419" s="227"/>
      <c r="Q419" s="26"/>
      <c r="R419" s="26"/>
      <c r="S419" s="26"/>
      <c r="T419" s="26"/>
    </row>
    <row r="420" spans="6:20">
      <c r="F420" s="49"/>
      <c r="G420" s="49"/>
      <c r="H420" s="51" t="str">
        <f t="shared" si="7"/>
        <v/>
      </c>
      <c r="I420" s="49"/>
      <c r="J420" s="49"/>
      <c r="K420" s="49"/>
      <c r="L420" s="53">
        <f>O420*CFGRECT!$S$10</f>
        <v>0</v>
      </c>
      <c r="M420" s="53">
        <f>P420*CFGRECT!$T$10</f>
        <v>0</v>
      </c>
      <c r="N420" s="26"/>
      <c r="O420" s="227"/>
      <c r="P420" s="227"/>
      <c r="Q420" s="26"/>
      <c r="R420" s="26"/>
      <c r="S420" s="26"/>
      <c r="T420" s="26"/>
    </row>
    <row r="421" spans="6:20">
      <c r="F421" s="49"/>
      <c r="G421" s="49"/>
      <c r="H421" s="51" t="str">
        <f t="shared" si="7"/>
        <v/>
      </c>
      <c r="I421" s="49"/>
      <c r="J421" s="49"/>
      <c r="K421" s="49"/>
      <c r="L421" s="53">
        <f>O421*CFGRECT!$S$10</f>
        <v>0</v>
      </c>
      <c r="M421" s="53">
        <f>P421*CFGRECT!$T$10</f>
        <v>0</v>
      </c>
      <c r="N421" s="26"/>
      <c r="O421" s="227"/>
      <c r="P421" s="227"/>
      <c r="Q421" s="26"/>
      <c r="R421" s="26"/>
      <c r="S421" s="26"/>
      <c r="T421" s="26"/>
    </row>
    <row r="422" spans="6:20">
      <c r="F422" s="49"/>
      <c r="G422" s="49"/>
      <c r="H422" s="51" t="str">
        <f t="shared" si="7"/>
        <v/>
      </c>
      <c r="I422" s="49"/>
      <c r="J422" s="49"/>
      <c r="K422" s="49"/>
      <c r="L422" s="53">
        <f>O422*CFGRECT!$S$10</f>
        <v>0</v>
      </c>
      <c r="M422" s="53">
        <f>P422*CFGRECT!$T$10</f>
        <v>0</v>
      </c>
      <c r="N422" s="26"/>
      <c r="O422" s="227"/>
      <c r="P422" s="227"/>
      <c r="Q422" s="26"/>
      <c r="R422" s="26"/>
      <c r="S422" s="26"/>
      <c r="T422" s="26"/>
    </row>
    <row r="423" spans="6:20">
      <c r="F423" s="49"/>
      <c r="G423" s="49"/>
      <c r="H423" s="51" t="str">
        <f t="shared" si="7"/>
        <v/>
      </c>
      <c r="I423" s="49"/>
      <c r="J423" s="49"/>
      <c r="K423" s="49"/>
      <c r="L423" s="53">
        <f>O423*CFGRECT!$S$10</f>
        <v>0</v>
      </c>
      <c r="M423" s="53">
        <f>P423*CFGRECT!$T$10</f>
        <v>0</v>
      </c>
      <c r="N423" s="26"/>
      <c r="O423" s="227"/>
      <c r="P423" s="227"/>
      <c r="Q423" s="26"/>
      <c r="R423" s="26"/>
      <c r="S423" s="26"/>
      <c r="T423" s="26"/>
    </row>
    <row r="424" spans="6:20">
      <c r="F424" s="49"/>
      <c r="G424" s="49"/>
      <c r="H424" s="51" t="str">
        <f t="shared" si="7"/>
        <v/>
      </c>
      <c r="I424" s="49"/>
      <c r="J424" s="49"/>
      <c r="K424" s="49"/>
      <c r="L424" s="53">
        <f>O424*CFGRECT!$S$10</f>
        <v>0</v>
      </c>
      <c r="M424" s="53">
        <f>P424*CFGRECT!$T$10</f>
        <v>0</v>
      </c>
      <c r="N424" s="26"/>
      <c r="O424" s="227"/>
      <c r="P424" s="227"/>
      <c r="Q424" s="26"/>
      <c r="R424" s="26"/>
      <c r="S424" s="26"/>
      <c r="T424" s="26"/>
    </row>
    <row r="425" spans="6:20">
      <c r="F425" s="49"/>
      <c r="G425" s="49"/>
      <c r="H425" s="51" t="str">
        <f t="shared" si="7"/>
        <v/>
      </c>
      <c r="I425" s="49"/>
      <c r="J425" s="49"/>
      <c r="K425" s="49"/>
      <c r="L425" s="53">
        <f>O425*CFGRECT!$S$10</f>
        <v>0</v>
      </c>
      <c r="M425" s="53">
        <f>P425*CFGRECT!$T$10</f>
        <v>0</v>
      </c>
      <c r="N425" s="26"/>
      <c r="O425" s="227"/>
      <c r="P425" s="227"/>
      <c r="Q425" s="26"/>
      <c r="R425" s="26"/>
      <c r="S425" s="26"/>
      <c r="T425" s="26"/>
    </row>
    <row r="426" spans="6:20">
      <c r="F426" s="49"/>
      <c r="G426" s="49"/>
      <c r="H426" s="51" t="str">
        <f t="shared" si="7"/>
        <v/>
      </c>
      <c r="I426" s="49"/>
      <c r="J426" s="49"/>
      <c r="K426" s="49"/>
      <c r="L426" s="53">
        <f>O426*CFGRECT!$S$10</f>
        <v>0</v>
      </c>
      <c r="M426" s="53">
        <f>P426*CFGRECT!$T$10</f>
        <v>0</v>
      </c>
      <c r="N426" s="26"/>
      <c r="O426" s="227"/>
      <c r="P426" s="227"/>
      <c r="Q426" s="26"/>
      <c r="R426" s="26"/>
      <c r="S426" s="26"/>
      <c r="T426" s="26"/>
    </row>
    <row r="427" spans="6:20">
      <c r="F427" s="49"/>
      <c r="G427" s="49"/>
      <c r="H427" s="51" t="str">
        <f t="shared" si="7"/>
        <v/>
      </c>
      <c r="I427" s="49"/>
      <c r="J427" s="49"/>
      <c r="K427" s="49"/>
      <c r="L427" s="53">
        <f>O427*CFGRECT!$S$10</f>
        <v>0</v>
      </c>
      <c r="M427" s="53">
        <f>P427*CFGRECT!$T$10</f>
        <v>0</v>
      </c>
      <c r="N427" s="26"/>
      <c r="O427" s="227"/>
      <c r="P427" s="227"/>
      <c r="Q427" s="26"/>
      <c r="R427" s="26"/>
      <c r="S427" s="26"/>
      <c r="T427" s="26"/>
    </row>
    <row r="428" spans="6:20">
      <c r="F428" s="49"/>
      <c r="G428" s="49"/>
      <c r="H428" s="51" t="str">
        <f t="shared" si="7"/>
        <v/>
      </c>
      <c r="I428" s="49"/>
      <c r="J428" s="49"/>
      <c r="K428" s="49"/>
      <c r="L428" s="53">
        <f>O428*CFGRECT!$S$10</f>
        <v>0</v>
      </c>
      <c r="M428" s="53">
        <f>P428*CFGRECT!$T$10</f>
        <v>0</v>
      </c>
      <c r="N428" s="26"/>
      <c r="O428" s="227"/>
      <c r="P428" s="227"/>
      <c r="Q428" s="26"/>
      <c r="R428" s="26"/>
      <c r="S428" s="26"/>
      <c r="T428" s="26"/>
    </row>
    <row r="429" spans="6:20">
      <c r="F429" s="49"/>
      <c r="G429" s="49"/>
      <c r="H429" s="51" t="str">
        <f t="shared" si="7"/>
        <v/>
      </c>
      <c r="I429" s="49"/>
      <c r="J429" s="49"/>
      <c r="K429" s="49"/>
      <c r="L429" s="53">
        <f>O429*CFGRECT!$S$10</f>
        <v>0</v>
      </c>
      <c r="M429" s="53">
        <f>P429*CFGRECT!$T$10</f>
        <v>0</v>
      </c>
      <c r="N429" s="26"/>
      <c r="O429" s="227"/>
      <c r="P429" s="227"/>
      <c r="Q429" s="26"/>
      <c r="R429" s="26"/>
      <c r="S429" s="26"/>
      <c r="T429" s="26"/>
    </row>
    <row r="430" spans="6:20">
      <c r="F430" s="49"/>
      <c r="G430" s="49"/>
      <c r="H430" s="51" t="str">
        <f t="shared" si="7"/>
        <v/>
      </c>
      <c r="I430" s="49"/>
      <c r="J430" s="49"/>
      <c r="K430" s="49"/>
      <c r="L430" s="53">
        <f>O430*CFGRECT!$S$10</f>
        <v>0</v>
      </c>
      <c r="M430" s="53">
        <f>P430*CFGRECT!$T$10</f>
        <v>0</v>
      </c>
      <c r="N430" s="26"/>
      <c r="O430" s="227"/>
      <c r="P430" s="227"/>
      <c r="Q430" s="26"/>
      <c r="R430" s="26"/>
      <c r="S430" s="26"/>
      <c r="T430" s="26"/>
    </row>
    <row r="431" spans="6:20">
      <c r="F431" s="49"/>
      <c r="G431" s="49"/>
      <c r="H431" s="51" t="str">
        <f t="shared" si="7"/>
        <v/>
      </c>
      <c r="I431" s="49"/>
      <c r="J431" s="49"/>
      <c r="K431" s="49"/>
      <c r="L431" s="53">
        <f>O431*CFGRECT!$S$10</f>
        <v>0</v>
      </c>
      <c r="M431" s="53">
        <f>P431*CFGRECT!$T$10</f>
        <v>0</v>
      </c>
      <c r="N431" s="26"/>
      <c r="O431" s="227"/>
      <c r="P431" s="227"/>
      <c r="Q431" s="26"/>
      <c r="R431" s="26"/>
      <c r="S431" s="26"/>
      <c r="T431" s="26"/>
    </row>
    <row r="432" spans="6:20">
      <c r="F432" s="49"/>
      <c r="G432" s="49"/>
      <c r="H432" s="51" t="str">
        <f t="shared" si="7"/>
        <v/>
      </c>
      <c r="I432" s="49"/>
      <c r="J432" s="49"/>
      <c r="K432" s="49"/>
      <c r="L432" s="53">
        <f>O432*CFGRECT!$S$10</f>
        <v>0</v>
      </c>
      <c r="M432" s="53">
        <f>P432*CFGRECT!$T$10</f>
        <v>0</v>
      </c>
      <c r="N432" s="26"/>
      <c r="O432" s="227"/>
      <c r="P432" s="227"/>
      <c r="Q432" s="26"/>
      <c r="R432" s="26"/>
      <c r="S432" s="26"/>
      <c r="T432" s="26"/>
    </row>
    <row r="433" spans="6:20">
      <c r="F433" s="49"/>
      <c r="G433" s="49"/>
      <c r="H433" s="51" t="str">
        <f t="shared" si="7"/>
        <v/>
      </c>
      <c r="I433" s="49"/>
      <c r="J433" s="49"/>
      <c r="K433" s="49"/>
      <c r="L433" s="53">
        <f>O433*CFGRECT!$S$10</f>
        <v>0</v>
      </c>
      <c r="M433" s="53">
        <f>P433*CFGRECT!$T$10</f>
        <v>0</v>
      </c>
      <c r="N433" s="26"/>
      <c r="O433" s="227"/>
      <c r="P433" s="227"/>
      <c r="Q433" s="26"/>
      <c r="R433" s="26"/>
      <c r="S433" s="26"/>
      <c r="T433" s="26"/>
    </row>
    <row r="434" spans="6:20">
      <c r="F434" s="49"/>
      <c r="G434" s="49"/>
      <c r="H434" s="51" t="str">
        <f t="shared" si="7"/>
        <v/>
      </c>
      <c r="I434" s="49"/>
      <c r="J434" s="49"/>
      <c r="K434" s="49"/>
      <c r="L434" s="53">
        <f>O434*CFGRECT!$S$10</f>
        <v>0</v>
      </c>
      <c r="M434" s="53">
        <f>P434*CFGRECT!$T$10</f>
        <v>0</v>
      </c>
      <c r="N434" s="26"/>
      <c r="O434" s="227"/>
      <c r="P434" s="227"/>
      <c r="Q434" s="26"/>
      <c r="R434" s="26"/>
      <c r="S434" s="26"/>
      <c r="T434" s="26"/>
    </row>
    <row r="435" spans="6:20">
      <c r="F435" s="49"/>
      <c r="G435" s="49"/>
      <c r="H435" s="51" t="str">
        <f t="shared" si="7"/>
        <v/>
      </c>
      <c r="I435" s="49"/>
      <c r="J435" s="49"/>
      <c r="K435" s="49"/>
      <c r="L435" s="53">
        <f>O435*CFGRECT!$S$10</f>
        <v>0</v>
      </c>
      <c r="M435" s="53">
        <f>P435*CFGRECT!$T$10</f>
        <v>0</v>
      </c>
      <c r="N435" s="26"/>
      <c r="O435" s="227"/>
      <c r="P435" s="227"/>
      <c r="Q435" s="26"/>
      <c r="R435" s="26"/>
      <c r="S435" s="26"/>
      <c r="T435" s="26"/>
    </row>
    <row r="436" spans="6:20">
      <c r="F436" s="49"/>
      <c r="G436" s="49"/>
      <c r="H436" s="51" t="str">
        <f t="shared" si="7"/>
        <v/>
      </c>
      <c r="I436" s="49"/>
      <c r="J436" s="49"/>
      <c r="K436" s="49"/>
      <c r="L436" s="53">
        <f>O436*CFGRECT!$S$10</f>
        <v>0</v>
      </c>
      <c r="M436" s="53">
        <f>P436*CFGRECT!$T$10</f>
        <v>0</v>
      </c>
      <c r="N436" s="26"/>
      <c r="O436" s="227"/>
      <c r="P436" s="227"/>
      <c r="Q436" s="26"/>
      <c r="R436" s="26"/>
      <c r="S436" s="26"/>
      <c r="T436" s="26"/>
    </row>
    <row r="437" spans="6:20">
      <c r="F437" s="49"/>
      <c r="G437" s="49"/>
      <c r="H437" s="51" t="str">
        <f t="shared" si="7"/>
        <v/>
      </c>
      <c r="I437" s="49"/>
      <c r="J437" s="49"/>
      <c r="K437" s="49"/>
      <c r="L437" s="53">
        <f>O437*CFGRECT!$S$10</f>
        <v>0</v>
      </c>
      <c r="M437" s="53">
        <f>P437*CFGRECT!$T$10</f>
        <v>0</v>
      </c>
      <c r="N437" s="26"/>
      <c r="O437" s="227"/>
      <c r="P437" s="227"/>
      <c r="Q437" s="26"/>
      <c r="R437" s="26"/>
      <c r="S437" s="26"/>
      <c r="T437" s="26"/>
    </row>
    <row r="438" spans="6:20">
      <c r="F438" s="49"/>
      <c r="G438" s="49"/>
      <c r="H438" s="51" t="str">
        <f t="shared" si="7"/>
        <v/>
      </c>
      <c r="I438" s="49"/>
      <c r="J438" s="49"/>
      <c r="K438" s="49"/>
      <c r="L438" s="53">
        <f>O438*CFGRECT!$S$10</f>
        <v>0</v>
      </c>
      <c r="M438" s="53">
        <f>P438*CFGRECT!$T$10</f>
        <v>0</v>
      </c>
      <c r="N438" s="26"/>
      <c r="O438" s="227"/>
      <c r="P438" s="227"/>
      <c r="Q438" s="26"/>
      <c r="R438" s="26"/>
      <c r="S438" s="26"/>
      <c r="T438" s="26"/>
    </row>
    <row r="439" spans="6:20">
      <c r="F439" s="49"/>
      <c r="G439" s="49"/>
      <c r="H439" s="51" t="str">
        <f t="shared" si="7"/>
        <v/>
      </c>
      <c r="I439" s="49"/>
      <c r="J439" s="49"/>
      <c r="K439" s="49"/>
      <c r="L439" s="53">
        <f>O439*CFGRECT!$S$10</f>
        <v>0</v>
      </c>
      <c r="M439" s="53">
        <f>P439*CFGRECT!$T$10</f>
        <v>0</v>
      </c>
      <c r="N439" s="26"/>
      <c r="O439" s="227"/>
      <c r="P439" s="227"/>
      <c r="Q439" s="26"/>
      <c r="R439" s="26"/>
      <c r="S439" s="26"/>
      <c r="T439" s="26"/>
    </row>
    <row r="440" spans="6:20">
      <c r="F440" s="49"/>
      <c r="G440" s="49"/>
      <c r="H440" s="51" t="str">
        <f t="shared" si="7"/>
        <v/>
      </c>
      <c r="I440" s="49"/>
      <c r="J440" s="49"/>
      <c r="K440" s="49"/>
      <c r="L440" s="53">
        <f>O440*CFGRECT!$S$10</f>
        <v>0</v>
      </c>
      <c r="M440" s="53">
        <f>P440*CFGRECT!$T$10</f>
        <v>0</v>
      </c>
      <c r="N440" s="26"/>
      <c r="O440" s="227"/>
      <c r="P440" s="227"/>
      <c r="Q440" s="26"/>
      <c r="R440" s="26"/>
      <c r="S440" s="26"/>
      <c r="T440" s="26"/>
    </row>
    <row r="441" spans="6:20">
      <c r="F441" s="49"/>
      <c r="G441" s="49"/>
      <c r="H441" s="51" t="str">
        <f t="shared" si="7"/>
        <v/>
      </c>
      <c r="I441" s="49"/>
      <c r="J441" s="49"/>
      <c r="K441" s="49"/>
      <c r="L441" s="53">
        <f>O441*CFGRECT!$S$10</f>
        <v>0</v>
      </c>
      <c r="M441" s="53">
        <f>P441*CFGRECT!$T$10</f>
        <v>0</v>
      </c>
      <c r="N441" s="26"/>
      <c r="O441" s="227"/>
      <c r="P441" s="227"/>
      <c r="Q441" s="26"/>
      <c r="R441" s="26"/>
      <c r="S441" s="26"/>
      <c r="T441" s="26"/>
    </row>
    <row r="442" spans="6:20">
      <c r="F442" s="49"/>
      <c r="G442" s="49"/>
      <c r="H442" s="51" t="str">
        <f t="shared" si="7"/>
        <v/>
      </c>
      <c r="I442" s="49"/>
      <c r="J442" s="49"/>
      <c r="K442" s="49"/>
      <c r="L442" s="53">
        <f>O442*CFGRECT!$S$10</f>
        <v>0</v>
      </c>
      <c r="M442" s="53">
        <f>P442*CFGRECT!$T$10</f>
        <v>0</v>
      </c>
      <c r="N442" s="26"/>
      <c r="O442" s="227"/>
      <c r="P442" s="227"/>
      <c r="Q442" s="26"/>
      <c r="R442" s="26"/>
      <c r="S442" s="26"/>
      <c r="T442" s="26"/>
    </row>
    <row r="443" spans="6:20">
      <c r="F443" s="49"/>
      <c r="G443" s="49"/>
      <c r="H443" s="51" t="str">
        <f t="shared" si="7"/>
        <v/>
      </c>
      <c r="I443" s="49"/>
      <c r="J443" s="49"/>
      <c r="K443" s="49"/>
      <c r="L443" s="53">
        <f>O443*CFGRECT!$S$10</f>
        <v>0</v>
      </c>
      <c r="M443" s="53">
        <f>P443*CFGRECT!$T$10</f>
        <v>0</v>
      </c>
      <c r="N443" s="26"/>
      <c r="O443" s="227"/>
      <c r="P443" s="227"/>
      <c r="Q443" s="26"/>
      <c r="R443" s="26"/>
      <c r="S443" s="26"/>
      <c r="T443" s="26"/>
    </row>
    <row r="444" spans="6:20">
      <c r="F444" s="49"/>
      <c r="G444" s="49"/>
      <c r="H444" s="51" t="str">
        <f t="shared" si="7"/>
        <v/>
      </c>
      <c r="I444" s="49"/>
      <c r="J444" s="49"/>
      <c r="K444" s="49"/>
      <c r="L444" s="53">
        <f>O444*CFGRECT!$S$10</f>
        <v>0</v>
      </c>
      <c r="M444" s="53">
        <f>P444*CFGRECT!$T$10</f>
        <v>0</v>
      </c>
      <c r="N444" s="26"/>
      <c r="O444" s="227"/>
      <c r="P444" s="227"/>
      <c r="Q444" s="26"/>
      <c r="R444" s="26"/>
      <c r="S444" s="26"/>
      <c r="T444" s="26"/>
    </row>
    <row r="445" spans="6:20">
      <c r="F445" s="49"/>
      <c r="G445" s="49"/>
      <c r="H445" s="51" t="str">
        <f t="shared" si="7"/>
        <v/>
      </c>
      <c r="I445" s="49"/>
      <c r="J445" s="49"/>
      <c r="K445" s="49"/>
      <c r="L445" s="53">
        <f>O445*CFGRECT!$S$10</f>
        <v>0</v>
      </c>
      <c r="M445" s="53">
        <f>P445*CFGRECT!$T$10</f>
        <v>0</v>
      </c>
      <c r="N445" s="26"/>
      <c r="O445" s="227"/>
      <c r="P445" s="227"/>
      <c r="Q445" s="26"/>
      <c r="R445" s="26"/>
      <c r="S445" s="26"/>
      <c r="T445" s="26"/>
    </row>
    <row r="446" spans="6:20">
      <c r="F446" s="49"/>
      <c r="G446" s="49"/>
      <c r="H446" s="51" t="str">
        <f t="shared" si="7"/>
        <v/>
      </c>
      <c r="I446" s="49"/>
      <c r="J446" s="49"/>
      <c r="K446" s="49"/>
      <c r="L446" s="53">
        <f>O446*CFGRECT!$S$10</f>
        <v>0</v>
      </c>
      <c r="M446" s="53">
        <f>P446*CFGRECT!$T$10</f>
        <v>0</v>
      </c>
      <c r="N446" s="26"/>
      <c r="O446" s="227"/>
      <c r="P446" s="227"/>
      <c r="Q446" s="26"/>
      <c r="R446" s="26"/>
      <c r="S446" s="26"/>
      <c r="T446" s="26"/>
    </row>
    <row r="447" spans="6:20">
      <c r="F447" s="49"/>
      <c r="G447" s="49"/>
      <c r="H447" s="51" t="str">
        <f t="shared" si="7"/>
        <v/>
      </c>
      <c r="I447" s="49"/>
      <c r="J447" s="49"/>
      <c r="K447" s="49"/>
      <c r="L447" s="53">
        <f>O447*CFGRECT!$S$10</f>
        <v>0</v>
      </c>
      <c r="M447" s="53">
        <f>P447*CFGRECT!$T$10</f>
        <v>0</v>
      </c>
      <c r="N447" s="26"/>
      <c r="O447" s="227"/>
      <c r="P447" s="227"/>
      <c r="Q447" s="26"/>
      <c r="R447" s="26"/>
      <c r="S447" s="26"/>
      <c r="T447" s="26"/>
    </row>
    <row r="448" spans="6:20">
      <c r="F448" s="49"/>
      <c r="G448" s="49"/>
      <c r="H448" s="51" t="str">
        <f t="shared" si="7"/>
        <v/>
      </c>
      <c r="I448" s="49"/>
      <c r="J448" s="49"/>
      <c r="K448" s="49"/>
      <c r="L448" s="53">
        <f>O448*CFGRECT!$S$10</f>
        <v>0</v>
      </c>
      <c r="M448" s="53">
        <f>P448*CFGRECT!$T$10</f>
        <v>0</v>
      </c>
      <c r="N448" s="26"/>
      <c r="O448" s="227"/>
      <c r="P448" s="227"/>
      <c r="Q448" s="26"/>
      <c r="R448" s="26"/>
      <c r="S448" s="26"/>
      <c r="T448" s="26"/>
    </row>
    <row r="449" spans="6:20">
      <c r="F449" s="49"/>
      <c r="G449" s="49"/>
      <c r="H449" s="51" t="str">
        <f t="shared" si="7"/>
        <v/>
      </c>
      <c r="I449" s="49"/>
      <c r="J449" s="49"/>
      <c r="K449" s="49"/>
      <c r="L449" s="53">
        <f>O449*CFGRECT!$S$10</f>
        <v>0</v>
      </c>
      <c r="M449" s="53">
        <f>P449*CFGRECT!$T$10</f>
        <v>0</v>
      </c>
      <c r="N449" s="26"/>
      <c r="O449" s="227"/>
      <c r="P449" s="227"/>
      <c r="Q449" s="26"/>
      <c r="R449" s="26"/>
      <c r="S449" s="26"/>
      <c r="T449" s="26"/>
    </row>
    <row r="450" spans="6:20">
      <c r="F450" s="49"/>
      <c r="G450" s="49"/>
      <c r="H450" s="51" t="str">
        <f t="shared" si="7"/>
        <v/>
      </c>
      <c r="I450" s="49"/>
      <c r="J450" s="49"/>
      <c r="K450" s="49"/>
      <c r="L450" s="53">
        <f>O450*CFGRECT!$S$10</f>
        <v>0</v>
      </c>
      <c r="M450" s="53">
        <f>P450*CFGRECT!$T$10</f>
        <v>0</v>
      </c>
      <c r="N450" s="26"/>
      <c r="O450" s="227"/>
      <c r="P450" s="227"/>
      <c r="Q450" s="26"/>
      <c r="R450" s="26"/>
      <c r="S450" s="26"/>
      <c r="T450" s="26"/>
    </row>
    <row r="451" spans="6:20">
      <c r="F451" s="49"/>
      <c r="G451" s="49"/>
      <c r="H451" s="51" t="str">
        <f t="shared" si="7"/>
        <v/>
      </c>
      <c r="I451" s="49"/>
      <c r="J451" s="49"/>
      <c r="K451" s="49"/>
      <c r="L451" s="53">
        <f>O451*CFGRECT!$S$10</f>
        <v>0</v>
      </c>
      <c r="M451" s="53">
        <f>P451*CFGRECT!$T$10</f>
        <v>0</v>
      </c>
      <c r="N451" s="26"/>
      <c r="O451" s="227"/>
      <c r="P451" s="227"/>
      <c r="Q451" s="26"/>
      <c r="R451" s="26"/>
      <c r="S451" s="26"/>
      <c r="T451" s="26"/>
    </row>
    <row r="452" spans="6:20">
      <c r="F452" s="49"/>
      <c r="G452" s="49"/>
      <c r="H452" s="51" t="str">
        <f t="shared" si="7"/>
        <v/>
      </c>
      <c r="I452" s="49"/>
      <c r="J452" s="49"/>
      <c r="K452" s="49"/>
      <c r="L452" s="53">
        <f>O452*CFGRECT!$S$10</f>
        <v>0</v>
      </c>
      <c r="M452" s="53">
        <f>P452*CFGRECT!$T$10</f>
        <v>0</v>
      </c>
      <c r="N452" s="26"/>
      <c r="O452" s="227"/>
      <c r="P452" s="227"/>
      <c r="Q452" s="26"/>
      <c r="R452" s="26"/>
      <c r="S452" s="26"/>
      <c r="T452" s="26"/>
    </row>
    <row r="453" spans="6:20">
      <c r="F453" s="49"/>
      <c r="G453" s="49"/>
      <c r="H453" s="51" t="str">
        <f t="shared" si="7"/>
        <v/>
      </c>
      <c r="I453" s="49"/>
      <c r="J453" s="49"/>
      <c r="K453" s="49"/>
      <c r="L453" s="53">
        <f>O453*CFGRECT!$S$10</f>
        <v>0</v>
      </c>
      <c r="M453" s="53">
        <f>P453*CFGRECT!$T$10</f>
        <v>0</v>
      </c>
      <c r="N453" s="26"/>
      <c r="O453" s="227"/>
      <c r="P453" s="227"/>
      <c r="Q453" s="26"/>
      <c r="R453" s="26"/>
      <c r="S453" s="26"/>
      <c r="T453" s="26"/>
    </row>
    <row r="454" spans="6:20">
      <c r="F454" s="49"/>
      <c r="G454" s="49"/>
      <c r="H454" s="51" t="str">
        <f t="shared" si="7"/>
        <v/>
      </c>
      <c r="I454" s="49"/>
      <c r="J454" s="49"/>
      <c r="K454" s="49"/>
      <c r="L454" s="53">
        <f>O454*CFGRECT!$S$10</f>
        <v>0</v>
      </c>
      <c r="M454" s="53">
        <f>P454*CFGRECT!$T$10</f>
        <v>0</v>
      </c>
      <c r="N454" s="26"/>
      <c r="O454" s="227"/>
      <c r="P454" s="227"/>
      <c r="Q454" s="26"/>
      <c r="R454" s="26"/>
      <c r="S454" s="26"/>
      <c r="T454" s="26"/>
    </row>
    <row r="455" spans="6:20">
      <c r="F455" s="49"/>
      <c r="G455" s="49"/>
      <c r="H455" s="51" t="str">
        <f t="shared" si="7"/>
        <v/>
      </c>
      <c r="I455" s="49"/>
      <c r="J455" s="49"/>
      <c r="K455" s="49"/>
      <c r="L455" s="53">
        <f>O455*CFGRECT!$S$10</f>
        <v>0</v>
      </c>
      <c r="M455" s="53">
        <f>P455*CFGRECT!$T$10</f>
        <v>0</v>
      </c>
      <c r="N455" s="26"/>
      <c r="O455" s="227"/>
      <c r="P455" s="227"/>
      <c r="Q455" s="26"/>
      <c r="R455" s="26"/>
      <c r="S455" s="26"/>
      <c r="T455" s="26"/>
    </row>
    <row r="456" spans="6:20">
      <c r="F456" s="49"/>
      <c r="G456" s="49"/>
      <c r="H456" s="51" t="str">
        <f t="shared" si="7"/>
        <v/>
      </c>
      <c r="I456" s="49"/>
      <c r="J456" s="49"/>
      <c r="K456" s="49"/>
      <c r="L456" s="53">
        <f>O456*CFGRECT!$S$10</f>
        <v>0</v>
      </c>
      <c r="M456" s="53">
        <f>P456*CFGRECT!$T$10</f>
        <v>0</v>
      </c>
      <c r="N456" s="26"/>
      <c r="O456" s="227"/>
      <c r="P456" s="227"/>
      <c r="Q456" s="26"/>
      <c r="R456" s="26"/>
      <c r="S456" s="26"/>
      <c r="T456" s="26"/>
    </row>
    <row r="457" spans="6:20">
      <c r="F457" s="49"/>
      <c r="G457" s="49"/>
      <c r="H457" s="51" t="str">
        <f t="shared" si="7"/>
        <v/>
      </c>
      <c r="I457" s="49"/>
      <c r="J457" s="49"/>
      <c r="K457" s="49"/>
      <c r="L457" s="53">
        <f>O457*CFGRECT!$S$10</f>
        <v>0</v>
      </c>
      <c r="M457" s="53">
        <f>P457*CFGRECT!$T$10</f>
        <v>0</v>
      </c>
      <c r="N457" s="26"/>
      <c r="O457" s="227"/>
      <c r="P457" s="227"/>
      <c r="Q457" s="26"/>
      <c r="R457" s="26"/>
      <c r="S457" s="26"/>
      <c r="T457" s="26"/>
    </row>
    <row r="458" spans="6:20">
      <c r="F458" s="49"/>
      <c r="G458" s="49"/>
      <c r="H458" s="51" t="str">
        <f t="shared" si="7"/>
        <v/>
      </c>
      <c r="I458" s="49"/>
      <c r="J458" s="49"/>
      <c r="K458" s="49"/>
      <c r="L458" s="53">
        <f>O458*CFGRECT!$S$10</f>
        <v>0</v>
      </c>
      <c r="M458" s="53">
        <f>P458*CFGRECT!$T$10</f>
        <v>0</v>
      </c>
      <c r="N458" s="26"/>
      <c r="O458" s="227"/>
      <c r="P458" s="227"/>
      <c r="Q458" s="26"/>
      <c r="R458" s="26"/>
      <c r="S458" s="26"/>
      <c r="T458" s="26"/>
    </row>
    <row r="459" spans="6:20">
      <c r="F459" s="49"/>
      <c r="G459" s="49"/>
      <c r="H459" s="51" t="str">
        <f t="shared" si="7"/>
        <v/>
      </c>
      <c r="I459" s="49"/>
      <c r="J459" s="49"/>
      <c r="K459" s="49"/>
      <c r="L459" s="53">
        <f>O459*CFGRECT!$S$10</f>
        <v>0</v>
      </c>
      <c r="M459" s="53">
        <f>P459*CFGRECT!$T$10</f>
        <v>0</v>
      </c>
      <c r="N459" s="26"/>
      <c r="O459" s="227"/>
      <c r="P459" s="227"/>
      <c r="Q459" s="26"/>
      <c r="R459" s="26"/>
      <c r="S459" s="26"/>
      <c r="T459" s="26"/>
    </row>
    <row r="460" spans="6:20">
      <c r="F460" s="49"/>
      <c r="G460" s="49"/>
      <c r="H460" s="51" t="str">
        <f t="shared" si="7"/>
        <v/>
      </c>
      <c r="I460" s="49"/>
      <c r="J460" s="49"/>
      <c r="K460" s="49"/>
      <c r="L460" s="53">
        <f>O460*CFGRECT!$S$10</f>
        <v>0</v>
      </c>
      <c r="M460" s="53">
        <f>P460*CFGRECT!$T$10</f>
        <v>0</v>
      </c>
      <c r="N460" s="26"/>
      <c r="O460" s="227"/>
      <c r="P460" s="227"/>
      <c r="Q460" s="26"/>
      <c r="R460" s="26"/>
      <c r="S460" s="26"/>
      <c r="T460" s="26"/>
    </row>
    <row r="461" spans="6:20">
      <c r="F461" s="49"/>
      <c r="G461" s="49"/>
      <c r="H461" s="51" t="str">
        <f t="shared" si="7"/>
        <v/>
      </c>
      <c r="I461" s="49"/>
      <c r="J461" s="49"/>
      <c r="K461" s="49"/>
      <c r="L461" s="53">
        <f>O461*CFGRECT!$S$10</f>
        <v>0</v>
      </c>
      <c r="M461" s="53">
        <f>P461*CFGRECT!$T$10</f>
        <v>0</v>
      </c>
      <c r="N461" s="26"/>
      <c r="O461" s="227"/>
      <c r="P461" s="227"/>
      <c r="Q461" s="26"/>
      <c r="R461" s="26"/>
      <c r="S461" s="26"/>
      <c r="T461" s="26"/>
    </row>
    <row r="462" spans="6:20">
      <c r="F462" s="49"/>
      <c r="G462" s="49"/>
      <c r="H462" s="51" t="str">
        <f t="shared" si="7"/>
        <v/>
      </c>
      <c r="I462" s="49"/>
      <c r="J462" s="49"/>
      <c r="K462" s="49"/>
      <c r="L462" s="53">
        <f>O462*CFGRECT!$S$10</f>
        <v>0</v>
      </c>
      <c r="M462" s="53">
        <f>P462*CFGRECT!$T$10</f>
        <v>0</v>
      </c>
      <c r="N462" s="26"/>
      <c r="O462" s="227"/>
      <c r="P462" s="227"/>
      <c r="Q462" s="26"/>
      <c r="R462" s="26"/>
      <c r="S462" s="26"/>
      <c r="T462" s="26"/>
    </row>
    <row r="463" spans="6:20">
      <c r="F463" s="49"/>
      <c r="G463" s="49"/>
      <c r="H463" s="51" t="str">
        <f t="shared" si="7"/>
        <v/>
      </c>
      <c r="I463" s="49"/>
      <c r="J463" s="49"/>
      <c r="K463" s="49"/>
      <c r="L463" s="53">
        <f>O463*CFGRECT!$S$10</f>
        <v>0</v>
      </c>
      <c r="M463" s="53">
        <f>P463*CFGRECT!$T$10</f>
        <v>0</v>
      </c>
      <c r="N463" s="26"/>
      <c r="O463" s="227"/>
      <c r="P463" s="227"/>
      <c r="Q463" s="26"/>
      <c r="R463" s="26"/>
      <c r="S463" s="26"/>
      <c r="T463" s="26"/>
    </row>
    <row r="464" spans="6:20">
      <c r="F464" s="49"/>
      <c r="G464" s="49"/>
      <c r="H464" s="51" t="str">
        <f t="shared" si="7"/>
        <v/>
      </c>
      <c r="I464" s="49"/>
      <c r="J464" s="49"/>
      <c r="K464" s="49"/>
      <c r="L464" s="53">
        <f>O464*CFGRECT!$S$10</f>
        <v>0</v>
      </c>
      <c r="M464" s="53">
        <f>P464*CFGRECT!$T$10</f>
        <v>0</v>
      </c>
      <c r="N464" s="26"/>
      <c r="O464" s="227"/>
      <c r="P464" s="227"/>
      <c r="Q464" s="26"/>
      <c r="R464" s="26"/>
      <c r="S464" s="26"/>
      <c r="T464" s="26"/>
    </row>
    <row r="465" spans="6:20">
      <c r="F465" s="49"/>
      <c r="G465" s="49"/>
      <c r="H465" s="51" t="str">
        <f t="shared" ref="H465:H528" si="8">F465&amp;IF(G465="",""," - "&amp;G465)</f>
        <v/>
      </c>
      <c r="I465" s="49"/>
      <c r="J465" s="49"/>
      <c r="K465" s="49"/>
      <c r="L465" s="53">
        <f>O465*CFGRECT!$S$10</f>
        <v>0</v>
      </c>
      <c r="M465" s="53">
        <f>P465*CFGRECT!$T$10</f>
        <v>0</v>
      </c>
      <c r="N465" s="26"/>
      <c r="O465" s="227"/>
      <c r="P465" s="227"/>
      <c r="Q465" s="26"/>
      <c r="R465" s="26"/>
      <c r="S465" s="26"/>
      <c r="T465" s="26"/>
    </row>
    <row r="466" spans="6:20">
      <c r="F466" s="49"/>
      <c r="G466" s="49"/>
      <c r="H466" s="51" t="str">
        <f t="shared" si="8"/>
        <v/>
      </c>
      <c r="I466" s="49"/>
      <c r="J466" s="49"/>
      <c r="K466" s="49"/>
      <c r="L466" s="53">
        <f>O466*CFGRECT!$S$10</f>
        <v>0</v>
      </c>
      <c r="M466" s="53">
        <f>P466*CFGRECT!$T$10</f>
        <v>0</v>
      </c>
      <c r="N466" s="26"/>
      <c r="O466" s="227"/>
      <c r="P466" s="227"/>
      <c r="Q466" s="26"/>
      <c r="R466" s="26"/>
      <c r="S466" s="26"/>
      <c r="T466" s="26"/>
    </row>
    <row r="467" spans="6:20">
      <c r="F467" s="49"/>
      <c r="G467" s="49"/>
      <c r="H467" s="51" t="str">
        <f t="shared" si="8"/>
        <v/>
      </c>
      <c r="I467" s="49"/>
      <c r="J467" s="49"/>
      <c r="K467" s="49"/>
      <c r="L467" s="53">
        <f>O467*CFGRECT!$S$10</f>
        <v>0</v>
      </c>
      <c r="M467" s="53">
        <f>P467*CFGRECT!$T$10</f>
        <v>0</v>
      </c>
      <c r="N467" s="26"/>
      <c r="O467" s="227"/>
      <c r="P467" s="227"/>
      <c r="Q467" s="26"/>
      <c r="R467" s="26"/>
      <c r="S467" s="26"/>
      <c r="T467" s="26"/>
    </row>
    <row r="468" spans="6:20">
      <c r="F468" s="49"/>
      <c r="G468" s="49"/>
      <c r="H468" s="51" t="str">
        <f t="shared" si="8"/>
        <v/>
      </c>
      <c r="I468" s="49"/>
      <c r="J468" s="49"/>
      <c r="K468" s="49"/>
      <c r="L468" s="53">
        <f>O468*CFGRECT!$S$10</f>
        <v>0</v>
      </c>
      <c r="M468" s="53">
        <f>P468*CFGRECT!$T$10</f>
        <v>0</v>
      </c>
      <c r="N468" s="26"/>
      <c r="O468" s="227"/>
      <c r="P468" s="227"/>
      <c r="Q468" s="26"/>
      <c r="R468" s="26"/>
      <c r="S468" s="26"/>
      <c r="T468" s="26"/>
    </row>
    <row r="469" spans="6:20">
      <c r="F469" s="49"/>
      <c r="G469" s="49"/>
      <c r="H469" s="51" t="str">
        <f t="shared" si="8"/>
        <v/>
      </c>
      <c r="I469" s="49"/>
      <c r="J469" s="49"/>
      <c r="K469" s="49"/>
      <c r="L469" s="53">
        <f>O469*CFGRECT!$S$10</f>
        <v>0</v>
      </c>
      <c r="M469" s="53">
        <f>P469*CFGRECT!$T$10</f>
        <v>0</v>
      </c>
      <c r="N469" s="26"/>
      <c r="O469" s="227"/>
      <c r="P469" s="227"/>
      <c r="Q469" s="26"/>
      <c r="R469" s="26"/>
      <c r="S469" s="26"/>
      <c r="T469" s="26"/>
    </row>
    <row r="470" spans="6:20">
      <c r="F470" s="49"/>
      <c r="G470" s="49"/>
      <c r="H470" s="51" t="str">
        <f t="shared" si="8"/>
        <v/>
      </c>
      <c r="I470" s="49"/>
      <c r="J470" s="49"/>
      <c r="K470" s="49"/>
      <c r="L470" s="53">
        <f>O470*CFGRECT!$S$10</f>
        <v>0</v>
      </c>
      <c r="M470" s="53">
        <f>P470*CFGRECT!$T$10</f>
        <v>0</v>
      </c>
      <c r="N470" s="26"/>
      <c r="O470" s="227"/>
      <c r="P470" s="227"/>
      <c r="Q470" s="26"/>
      <c r="R470" s="26"/>
      <c r="S470" s="26"/>
      <c r="T470" s="26"/>
    </row>
    <row r="471" spans="6:20">
      <c r="F471" s="49"/>
      <c r="G471" s="49"/>
      <c r="H471" s="51" t="str">
        <f t="shared" si="8"/>
        <v/>
      </c>
      <c r="I471" s="49"/>
      <c r="J471" s="49"/>
      <c r="K471" s="49"/>
      <c r="L471" s="53">
        <f>O471*CFGRECT!$S$10</f>
        <v>0</v>
      </c>
      <c r="M471" s="53">
        <f>P471*CFGRECT!$T$10</f>
        <v>0</v>
      </c>
      <c r="N471" s="26"/>
      <c r="O471" s="227"/>
      <c r="P471" s="227"/>
      <c r="Q471" s="26"/>
      <c r="R471" s="26"/>
      <c r="S471" s="26"/>
      <c r="T471" s="26"/>
    </row>
    <row r="472" spans="6:20">
      <c r="F472" s="49"/>
      <c r="G472" s="49"/>
      <c r="H472" s="51" t="str">
        <f t="shared" si="8"/>
        <v/>
      </c>
      <c r="I472" s="49"/>
      <c r="J472" s="49"/>
      <c r="K472" s="49"/>
      <c r="L472" s="53">
        <f>O472*CFGRECT!$S$10</f>
        <v>0</v>
      </c>
      <c r="M472" s="53">
        <f>P472*CFGRECT!$T$10</f>
        <v>0</v>
      </c>
      <c r="N472" s="26"/>
      <c r="O472" s="227"/>
      <c r="P472" s="227"/>
      <c r="Q472" s="26"/>
      <c r="R472" s="26"/>
      <c r="S472" s="26"/>
      <c r="T472" s="26"/>
    </row>
    <row r="473" spans="6:20">
      <c r="F473" s="49"/>
      <c r="G473" s="49"/>
      <c r="H473" s="51" t="str">
        <f t="shared" si="8"/>
        <v/>
      </c>
      <c r="I473" s="49"/>
      <c r="J473" s="49"/>
      <c r="K473" s="49"/>
      <c r="L473" s="53">
        <f>O473*CFGRECT!$S$10</f>
        <v>0</v>
      </c>
      <c r="M473" s="53">
        <f>P473*CFGRECT!$T$10</f>
        <v>0</v>
      </c>
      <c r="N473" s="26"/>
      <c r="O473" s="227"/>
      <c r="P473" s="227"/>
      <c r="Q473" s="26"/>
      <c r="R473" s="26"/>
      <c r="S473" s="26"/>
      <c r="T473" s="26"/>
    </row>
    <row r="474" spans="6:20">
      <c r="F474" s="49"/>
      <c r="G474" s="49"/>
      <c r="H474" s="51" t="str">
        <f t="shared" si="8"/>
        <v/>
      </c>
      <c r="I474" s="49"/>
      <c r="J474" s="49"/>
      <c r="K474" s="49"/>
      <c r="L474" s="53">
        <f>O474*CFGRECT!$S$10</f>
        <v>0</v>
      </c>
      <c r="M474" s="53">
        <f>P474*CFGRECT!$T$10</f>
        <v>0</v>
      </c>
      <c r="N474" s="26"/>
      <c r="O474" s="227"/>
      <c r="P474" s="227"/>
      <c r="Q474" s="26"/>
      <c r="R474" s="26"/>
      <c r="S474" s="26"/>
      <c r="T474" s="26"/>
    </row>
    <row r="475" spans="6:20">
      <c r="F475" s="49"/>
      <c r="G475" s="49"/>
      <c r="H475" s="51" t="str">
        <f t="shared" si="8"/>
        <v/>
      </c>
      <c r="I475" s="49"/>
      <c r="J475" s="49"/>
      <c r="K475" s="49"/>
      <c r="L475" s="53">
        <f>O475*CFGRECT!$S$10</f>
        <v>0</v>
      </c>
      <c r="M475" s="53">
        <f>P475*CFGRECT!$T$10</f>
        <v>0</v>
      </c>
      <c r="N475" s="26"/>
      <c r="O475" s="227"/>
      <c r="P475" s="227"/>
      <c r="Q475" s="26"/>
      <c r="R475" s="26"/>
      <c r="S475" s="26"/>
      <c r="T475" s="26"/>
    </row>
    <row r="476" spans="6:20">
      <c r="F476" s="49"/>
      <c r="G476" s="49"/>
      <c r="H476" s="51" t="str">
        <f t="shared" si="8"/>
        <v/>
      </c>
      <c r="I476" s="49"/>
      <c r="J476" s="49"/>
      <c r="K476" s="49"/>
      <c r="L476" s="53">
        <f>O476*CFGRECT!$S$10</f>
        <v>0</v>
      </c>
      <c r="M476" s="53">
        <f>P476*CFGRECT!$T$10</f>
        <v>0</v>
      </c>
      <c r="N476" s="26"/>
      <c r="O476" s="227"/>
      <c r="P476" s="227"/>
      <c r="Q476" s="26"/>
      <c r="R476" s="26"/>
      <c r="S476" s="26"/>
      <c r="T476" s="26"/>
    </row>
    <row r="477" spans="6:20">
      <c r="F477" s="49"/>
      <c r="G477" s="49"/>
      <c r="H477" s="51" t="str">
        <f t="shared" si="8"/>
        <v/>
      </c>
      <c r="I477" s="49"/>
      <c r="J477" s="49"/>
      <c r="K477" s="49"/>
      <c r="L477" s="53">
        <f>O477*CFGRECT!$S$10</f>
        <v>0</v>
      </c>
      <c r="M477" s="53">
        <f>P477*CFGRECT!$T$10</f>
        <v>0</v>
      </c>
      <c r="N477" s="26"/>
      <c r="O477" s="227"/>
      <c r="P477" s="227"/>
      <c r="Q477" s="26"/>
      <c r="R477" s="26"/>
      <c r="S477" s="26"/>
      <c r="T477" s="26"/>
    </row>
    <row r="478" spans="6:20">
      <c r="F478" s="49"/>
      <c r="G478" s="49"/>
      <c r="H478" s="51" t="str">
        <f t="shared" si="8"/>
        <v/>
      </c>
      <c r="I478" s="49"/>
      <c r="J478" s="49"/>
      <c r="K478" s="49"/>
      <c r="L478" s="53">
        <f>O478*CFGRECT!$S$10</f>
        <v>0</v>
      </c>
      <c r="M478" s="53">
        <f>P478*CFGRECT!$T$10</f>
        <v>0</v>
      </c>
      <c r="N478" s="26"/>
      <c r="O478" s="227"/>
      <c r="P478" s="227"/>
      <c r="Q478" s="26"/>
      <c r="R478" s="26"/>
      <c r="S478" s="26"/>
      <c r="T478" s="26"/>
    </row>
    <row r="479" spans="6:20">
      <c r="F479" s="49"/>
      <c r="G479" s="49"/>
      <c r="H479" s="51" t="str">
        <f t="shared" si="8"/>
        <v/>
      </c>
      <c r="I479" s="49"/>
      <c r="J479" s="49"/>
      <c r="K479" s="49"/>
      <c r="L479" s="53">
        <f>O479*CFGRECT!$S$10</f>
        <v>0</v>
      </c>
      <c r="M479" s="53">
        <f>P479*CFGRECT!$T$10</f>
        <v>0</v>
      </c>
      <c r="N479" s="26"/>
      <c r="O479" s="227"/>
      <c r="P479" s="227"/>
      <c r="Q479" s="26"/>
      <c r="R479" s="26"/>
      <c r="S479" s="26"/>
      <c r="T479" s="26"/>
    </row>
    <row r="480" spans="6:20">
      <c r="F480" s="49"/>
      <c r="G480" s="49"/>
      <c r="H480" s="51" t="str">
        <f t="shared" si="8"/>
        <v/>
      </c>
      <c r="I480" s="49"/>
      <c r="J480" s="49"/>
      <c r="K480" s="49"/>
      <c r="L480" s="53">
        <f>O480*CFGRECT!$S$10</f>
        <v>0</v>
      </c>
      <c r="M480" s="53">
        <f>P480*CFGRECT!$T$10</f>
        <v>0</v>
      </c>
      <c r="N480" s="26"/>
      <c r="O480" s="227"/>
      <c r="P480" s="227"/>
      <c r="Q480" s="26"/>
      <c r="R480" s="26"/>
      <c r="S480" s="26"/>
      <c r="T480" s="26"/>
    </row>
    <row r="481" spans="6:20">
      <c r="F481" s="49"/>
      <c r="G481" s="49"/>
      <c r="H481" s="51" t="str">
        <f t="shared" si="8"/>
        <v/>
      </c>
      <c r="I481" s="49"/>
      <c r="J481" s="49"/>
      <c r="K481" s="49"/>
      <c r="L481" s="53">
        <f>O481*CFGRECT!$S$10</f>
        <v>0</v>
      </c>
      <c r="M481" s="53">
        <f>P481*CFGRECT!$T$10</f>
        <v>0</v>
      </c>
      <c r="N481" s="26"/>
      <c r="O481" s="227"/>
      <c r="P481" s="227"/>
      <c r="Q481" s="26"/>
      <c r="R481" s="26"/>
      <c r="S481" s="26"/>
      <c r="T481" s="26"/>
    </row>
    <row r="482" spans="6:20">
      <c r="F482" s="49"/>
      <c r="G482" s="49"/>
      <c r="H482" s="51" t="str">
        <f t="shared" si="8"/>
        <v/>
      </c>
      <c r="I482" s="49"/>
      <c r="J482" s="49"/>
      <c r="K482" s="49"/>
      <c r="L482" s="53">
        <f>O482*CFGRECT!$S$10</f>
        <v>0</v>
      </c>
      <c r="M482" s="53">
        <f>P482*CFGRECT!$T$10</f>
        <v>0</v>
      </c>
      <c r="N482" s="26"/>
      <c r="O482" s="227"/>
      <c r="P482" s="227"/>
      <c r="Q482" s="26"/>
      <c r="R482" s="26"/>
      <c r="S482" s="26"/>
      <c r="T482" s="26"/>
    </row>
    <row r="483" spans="6:20">
      <c r="F483" s="49"/>
      <c r="G483" s="49"/>
      <c r="H483" s="51" t="str">
        <f t="shared" si="8"/>
        <v/>
      </c>
      <c r="I483" s="49"/>
      <c r="J483" s="49"/>
      <c r="K483" s="49"/>
      <c r="L483" s="53">
        <f>O483*CFGRECT!$S$10</f>
        <v>0</v>
      </c>
      <c r="M483" s="53">
        <f>P483*CFGRECT!$T$10</f>
        <v>0</v>
      </c>
      <c r="N483" s="26"/>
      <c r="O483" s="227"/>
      <c r="P483" s="227"/>
      <c r="Q483" s="26"/>
      <c r="R483" s="26"/>
      <c r="S483" s="26"/>
      <c r="T483" s="26"/>
    </row>
    <row r="484" spans="6:20">
      <c r="F484" s="49"/>
      <c r="G484" s="49"/>
      <c r="H484" s="51" t="str">
        <f t="shared" si="8"/>
        <v/>
      </c>
      <c r="I484" s="49"/>
      <c r="J484" s="49"/>
      <c r="K484" s="49"/>
      <c r="L484" s="53">
        <f>O484*CFGRECT!$S$10</f>
        <v>0</v>
      </c>
      <c r="M484" s="53">
        <f>P484*CFGRECT!$T$10</f>
        <v>0</v>
      </c>
      <c r="N484" s="26"/>
      <c r="O484" s="227"/>
      <c r="P484" s="227"/>
      <c r="Q484" s="26"/>
      <c r="R484" s="26"/>
      <c r="S484" s="26"/>
      <c r="T484" s="26"/>
    </row>
    <row r="485" spans="6:20">
      <c r="F485" s="49"/>
      <c r="G485" s="49"/>
      <c r="H485" s="51" t="str">
        <f t="shared" si="8"/>
        <v/>
      </c>
      <c r="I485" s="49"/>
      <c r="J485" s="49"/>
      <c r="K485" s="49"/>
      <c r="L485" s="53">
        <f>O485*CFGRECT!$S$10</f>
        <v>0</v>
      </c>
      <c r="M485" s="53">
        <f>P485*CFGRECT!$T$10</f>
        <v>0</v>
      </c>
      <c r="N485" s="26"/>
      <c r="O485" s="227"/>
      <c r="P485" s="227"/>
      <c r="Q485" s="26"/>
      <c r="R485" s="26"/>
      <c r="S485" s="26"/>
      <c r="T485" s="26"/>
    </row>
    <row r="486" spans="6:20">
      <c r="F486" s="49"/>
      <c r="G486" s="49"/>
      <c r="H486" s="51" t="str">
        <f t="shared" si="8"/>
        <v/>
      </c>
      <c r="I486" s="49"/>
      <c r="J486" s="49"/>
      <c r="K486" s="49"/>
      <c r="L486" s="53">
        <f>O486*CFGRECT!$S$10</f>
        <v>0</v>
      </c>
      <c r="M486" s="53">
        <f>P486*CFGRECT!$T$10</f>
        <v>0</v>
      </c>
      <c r="N486" s="26"/>
      <c r="O486" s="227"/>
      <c r="P486" s="227"/>
      <c r="Q486" s="26"/>
      <c r="R486" s="26"/>
      <c r="S486" s="26"/>
      <c r="T486" s="26"/>
    </row>
    <row r="487" spans="6:20">
      <c r="F487" s="49"/>
      <c r="G487" s="49"/>
      <c r="H487" s="51" t="str">
        <f t="shared" si="8"/>
        <v/>
      </c>
      <c r="I487" s="49"/>
      <c r="J487" s="49"/>
      <c r="K487" s="49"/>
      <c r="L487" s="53">
        <f>O487*CFGRECT!$S$10</f>
        <v>0</v>
      </c>
      <c r="M487" s="53">
        <f>P487*CFGRECT!$T$10</f>
        <v>0</v>
      </c>
      <c r="N487" s="26"/>
      <c r="O487" s="227"/>
      <c r="P487" s="227"/>
      <c r="Q487" s="26"/>
      <c r="R487" s="26"/>
      <c r="S487" s="26"/>
      <c r="T487" s="26"/>
    </row>
    <row r="488" spans="6:20">
      <c r="F488" s="49"/>
      <c r="G488" s="49"/>
      <c r="H488" s="51" t="str">
        <f t="shared" si="8"/>
        <v/>
      </c>
      <c r="I488" s="49"/>
      <c r="J488" s="49"/>
      <c r="K488" s="49"/>
      <c r="L488" s="53">
        <f>O488*CFGRECT!$S$10</f>
        <v>0</v>
      </c>
      <c r="M488" s="53">
        <f>P488*CFGRECT!$T$10</f>
        <v>0</v>
      </c>
      <c r="N488" s="26"/>
      <c r="O488" s="227"/>
      <c r="P488" s="227"/>
      <c r="Q488" s="26"/>
      <c r="R488" s="26"/>
      <c r="S488" s="26"/>
      <c r="T488" s="26"/>
    </row>
    <row r="489" spans="6:20">
      <c r="F489" s="49"/>
      <c r="G489" s="49"/>
      <c r="H489" s="51" t="str">
        <f t="shared" si="8"/>
        <v/>
      </c>
      <c r="I489" s="49"/>
      <c r="J489" s="49"/>
      <c r="K489" s="49"/>
      <c r="L489" s="53">
        <f>O489*CFGRECT!$S$10</f>
        <v>0</v>
      </c>
      <c r="M489" s="53">
        <f>P489*CFGRECT!$T$10</f>
        <v>0</v>
      </c>
      <c r="N489" s="26"/>
      <c r="O489" s="227"/>
      <c r="P489" s="227"/>
      <c r="Q489" s="26"/>
      <c r="R489" s="26"/>
      <c r="S489" s="26"/>
      <c r="T489" s="26"/>
    </row>
    <row r="490" spans="6:20">
      <c r="F490" s="49"/>
      <c r="G490" s="49"/>
      <c r="H490" s="51" t="str">
        <f t="shared" si="8"/>
        <v/>
      </c>
      <c r="I490" s="49"/>
      <c r="J490" s="49"/>
      <c r="K490" s="49"/>
      <c r="L490" s="53">
        <f>O490*CFGRECT!$S$10</f>
        <v>0</v>
      </c>
      <c r="M490" s="53">
        <f>P490*CFGRECT!$T$10</f>
        <v>0</v>
      </c>
      <c r="N490" s="26"/>
      <c r="O490" s="227"/>
      <c r="P490" s="227"/>
      <c r="Q490" s="26"/>
      <c r="R490" s="26"/>
      <c r="S490" s="26"/>
      <c r="T490" s="26"/>
    </row>
    <row r="491" spans="6:20">
      <c r="F491" s="49"/>
      <c r="G491" s="49"/>
      <c r="H491" s="51" t="str">
        <f t="shared" si="8"/>
        <v/>
      </c>
      <c r="I491" s="49"/>
      <c r="J491" s="49"/>
      <c r="K491" s="49"/>
      <c r="L491" s="53">
        <f>O491*CFGRECT!$S$10</f>
        <v>0</v>
      </c>
      <c r="M491" s="53">
        <f>P491*CFGRECT!$T$10</f>
        <v>0</v>
      </c>
      <c r="N491" s="26"/>
      <c r="O491" s="227"/>
      <c r="P491" s="227"/>
      <c r="Q491" s="26"/>
      <c r="R491" s="26"/>
      <c r="S491" s="26"/>
      <c r="T491" s="26"/>
    </row>
    <row r="492" spans="6:20">
      <c r="F492" s="49"/>
      <c r="G492" s="49"/>
      <c r="H492" s="51" t="str">
        <f t="shared" si="8"/>
        <v/>
      </c>
      <c r="I492" s="49"/>
      <c r="J492" s="49"/>
      <c r="K492" s="49"/>
      <c r="L492" s="53">
        <f>O492*CFGRECT!$S$10</f>
        <v>0</v>
      </c>
      <c r="M492" s="53">
        <f>P492*CFGRECT!$T$10</f>
        <v>0</v>
      </c>
      <c r="N492" s="26"/>
      <c r="O492" s="227"/>
      <c r="P492" s="227"/>
      <c r="Q492" s="26"/>
      <c r="R492" s="26"/>
      <c r="S492" s="26"/>
      <c r="T492" s="26"/>
    </row>
    <row r="493" spans="6:20">
      <c r="F493" s="49"/>
      <c r="G493" s="49"/>
      <c r="H493" s="51" t="str">
        <f t="shared" si="8"/>
        <v/>
      </c>
      <c r="I493" s="49"/>
      <c r="J493" s="49"/>
      <c r="K493" s="49"/>
      <c r="L493" s="53">
        <f>O493*CFGRECT!$S$10</f>
        <v>0</v>
      </c>
      <c r="M493" s="53">
        <f>P493*CFGRECT!$T$10</f>
        <v>0</v>
      </c>
      <c r="N493" s="26"/>
      <c r="O493" s="227"/>
      <c r="P493" s="227"/>
      <c r="Q493" s="26"/>
      <c r="R493" s="26"/>
      <c r="S493" s="26"/>
      <c r="T493" s="26"/>
    </row>
    <row r="494" spans="6:20">
      <c r="F494" s="49"/>
      <c r="G494" s="49"/>
      <c r="H494" s="51" t="str">
        <f t="shared" si="8"/>
        <v/>
      </c>
      <c r="I494" s="49"/>
      <c r="J494" s="49"/>
      <c r="K494" s="49"/>
      <c r="L494" s="53">
        <f>O494*CFGRECT!$S$10</f>
        <v>0</v>
      </c>
      <c r="M494" s="53">
        <f>P494*CFGRECT!$T$10</f>
        <v>0</v>
      </c>
      <c r="N494" s="26"/>
      <c r="O494" s="227"/>
      <c r="P494" s="227"/>
      <c r="Q494" s="26"/>
      <c r="R494" s="26"/>
      <c r="S494" s="26"/>
      <c r="T494" s="26"/>
    </row>
    <row r="495" spans="6:20">
      <c r="F495" s="49"/>
      <c r="G495" s="49"/>
      <c r="H495" s="51" t="str">
        <f t="shared" si="8"/>
        <v/>
      </c>
      <c r="I495" s="49"/>
      <c r="J495" s="49"/>
      <c r="K495" s="49"/>
      <c r="L495" s="53">
        <f>O495*CFGRECT!$S$10</f>
        <v>0</v>
      </c>
      <c r="M495" s="53">
        <f>P495*CFGRECT!$T$10</f>
        <v>0</v>
      </c>
      <c r="N495" s="26"/>
      <c r="O495" s="227"/>
      <c r="P495" s="227"/>
      <c r="Q495" s="26"/>
      <c r="R495" s="26"/>
      <c r="S495" s="26"/>
      <c r="T495" s="26"/>
    </row>
    <row r="496" spans="6:20">
      <c r="F496" s="49"/>
      <c r="G496" s="49"/>
      <c r="H496" s="51" t="str">
        <f t="shared" si="8"/>
        <v/>
      </c>
      <c r="I496" s="49"/>
      <c r="J496" s="49"/>
      <c r="K496" s="49"/>
      <c r="L496" s="53">
        <f>O496*CFGRECT!$S$10</f>
        <v>0</v>
      </c>
      <c r="M496" s="53">
        <f>P496*CFGRECT!$T$10</f>
        <v>0</v>
      </c>
      <c r="N496" s="26"/>
      <c r="O496" s="227"/>
      <c r="P496" s="227"/>
      <c r="Q496" s="26"/>
      <c r="R496" s="26"/>
      <c r="S496" s="26"/>
      <c r="T496" s="26"/>
    </row>
    <row r="497" spans="6:20">
      <c r="F497" s="49"/>
      <c r="G497" s="49"/>
      <c r="H497" s="51" t="str">
        <f t="shared" si="8"/>
        <v/>
      </c>
      <c r="I497" s="49"/>
      <c r="J497" s="49"/>
      <c r="K497" s="49"/>
      <c r="L497" s="53">
        <f>O497*CFGRECT!$S$10</f>
        <v>0</v>
      </c>
      <c r="M497" s="53">
        <f>P497*CFGRECT!$T$10</f>
        <v>0</v>
      </c>
      <c r="N497" s="26"/>
      <c r="O497" s="227"/>
      <c r="P497" s="227"/>
      <c r="Q497" s="26"/>
      <c r="R497" s="26"/>
      <c r="S497" s="26"/>
      <c r="T497" s="26"/>
    </row>
    <row r="498" spans="6:20">
      <c r="F498" s="49"/>
      <c r="G498" s="49"/>
      <c r="H498" s="51" t="str">
        <f t="shared" si="8"/>
        <v/>
      </c>
      <c r="I498" s="49"/>
      <c r="J498" s="49"/>
      <c r="K498" s="49"/>
      <c r="L498" s="53">
        <f>O498*CFGRECT!$S$10</f>
        <v>0</v>
      </c>
      <c r="M498" s="53">
        <f>P498*CFGRECT!$T$10</f>
        <v>0</v>
      </c>
      <c r="N498" s="26"/>
      <c r="O498" s="227"/>
      <c r="P498" s="227"/>
      <c r="Q498" s="26"/>
      <c r="R498" s="26"/>
      <c r="S498" s="26"/>
      <c r="T498" s="26"/>
    </row>
    <row r="499" spans="6:20">
      <c r="F499" s="49"/>
      <c r="G499" s="49"/>
      <c r="H499" s="51" t="str">
        <f t="shared" si="8"/>
        <v/>
      </c>
      <c r="I499" s="49"/>
      <c r="J499" s="49"/>
      <c r="K499" s="49"/>
      <c r="L499" s="53">
        <f>O499*CFGRECT!$S$10</f>
        <v>0</v>
      </c>
      <c r="M499" s="53">
        <f>P499*CFGRECT!$T$10</f>
        <v>0</v>
      </c>
      <c r="N499" s="26"/>
      <c r="O499" s="227"/>
      <c r="P499" s="227"/>
      <c r="Q499" s="26"/>
      <c r="R499" s="26"/>
      <c r="S499" s="26"/>
      <c r="T499" s="26"/>
    </row>
    <row r="500" spans="6:20">
      <c r="F500" s="49"/>
      <c r="G500" s="49"/>
      <c r="H500" s="51" t="str">
        <f t="shared" si="8"/>
        <v/>
      </c>
      <c r="I500" s="49"/>
      <c r="J500" s="49"/>
      <c r="K500" s="49"/>
      <c r="L500" s="53">
        <f>O500*CFGRECT!$S$10</f>
        <v>0</v>
      </c>
      <c r="M500" s="53">
        <f>P500*CFGRECT!$T$10</f>
        <v>0</v>
      </c>
      <c r="N500" s="26"/>
      <c r="O500" s="227"/>
      <c r="P500" s="227"/>
      <c r="Q500" s="26"/>
      <c r="R500" s="26"/>
      <c r="S500" s="26"/>
      <c r="T500" s="26"/>
    </row>
    <row r="501" spans="6:20">
      <c r="F501" s="49"/>
      <c r="G501" s="49"/>
      <c r="H501" s="51" t="str">
        <f t="shared" si="8"/>
        <v/>
      </c>
      <c r="I501" s="49"/>
      <c r="J501" s="49"/>
      <c r="K501" s="49"/>
      <c r="L501" s="53">
        <f>O501*CFGRECT!$S$10</f>
        <v>0</v>
      </c>
      <c r="M501" s="53">
        <f>P501*CFGRECT!$T$10</f>
        <v>0</v>
      </c>
      <c r="N501" s="26"/>
      <c r="O501" s="227"/>
      <c r="P501" s="227"/>
      <c r="Q501" s="26"/>
      <c r="R501" s="26"/>
      <c r="S501" s="26"/>
      <c r="T501" s="26"/>
    </row>
    <row r="502" spans="6:20">
      <c r="F502" s="49"/>
      <c r="G502" s="49"/>
      <c r="H502" s="51" t="str">
        <f t="shared" si="8"/>
        <v/>
      </c>
      <c r="I502" s="49"/>
      <c r="J502" s="49"/>
      <c r="K502" s="49"/>
      <c r="L502" s="53">
        <f>O502*CFGRECT!$S$10</f>
        <v>0</v>
      </c>
      <c r="M502" s="53">
        <f>P502*CFGRECT!$T$10</f>
        <v>0</v>
      </c>
      <c r="N502" s="26"/>
      <c r="O502" s="227"/>
      <c r="P502" s="227"/>
      <c r="Q502" s="26"/>
      <c r="R502" s="26"/>
      <c r="S502" s="26"/>
      <c r="T502" s="26"/>
    </row>
    <row r="503" spans="6:20">
      <c r="F503" s="49"/>
      <c r="G503" s="49"/>
      <c r="H503" s="51" t="str">
        <f t="shared" si="8"/>
        <v/>
      </c>
      <c r="I503" s="49"/>
      <c r="J503" s="49"/>
      <c r="K503" s="49"/>
      <c r="L503" s="53">
        <f>O503*CFGRECT!$S$10</f>
        <v>0</v>
      </c>
      <c r="M503" s="53">
        <f>P503*CFGRECT!$T$10</f>
        <v>0</v>
      </c>
      <c r="N503" s="26"/>
      <c r="O503" s="227"/>
      <c r="P503" s="227"/>
      <c r="Q503" s="26"/>
      <c r="R503" s="26"/>
      <c r="S503" s="26"/>
      <c r="T503" s="26"/>
    </row>
    <row r="504" spans="6:20">
      <c r="F504" s="49"/>
      <c r="G504" s="49"/>
      <c r="H504" s="51" t="str">
        <f t="shared" si="8"/>
        <v/>
      </c>
      <c r="I504" s="49"/>
      <c r="J504" s="49"/>
      <c r="K504" s="49"/>
      <c r="L504" s="53">
        <f>O504*CFGRECT!$S$10</f>
        <v>0</v>
      </c>
      <c r="M504" s="53">
        <f>P504*CFGRECT!$T$10</f>
        <v>0</v>
      </c>
      <c r="N504" s="26"/>
      <c r="O504" s="227"/>
      <c r="P504" s="227"/>
      <c r="Q504" s="26"/>
      <c r="R504" s="26"/>
      <c r="S504" s="26"/>
      <c r="T504" s="26"/>
    </row>
    <row r="505" spans="6:20">
      <c r="F505" s="49"/>
      <c r="G505" s="49"/>
      <c r="H505" s="51" t="str">
        <f t="shared" si="8"/>
        <v/>
      </c>
      <c r="I505" s="49"/>
      <c r="J505" s="49"/>
      <c r="K505" s="49"/>
      <c r="L505" s="53">
        <f>O505*CFGRECT!$S$10</f>
        <v>0</v>
      </c>
      <c r="M505" s="53">
        <f>P505*CFGRECT!$T$10</f>
        <v>0</v>
      </c>
      <c r="N505" s="26"/>
      <c r="O505" s="227"/>
      <c r="P505" s="227"/>
      <c r="Q505" s="26"/>
      <c r="R505" s="26"/>
      <c r="S505" s="26"/>
      <c r="T505" s="26"/>
    </row>
    <row r="506" spans="6:20">
      <c r="F506" s="49"/>
      <c r="G506" s="49"/>
      <c r="H506" s="51" t="str">
        <f t="shared" si="8"/>
        <v/>
      </c>
      <c r="I506" s="49"/>
      <c r="J506" s="49"/>
      <c r="K506" s="49"/>
      <c r="L506" s="53">
        <f>O506*CFGRECT!$S$10</f>
        <v>0</v>
      </c>
      <c r="M506" s="53">
        <f>P506*CFGRECT!$T$10</f>
        <v>0</v>
      </c>
      <c r="N506" s="26"/>
      <c r="O506" s="227"/>
      <c r="P506" s="227"/>
      <c r="Q506" s="26"/>
      <c r="R506" s="26"/>
      <c r="S506" s="26"/>
      <c r="T506" s="26"/>
    </row>
    <row r="507" spans="6:20">
      <c r="F507" s="49"/>
      <c r="G507" s="49"/>
      <c r="H507" s="51" t="str">
        <f t="shared" si="8"/>
        <v/>
      </c>
      <c r="I507" s="49"/>
      <c r="J507" s="49"/>
      <c r="K507" s="49"/>
      <c r="L507" s="53">
        <f>O507*CFGRECT!$S$10</f>
        <v>0</v>
      </c>
      <c r="M507" s="53">
        <f>P507*CFGRECT!$T$10</f>
        <v>0</v>
      </c>
      <c r="N507" s="26"/>
      <c r="O507" s="227"/>
      <c r="P507" s="227"/>
      <c r="Q507" s="26"/>
      <c r="R507" s="26"/>
      <c r="S507" s="26"/>
      <c r="T507" s="26"/>
    </row>
    <row r="508" spans="6:20">
      <c r="F508" s="49"/>
      <c r="G508" s="49"/>
      <c r="H508" s="51" t="str">
        <f t="shared" si="8"/>
        <v/>
      </c>
      <c r="I508" s="49"/>
      <c r="J508" s="49"/>
      <c r="K508" s="49"/>
      <c r="L508" s="53">
        <f>O508*CFGRECT!$S$10</f>
        <v>0</v>
      </c>
      <c r="M508" s="53">
        <f>P508*CFGRECT!$T$10</f>
        <v>0</v>
      </c>
      <c r="N508" s="26"/>
      <c r="O508" s="227"/>
      <c r="P508" s="227"/>
      <c r="Q508" s="26"/>
      <c r="R508" s="26"/>
      <c r="S508" s="26"/>
      <c r="T508" s="26"/>
    </row>
    <row r="509" spans="6:20">
      <c r="F509" s="49"/>
      <c r="G509" s="49"/>
      <c r="H509" s="51" t="str">
        <f t="shared" si="8"/>
        <v/>
      </c>
      <c r="I509" s="49"/>
      <c r="J509" s="49"/>
      <c r="K509" s="49"/>
      <c r="L509" s="53">
        <f>O509*CFGRECT!$S$10</f>
        <v>0</v>
      </c>
      <c r="M509" s="53">
        <f>P509*CFGRECT!$T$10</f>
        <v>0</v>
      </c>
      <c r="N509" s="26"/>
      <c r="O509" s="227"/>
      <c r="P509" s="227"/>
      <c r="Q509" s="26"/>
      <c r="R509" s="26"/>
      <c r="S509" s="26"/>
      <c r="T509" s="26"/>
    </row>
    <row r="510" spans="6:20">
      <c r="F510" s="49"/>
      <c r="G510" s="49"/>
      <c r="H510" s="51" t="str">
        <f t="shared" si="8"/>
        <v/>
      </c>
      <c r="I510" s="49"/>
      <c r="J510" s="49"/>
      <c r="K510" s="49"/>
      <c r="L510" s="53">
        <f>O510*CFGRECT!$S$10</f>
        <v>0</v>
      </c>
      <c r="M510" s="53">
        <f>P510*CFGRECT!$T$10</f>
        <v>0</v>
      </c>
      <c r="N510" s="26"/>
      <c r="O510" s="227"/>
      <c r="P510" s="227"/>
      <c r="Q510" s="26"/>
      <c r="R510" s="26"/>
      <c r="S510" s="26"/>
      <c r="T510" s="26"/>
    </row>
    <row r="511" spans="6:20">
      <c r="F511" s="49"/>
      <c r="G511" s="49"/>
      <c r="H511" s="51" t="str">
        <f t="shared" si="8"/>
        <v/>
      </c>
      <c r="I511" s="49"/>
      <c r="J511" s="49"/>
      <c r="K511" s="49"/>
      <c r="L511" s="53">
        <f>O511*CFGRECT!$S$10</f>
        <v>0</v>
      </c>
      <c r="M511" s="53">
        <f>P511*CFGRECT!$T$10</f>
        <v>0</v>
      </c>
      <c r="N511" s="26"/>
      <c r="O511" s="227"/>
      <c r="P511" s="227"/>
      <c r="Q511" s="26"/>
      <c r="R511" s="26"/>
      <c r="S511" s="26"/>
      <c r="T511" s="26"/>
    </row>
    <row r="512" spans="6:20">
      <c r="F512" s="49"/>
      <c r="G512" s="49"/>
      <c r="H512" s="51" t="str">
        <f t="shared" si="8"/>
        <v/>
      </c>
      <c r="I512" s="49"/>
      <c r="J512" s="49"/>
      <c r="K512" s="49"/>
      <c r="L512" s="53">
        <f>O512*CFGRECT!$S$10</f>
        <v>0</v>
      </c>
      <c r="M512" s="53">
        <f>P512*CFGRECT!$T$10</f>
        <v>0</v>
      </c>
      <c r="N512" s="26"/>
      <c r="O512" s="227"/>
      <c r="P512" s="227"/>
      <c r="Q512" s="26"/>
      <c r="R512" s="26"/>
      <c r="S512" s="26"/>
      <c r="T512" s="26"/>
    </row>
    <row r="513" spans="6:20">
      <c r="F513" s="49"/>
      <c r="G513" s="49"/>
      <c r="H513" s="51" t="str">
        <f t="shared" si="8"/>
        <v/>
      </c>
      <c r="I513" s="49"/>
      <c r="J513" s="49"/>
      <c r="K513" s="49"/>
      <c r="L513" s="53">
        <f>O513*CFGRECT!$S$10</f>
        <v>0</v>
      </c>
      <c r="M513" s="53">
        <f>P513*CFGRECT!$T$10</f>
        <v>0</v>
      </c>
      <c r="N513" s="26"/>
      <c r="O513" s="227"/>
      <c r="P513" s="227"/>
      <c r="Q513" s="26"/>
      <c r="R513" s="26"/>
      <c r="S513" s="26"/>
      <c r="T513" s="26"/>
    </row>
    <row r="514" spans="6:20">
      <c r="F514" s="49"/>
      <c r="G514" s="49"/>
      <c r="H514" s="51" t="str">
        <f t="shared" si="8"/>
        <v/>
      </c>
      <c r="I514" s="49"/>
      <c r="J514" s="49"/>
      <c r="K514" s="49"/>
      <c r="L514" s="53">
        <f>O514*CFGRECT!$S$10</f>
        <v>0</v>
      </c>
      <c r="M514" s="53">
        <f>P514*CFGRECT!$T$10</f>
        <v>0</v>
      </c>
      <c r="N514" s="26"/>
      <c r="O514" s="227"/>
      <c r="P514" s="227"/>
      <c r="Q514" s="26"/>
      <c r="R514" s="26"/>
      <c r="S514" s="26"/>
      <c r="T514" s="26"/>
    </row>
    <row r="515" spans="6:20">
      <c r="F515" s="49"/>
      <c r="G515" s="49"/>
      <c r="H515" s="51" t="str">
        <f t="shared" si="8"/>
        <v/>
      </c>
      <c r="I515" s="49"/>
      <c r="J515" s="49"/>
      <c r="K515" s="49"/>
      <c r="L515" s="53">
        <f>O515*CFGRECT!$S$10</f>
        <v>0</v>
      </c>
      <c r="M515" s="53">
        <f>P515*CFGRECT!$T$10</f>
        <v>0</v>
      </c>
      <c r="N515" s="26"/>
      <c r="O515" s="227"/>
      <c r="P515" s="227"/>
      <c r="Q515" s="26"/>
      <c r="R515" s="26"/>
      <c r="S515" s="26"/>
      <c r="T515" s="26"/>
    </row>
    <row r="516" spans="6:20">
      <c r="F516" s="49"/>
      <c r="G516" s="49"/>
      <c r="H516" s="51" t="str">
        <f t="shared" si="8"/>
        <v/>
      </c>
      <c r="I516" s="49"/>
      <c r="J516" s="49"/>
      <c r="K516" s="49"/>
      <c r="L516" s="53">
        <f>O516*CFGRECT!$S$10</f>
        <v>0</v>
      </c>
      <c r="M516" s="53">
        <f>P516*CFGRECT!$T$10</f>
        <v>0</v>
      </c>
      <c r="N516" s="26"/>
      <c r="O516" s="227"/>
      <c r="P516" s="227"/>
      <c r="Q516" s="26"/>
      <c r="R516" s="26"/>
      <c r="S516" s="26"/>
      <c r="T516" s="26"/>
    </row>
    <row r="517" spans="6:20">
      <c r="F517" s="49"/>
      <c r="G517" s="49"/>
      <c r="H517" s="51" t="str">
        <f t="shared" si="8"/>
        <v/>
      </c>
      <c r="I517" s="49"/>
      <c r="J517" s="49"/>
      <c r="K517" s="49"/>
      <c r="L517" s="53">
        <f>O517*CFGRECT!$S$10</f>
        <v>0</v>
      </c>
      <c r="M517" s="53">
        <f>P517*CFGRECT!$T$10</f>
        <v>0</v>
      </c>
      <c r="N517" s="26"/>
      <c r="O517" s="227"/>
      <c r="P517" s="227"/>
      <c r="Q517" s="26"/>
      <c r="R517" s="26"/>
      <c r="S517" s="26"/>
      <c r="T517" s="26"/>
    </row>
    <row r="518" spans="6:20">
      <c r="F518" s="49"/>
      <c r="G518" s="49"/>
      <c r="H518" s="51" t="str">
        <f t="shared" si="8"/>
        <v/>
      </c>
      <c r="I518" s="49"/>
      <c r="J518" s="49"/>
      <c r="K518" s="49"/>
      <c r="L518" s="53">
        <f>O518*CFGRECT!$S$10</f>
        <v>0</v>
      </c>
      <c r="M518" s="53">
        <f>P518*CFGRECT!$T$10</f>
        <v>0</v>
      </c>
      <c r="N518" s="26"/>
      <c r="O518" s="227"/>
      <c r="P518" s="227"/>
      <c r="Q518" s="26"/>
      <c r="R518" s="26"/>
      <c r="S518" s="26"/>
      <c r="T518" s="26"/>
    </row>
    <row r="519" spans="6:20">
      <c r="F519" s="49"/>
      <c r="G519" s="49"/>
      <c r="H519" s="51" t="str">
        <f t="shared" si="8"/>
        <v/>
      </c>
      <c r="I519" s="49"/>
      <c r="J519" s="49"/>
      <c r="K519" s="49"/>
      <c r="L519" s="53">
        <f>O519*CFGRECT!$S$10</f>
        <v>0</v>
      </c>
      <c r="M519" s="53">
        <f>P519*CFGRECT!$T$10</f>
        <v>0</v>
      </c>
      <c r="N519" s="26"/>
      <c r="O519" s="227"/>
      <c r="P519" s="227"/>
      <c r="Q519" s="26"/>
      <c r="R519" s="26"/>
      <c r="S519" s="26"/>
      <c r="T519" s="26"/>
    </row>
    <row r="520" spans="6:20">
      <c r="F520" s="49"/>
      <c r="G520" s="49"/>
      <c r="H520" s="51" t="str">
        <f t="shared" si="8"/>
        <v/>
      </c>
      <c r="I520" s="49"/>
      <c r="J520" s="49"/>
      <c r="K520" s="49"/>
      <c r="L520" s="53">
        <f>O520*CFGRECT!$S$10</f>
        <v>0</v>
      </c>
      <c r="M520" s="53">
        <f>P520*CFGRECT!$T$10</f>
        <v>0</v>
      </c>
      <c r="N520" s="26"/>
      <c r="O520" s="227"/>
      <c r="P520" s="227"/>
      <c r="Q520" s="26"/>
      <c r="R520" s="26"/>
      <c r="S520" s="26"/>
      <c r="T520" s="26"/>
    </row>
    <row r="521" spans="6:20">
      <c r="F521" s="49"/>
      <c r="G521" s="49"/>
      <c r="H521" s="51" t="str">
        <f t="shared" si="8"/>
        <v/>
      </c>
      <c r="I521" s="49"/>
      <c r="J521" s="49"/>
      <c r="K521" s="49"/>
      <c r="L521" s="53">
        <f>O521*CFGRECT!$S$10</f>
        <v>0</v>
      </c>
      <c r="M521" s="53">
        <f>P521*CFGRECT!$T$10</f>
        <v>0</v>
      </c>
      <c r="N521" s="26"/>
      <c r="O521" s="227"/>
      <c r="P521" s="227"/>
      <c r="Q521" s="26"/>
      <c r="R521" s="26"/>
      <c r="S521" s="26"/>
      <c r="T521" s="26"/>
    </row>
    <row r="522" spans="6:20">
      <c r="F522" s="49"/>
      <c r="G522" s="49"/>
      <c r="H522" s="51" t="str">
        <f t="shared" si="8"/>
        <v/>
      </c>
      <c r="I522" s="49"/>
      <c r="J522" s="49"/>
      <c r="K522" s="49"/>
      <c r="L522" s="53">
        <f>O522*CFGRECT!$S$10</f>
        <v>0</v>
      </c>
      <c r="M522" s="53">
        <f>P522*CFGRECT!$T$10</f>
        <v>0</v>
      </c>
      <c r="N522" s="26"/>
      <c r="O522" s="227"/>
      <c r="P522" s="227"/>
      <c r="Q522" s="26"/>
      <c r="R522" s="26"/>
      <c r="S522" s="26"/>
      <c r="T522" s="26"/>
    </row>
    <row r="523" spans="6:20">
      <c r="F523" s="49"/>
      <c r="G523" s="49"/>
      <c r="H523" s="51" t="str">
        <f t="shared" si="8"/>
        <v/>
      </c>
      <c r="I523" s="49"/>
      <c r="J523" s="49"/>
      <c r="K523" s="49"/>
      <c r="L523" s="53">
        <f>O523*CFGRECT!$S$10</f>
        <v>0</v>
      </c>
      <c r="M523" s="53">
        <f>P523*CFGRECT!$T$10</f>
        <v>0</v>
      </c>
      <c r="N523" s="26"/>
      <c r="O523" s="227"/>
      <c r="P523" s="227"/>
      <c r="Q523" s="26"/>
      <c r="R523" s="26"/>
      <c r="S523" s="26"/>
      <c r="T523" s="26"/>
    </row>
    <row r="524" spans="6:20">
      <c r="F524" s="49"/>
      <c r="G524" s="49"/>
      <c r="H524" s="51" t="str">
        <f t="shared" si="8"/>
        <v/>
      </c>
      <c r="I524" s="49"/>
      <c r="J524" s="49"/>
      <c r="K524" s="49"/>
      <c r="L524" s="53">
        <f>O524*CFGRECT!$S$10</f>
        <v>0</v>
      </c>
      <c r="M524" s="53">
        <f>P524*CFGRECT!$T$10</f>
        <v>0</v>
      </c>
      <c r="N524" s="26"/>
      <c r="O524" s="227"/>
      <c r="P524" s="227"/>
      <c r="Q524" s="26"/>
      <c r="R524" s="26"/>
      <c r="S524" s="26"/>
      <c r="T524" s="26"/>
    </row>
    <row r="525" spans="6:20">
      <c r="F525" s="49"/>
      <c r="G525" s="49"/>
      <c r="H525" s="51" t="str">
        <f t="shared" si="8"/>
        <v/>
      </c>
      <c r="I525" s="49"/>
      <c r="J525" s="49"/>
      <c r="K525" s="49"/>
      <c r="L525" s="53">
        <f>O525*CFGRECT!$S$10</f>
        <v>0</v>
      </c>
      <c r="M525" s="53">
        <f>P525*CFGRECT!$T$10</f>
        <v>0</v>
      </c>
      <c r="N525" s="26"/>
      <c r="O525" s="227"/>
      <c r="P525" s="227"/>
      <c r="Q525" s="26"/>
      <c r="R525" s="26"/>
      <c r="S525" s="26"/>
      <c r="T525" s="26"/>
    </row>
    <row r="526" spans="6:20">
      <c r="F526" s="49"/>
      <c r="G526" s="49"/>
      <c r="H526" s="51" t="str">
        <f t="shared" si="8"/>
        <v/>
      </c>
      <c r="I526" s="49"/>
      <c r="J526" s="49"/>
      <c r="K526" s="49"/>
      <c r="L526" s="53">
        <f>O526*CFGRECT!$S$10</f>
        <v>0</v>
      </c>
      <c r="M526" s="53">
        <f>P526*CFGRECT!$T$10</f>
        <v>0</v>
      </c>
      <c r="N526" s="26"/>
      <c r="O526" s="227"/>
      <c r="P526" s="227"/>
      <c r="Q526" s="26"/>
      <c r="R526" s="26"/>
      <c r="S526" s="26"/>
      <c r="T526" s="26"/>
    </row>
    <row r="527" spans="6:20">
      <c r="F527" s="49"/>
      <c r="G527" s="49"/>
      <c r="H527" s="51" t="str">
        <f t="shared" si="8"/>
        <v/>
      </c>
      <c r="I527" s="49"/>
      <c r="J527" s="49"/>
      <c r="K527" s="49"/>
      <c r="L527" s="53">
        <f>O527*CFGRECT!$S$10</f>
        <v>0</v>
      </c>
      <c r="M527" s="53">
        <f>P527*CFGRECT!$T$10</f>
        <v>0</v>
      </c>
      <c r="N527" s="26"/>
      <c r="O527" s="227"/>
      <c r="P527" s="227"/>
      <c r="Q527" s="26"/>
      <c r="R527" s="26"/>
      <c r="S527" s="26"/>
      <c r="T527" s="26"/>
    </row>
    <row r="528" spans="6:20">
      <c r="F528" s="49"/>
      <c r="G528" s="49"/>
      <c r="H528" s="51" t="str">
        <f t="shared" si="8"/>
        <v/>
      </c>
      <c r="I528" s="49"/>
      <c r="J528" s="49"/>
      <c r="K528" s="49"/>
      <c r="L528" s="53">
        <f>O528*CFGRECT!$S$10</f>
        <v>0</v>
      </c>
      <c r="M528" s="53">
        <f>P528*CFGRECT!$T$10</f>
        <v>0</v>
      </c>
      <c r="N528" s="26"/>
      <c r="O528" s="227"/>
      <c r="P528" s="227"/>
      <c r="Q528" s="26"/>
      <c r="R528" s="26"/>
      <c r="S528" s="26"/>
      <c r="T528" s="26"/>
    </row>
    <row r="529" spans="6:20">
      <c r="F529" s="49"/>
      <c r="G529" s="49"/>
      <c r="H529" s="51" t="str">
        <f t="shared" ref="H529:H592" si="9">F529&amp;IF(G529="",""," - "&amp;G529)</f>
        <v/>
      </c>
      <c r="I529" s="49"/>
      <c r="J529" s="49"/>
      <c r="K529" s="49"/>
      <c r="L529" s="53">
        <f>O529*CFGRECT!$S$10</f>
        <v>0</v>
      </c>
      <c r="M529" s="53">
        <f>P529*CFGRECT!$T$10</f>
        <v>0</v>
      </c>
      <c r="N529" s="26"/>
      <c r="O529" s="227"/>
      <c r="P529" s="227"/>
      <c r="Q529" s="26"/>
      <c r="R529" s="26"/>
      <c r="S529" s="26"/>
      <c r="T529" s="26"/>
    </row>
    <row r="530" spans="6:20">
      <c r="F530" s="49"/>
      <c r="G530" s="49"/>
      <c r="H530" s="51" t="str">
        <f t="shared" si="9"/>
        <v/>
      </c>
      <c r="I530" s="49"/>
      <c r="J530" s="49"/>
      <c r="K530" s="49"/>
      <c r="L530" s="53">
        <f>O530*CFGRECT!$S$10</f>
        <v>0</v>
      </c>
      <c r="M530" s="53">
        <f>P530*CFGRECT!$T$10</f>
        <v>0</v>
      </c>
      <c r="N530" s="26"/>
      <c r="O530" s="227"/>
      <c r="P530" s="227"/>
      <c r="Q530" s="26"/>
      <c r="R530" s="26"/>
      <c r="S530" s="26"/>
      <c r="T530" s="26"/>
    </row>
    <row r="531" spans="6:20">
      <c r="F531" s="49"/>
      <c r="G531" s="49"/>
      <c r="H531" s="51" t="str">
        <f t="shared" si="9"/>
        <v/>
      </c>
      <c r="I531" s="49"/>
      <c r="J531" s="49"/>
      <c r="K531" s="49"/>
      <c r="L531" s="53">
        <f>O531*CFGRECT!$S$10</f>
        <v>0</v>
      </c>
      <c r="M531" s="53">
        <f>P531*CFGRECT!$T$10</f>
        <v>0</v>
      </c>
      <c r="N531" s="26"/>
      <c r="O531" s="227"/>
      <c r="P531" s="227"/>
      <c r="Q531" s="26"/>
      <c r="R531" s="26"/>
      <c r="S531" s="26"/>
      <c r="T531" s="26"/>
    </row>
    <row r="532" spans="6:20">
      <c r="F532" s="49"/>
      <c r="G532" s="49"/>
      <c r="H532" s="51" t="str">
        <f t="shared" si="9"/>
        <v/>
      </c>
      <c r="I532" s="49"/>
      <c r="J532" s="49"/>
      <c r="K532" s="49"/>
      <c r="L532" s="53">
        <f>O532*CFGRECT!$S$10</f>
        <v>0</v>
      </c>
      <c r="M532" s="53">
        <f>P532*CFGRECT!$T$10</f>
        <v>0</v>
      </c>
      <c r="N532" s="26"/>
      <c r="O532" s="227"/>
      <c r="P532" s="227"/>
      <c r="Q532" s="26"/>
      <c r="R532" s="26"/>
      <c r="S532" s="26"/>
      <c r="T532" s="26"/>
    </row>
    <row r="533" spans="6:20">
      <c r="F533" s="49"/>
      <c r="G533" s="49"/>
      <c r="H533" s="51" t="str">
        <f t="shared" si="9"/>
        <v/>
      </c>
      <c r="I533" s="49"/>
      <c r="J533" s="49"/>
      <c r="K533" s="49"/>
      <c r="L533" s="53">
        <f>O533*CFGRECT!$S$10</f>
        <v>0</v>
      </c>
      <c r="M533" s="53">
        <f>P533*CFGRECT!$T$10</f>
        <v>0</v>
      </c>
      <c r="N533" s="26"/>
      <c r="O533" s="227"/>
      <c r="P533" s="227"/>
      <c r="Q533" s="26"/>
      <c r="R533" s="26"/>
      <c r="S533" s="26"/>
      <c r="T533" s="26"/>
    </row>
    <row r="534" spans="6:20">
      <c r="F534" s="49"/>
      <c r="G534" s="49"/>
      <c r="H534" s="51" t="str">
        <f t="shared" si="9"/>
        <v/>
      </c>
      <c r="I534" s="49"/>
      <c r="J534" s="49"/>
      <c r="K534" s="49"/>
      <c r="L534" s="53">
        <f>O534*CFGRECT!$S$10</f>
        <v>0</v>
      </c>
      <c r="M534" s="53">
        <f>P534*CFGRECT!$T$10</f>
        <v>0</v>
      </c>
      <c r="N534" s="26"/>
      <c r="O534" s="227"/>
      <c r="P534" s="227"/>
      <c r="Q534" s="26"/>
      <c r="R534" s="26"/>
      <c r="S534" s="26"/>
      <c r="T534" s="26"/>
    </row>
    <row r="535" spans="6:20">
      <c r="F535" s="49"/>
      <c r="G535" s="49"/>
      <c r="H535" s="51" t="str">
        <f t="shared" si="9"/>
        <v/>
      </c>
      <c r="I535" s="49"/>
      <c r="J535" s="49"/>
      <c r="K535" s="49"/>
      <c r="L535" s="53">
        <f>O535*CFGRECT!$S$10</f>
        <v>0</v>
      </c>
      <c r="M535" s="53">
        <f>P535*CFGRECT!$T$10</f>
        <v>0</v>
      </c>
      <c r="N535" s="26"/>
      <c r="O535" s="227"/>
      <c r="P535" s="227"/>
      <c r="Q535" s="26"/>
      <c r="R535" s="26"/>
      <c r="S535" s="26"/>
      <c r="T535" s="26"/>
    </row>
    <row r="536" spans="6:20">
      <c r="F536" s="49"/>
      <c r="G536" s="49"/>
      <c r="H536" s="51" t="str">
        <f t="shared" si="9"/>
        <v/>
      </c>
      <c r="I536" s="49"/>
      <c r="J536" s="49"/>
      <c r="K536" s="49"/>
      <c r="L536" s="53">
        <f>O536*CFGRECT!$S$10</f>
        <v>0</v>
      </c>
      <c r="M536" s="53">
        <f>P536*CFGRECT!$T$10</f>
        <v>0</v>
      </c>
      <c r="N536" s="26"/>
      <c r="O536" s="227"/>
      <c r="P536" s="227"/>
      <c r="Q536" s="26"/>
      <c r="R536" s="26"/>
      <c r="S536" s="26"/>
      <c r="T536" s="26"/>
    </row>
    <row r="537" spans="6:20">
      <c r="F537" s="49"/>
      <c r="G537" s="49"/>
      <c r="H537" s="51" t="str">
        <f t="shared" si="9"/>
        <v/>
      </c>
      <c r="I537" s="49"/>
      <c r="J537" s="49"/>
      <c r="K537" s="49"/>
      <c r="L537" s="53">
        <f>O537*CFGRECT!$S$10</f>
        <v>0</v>
      </c>
      <c r="M537" s="53">
        <f>P537*CFGRECT!$T$10</f>
        <v>0</v>
      </c>
      <c r="N537" s="26"/>
      <c r="O537" s="227"/>
      <c r="P537" s="227"/>
      <c r="Q537" s="26"/>
      <c r="R537" s="26"/>
      <c r="S537" s="26"/>
      <c r="T537" s="26"/>
    </row>
    <row r="538" spans="6:20">
      <c r="F538" s="49"/>
      <c r="G538" s="49"/>
      <c r="H538" s="51" t="str">
        <f t="shared" si="9"/>
        <v/>
      </c>
      <c r="I538" s="49"/>
      <c r="J538" s="49"/>
      <c r="K538" s="49"/>
      <c r="L538" s="53">
        <f>O538*CFGRECT!$S$10</f>
        <v>0</v>
      </c>
      <c r="M538" s="53">
        <f>P538*CFGRECT!$T$10</f>
        <v>0</v>
      </c>
      <c r="N538" s="26"/>
      <c r="O538" s="227"/>
      <c r="P538" s="227"/>
      <c r="Q538" s="26"/>
      <c r="R538" s="26"/>
      <c r="S538" s="26"/>
      <c r="T538" s="26"/>
    </row>
    <row r="539" spans="6:20">
      <c r="F539" s="49"/>
      <c r="G539" s="49"/>
      <c r="H539" s="51" t="str">
        <f t="shared" si="9"/>
        <v/>
      </c>
      <c r="I539" s="49"/>
      <c r="J539" s="49"/>
      <c r="K539" s="49"/>
      <c r="L539" s="53">
        <f>O539*CFGRECT!$S$10</f>
        <v>0</v>
      </c>
      <c r="M539" s="53">
        <f>P539*CFGRECT!$T$10</f>
        <v>0</v>
      </c>
      <c r="N539" s="26"/>
      <c r="O539" s="227"/>
      <c r="P539" s="227"/>
      <c r="Q539" s="26"/>
      <c r="R539" s="26"/>
      <c r="S539" s="26"/>
      <c r="T539" s="26"/>
    </row>
    <row r="540" spans="6:20">
      <c r="F540" s="49"/>
      <c r="G540" s="49"/>
      <c r="H540" s="51" t="str">
        <f t="shared" si="9"/>
        <v/>
      </c>
      <c r="I540" s="49"/>
      <c r="J540" s="49"/>
      <c r="K540" s="49"/>
      <c r="L540" s="53">
        <f>O540*CFGRECT!$S$10</f>
        <v>0</v>
      </c>
      <c r="M540" s="53">
        <f>P540*CFGRECT!$T$10</f>
        <v>0</v>
      </c>
      <c r="N540" s="26"/>
      <c r="O540" s="227"/>
      <c r="P540" s="227"/>
      <c r="Q540" s="26"/>
      <c r="R540" s="26"/>
      <c r="S540" s="26"/>
      <c r="T540" s="26"/>
    </row>
    <row r="541" spans="6:20">
      <c r="F541" s="49"/>
      <c r="G541" s="49"/>
      <c r="H541" s="51" t="str">
        <f t="shared" si="9"/>
        <v/>
      </c>
      <c r="I541" s="49"/>
      <c r="J541" s="49"/>
      <c r="K541" s="49"/>
      <c r="L541" s="53">
        <f>O541*CFGRECT!$S$10</f>
        <v>0</v>
      </c>
      <c r="M541" s="53">
        <f>P541*CFGRECT!$T$10</f>
        <v>0</v>
      </c>
      <c r="N541" s="26"/>
      <c r="O541" s="227"/>
      <c r="P541" s="227"/>
      <c r="Q541" s="26"/>
      <c r="R541" s="26"/>
      <c r="S541" s="26"/>
      <c r="T541" s="26"/>
    </row>
    <row r="542" spans="6:20">
      <c r="F542" s="49"/>
      <c r="G542" s="49"/>
      <c r="H542" s="51" t="str">
        <f t="shared" si="9"/>
        <v/>
      </c>
      <c r="I542" s="49"/>
      <c r="J542" s="49"/>
      <c r="K542" s="49"/>
      <c r="L542" s="53">
        <f>O542*CFGRECT!$S$10</f>
        <v>0</v>
      </c>
      <c r="M542" s="53">
        <f>P542*CFGRECT!$T$10</f>
        <v>0</v>
      </c>
      <c r="N542" s="26"/>
      <c r="O542" s="227"/>
      <c r="P542" s="227"/>
      <c r="Q542" s="26"/>
      <c r="R542" s="26"/>
      <c r="S542" s="26"/>
      <c r="T542" s="26"/>
    </row>
    <row r="543" spans="6:20">
      <c r="F543" s="49"/>
      <c r="G543" s="49"/>
      <c r="H543" s="51" t="str">
        <f t="shared" si="9"/>
        <v/>
      </c>
      <c r="I543" s="49"/>
      <c r="J543" s="49"/>
      <c r="K543" s="49"/>
      <c r="L543" s="53">
        <f>O543*CFGRECT!$S$10</f>
        <v>0</v>
      </c>
      <c r="M543" s="53">
        <f>P543*CFGRECT!$T$10</f>
        <v>0</v>
      </c>
      <c r="N543" s="26"/>
      <c r="O543" s="227"/>
      <c r="P543" s="227"/>
      <c r="Q543" s="26"/>
      <c r="R543" s="26"/>
      <c r="S543" s="26"/>
      <c r="T543" s="26"/>
    </row>
    <row r="544" spans="6:20">
      <c r="F544" s="49"/>
      <c r="G544" s="49"/>
      <c r="H544" s="51" t="str">
        <f t="shared" si="9"/>
        <v/>
      </c>
      <c r="I544" s="49"/>
      <c r="J544" s="49"/>
      <c r="K544" s="49"/>
      <c r="L544" s="53">
        <f>O544*CFGRECT!$S$10</f>
        <v>0</v>
      </c>
      <c r="M544" s="53">
        <f>P544*CFGRECT!$T$10</f>
        <v>0</v>
      </c>
      <c r="N544" s="26"/>
      <c r="O544" s="227"/>
      <c r="P544" s="227"/>
      <c r="Q544" s="26"/>
      <c r="R544" s="26"/>
      <c r="S544" s="26"/>
      <c r="T544" s="26"/>
    </row>
    <row r="545" spans="6:20">
      <c r="F545" s="49"/>
      <c r="G545" s="49"/>
      <c r="H545" s="51" t="str">
        <f t="shared" si="9"/>
        <v/>
      </c>
      <c r="I545" s="49"/>
      <c r="J545" s="49"/>
      <c r="K545" s="49"/>
      <c r="L545" s="53">
        <f>O545*CFGRECT!$S$10</f>
        <v>0</v>
      </c>
      <c r="M545" s="53">
        <f>P545*CFGRECT!$T$10</f>
        <v>0</v>
      </c>
      <c r="N545" s="26"/>
      <c r="O545" s="227"/>
      <c r="P545" s="227"/>
      <c r="Q545" s="26"/>
      <c r="R545" s="26"/>
      <c r="S545" s="26"/>
      <c r="T545" s="26"/>
    </row>
    <row r="546" spans="6:20">
      <c r="F546" s="49"/>
      <c r="G546" s="49"/>
      <c r="H546" s="51" t="str">
        <f t="shared" si="9"/>
        <v/>
      </c>
      <c r="I546" s="49"/>
      <c r="J546" s="49"/>
      <c r="K546" s="49"/>
      <c r="L546" s="53">
        <f>O546*CFGRECT!$S$10</f>
        <v>0</v>
      </c>
      <c r="M546" s="53">
        <f>P546*CFGRECT!$T$10</f>
        <v>0</v>
      </c>
      <c r="N546" s="26"/>
      <c r="O546" s="227"/>
      <c r="P546" s="227"/>
      <c r="Q546" s="26"/>
      <c r="R546" s="26"/>
      <c r="S546" s="26"/>
      <c r="T546" s="26"/>
    </row>
    <row r="547" spans="6:20">
      <c r="F547" s="49"/>
      <c r="G547" s="49"/>
      <c r="H547" s="51" t="str">
        <f t="shared" si="9"/>
        <v/>
      </c>
      <c r="I547" s="49"/>
      <c r="J547" s="49"/>
      <c r="K547" s="49"/>
      <c r="L547" s="53">
        <f>O547*CFGRECT!$S$10</f>
        <v>0</v>
      </c>
      <c r="M547" s="53">
        <f>P547*CFGRECT!$T$10</f>
        <v>0</v>
      </c>
      <c r="N547" s="26"/>
      <c r="O547" s="227"/>
      <c r="P547" s="227"/>
      <c r="Q547" s="26"/>
      <c r="R547" s="26"/>
      <c r="S547" s="26"/>
      <c r="T547" s="26"/>
    </row>
    <row r="548" spans="6:20">
      <c r="F548" s="49"/>
      <c r="G548" s="49"/>
      <c r="H548" s="51" t="str">
        <f t="shared" si="9"/>
        <v/>
      </c>
      <c r="I548" s="49"/>
      <c r="J548" s="49"/>
      <c r="K548" s="49"/>
      <c r="L548" s="53">
        <f>O548*CFGRECT!$S$10</f>
        <v>0</v>
      </c>
      <c r="M548" s="53">
        <f>P548*CFGRECT!$T$10</f>
        <v>0</v>
      </c>
      <c r="N548" s="26"/>
      <c r="O548" s="227"/>
      <c r="P548" s="227"/>
      <c r="Q548" s="26"/>
      <c r="R548" s="26"/>
      <c r="S548" s="26"/>
      <c r="T548" s="26"/>
    </row>
    <row r="549" spans="6:20">
      <c r="F549" s="49"/>
      <c r="G549" s="49"/>
      <c r="H549" s="51" t="str">
        <f t="shared" si="9"/>
        <v/>
      </c>
      <c r="I549" s="49"/>
      <c r="J549" s="49"/>
      <c r="K549" s="49"/>
      <c r="L549" s="53">
        <f>O549*CFGRECT!$S$10</f>
        <v>0</v>
      </c>
      <c r="M549" s="53">
        <f>P549*CFGRECT!$T$10</f>
        <v>0</v>
      </c>
      <c r="N549" s="26"/>
      <c r="O549" s="227"/>
      <c r="P549" s="227"/>
      <c r="Q549" s="26"/>
      <c r="R549" s="26"/>
      <c r="S549" s="26"/>
      <c r="T549" s="26"/>
    </row>
    <row r="550" spans="6:20">
      <c r="F550" s="49"/>
      <c r="G550" s="49"/>
      <c r="H550" s="51" t="str">
        <f t="shared" si="9"/>
        <v/>
      </c>
      <c r="I550" s="49"/>
      <c r="J550" s="49"/>
      <c r="K550" s="49"/>
      <c r="L550" s="53">
        <f>O550*CFGRECT!$S$10</f>
        <v>0</v>
      </c>
      <c r="M550" s="53">
        <f>P550*CFGRECT!$T$10</f>
        <v>0</v>
      </c>
      <c r="N550" s="26"/>
      <c r="O550" s="227"/>
      <c r="P550" s="227"/>
      <c r="Q550" s="26"/>
      <c r="R550" s="26"/>
      <c r="S550" s="26"/>
      <c r="T550" s="26"/>
    </row>
    <row r="551" spans="6:20">
      <c r="F551" s="49"/>
      <c r="G551" s="49"/>
      <c r="H551" s="51" t="str">
        <f t="shared" si="9"/>
        <v/>
      </c>
      <c r="I551" s="49"/>
      <c r="J551" s="49"/>
      <c r="K551" s="49"/>
      <c r="L551" s="53">
        <f>O551*CFGRECT!$S$10</f>
        <v>0</v>
      </c>
      <c r="M551" s="53">
        <f>P551*CFGRECT!$T$10</f>
        <v>0</v>
      </c>
      <c r="N551" s="26"/>
      <c r="O551" s="227"/>
      <c r="P551" s="227"/>
      <c r="Q551" s="26"/>
      <c r="R551" s="26"/>
      <c r="S551" s="26"/>
      <c r="T551" s="26"/>
    </row>
    <row r="552" spans="6:20">
      <c r="F552" s="49"/>
      <c r="G552" s="49"/>
      <c r="H552" s="51" t="str">
        <f t="shared" si="9"/>
        <v/>
      </c>
      <c r="I552" s="49"/>
      <c r="J552" s="49"/>
      <c r="K552" s="49"/>
      <c r="L552" s="53">
        <f>O552*CFGRECT!$S$10</f>
        <v>0</v>
      </c>
      <c r="M552" s="53">
        <f>P552*CFGRECT!$T$10</f>
        <v>0</v>
      </c>
      <c r="N552" s="26"/>
      <c r="O552" s="227"/>
      <c r="P552" s="227"/>
      <c r="Q552" s="26"/>
      <c r="R552" s="26"/>
      <c r="S552" s="26"/>
      <c r="T552" s="26"/>
    </row>
    <row r="553" spans="6:20">
      <c r="F553" s="49"/>
      <c r="G553" s="49"/>
      <c r="H553" s="51" t="str">
        <f t="shared" si="9"/>
        <v/>
      </c>
      <c r="I553" s="49"/>
      <c r="J553" s="49"/>
      <c r="K553" s="49"/>
      <c r="L553" s="53">
        <f>O553*CFGRECT!$S$10</f>
        <v>0</v>
      </c>
      <c r="M553" s="53">
        <f>P553*CFGRECT!$T$10</f>
        <v>0</v>
      </c>
      <c r="N553" s="26"/>
      <c r="O553" s="227"/>
      <c r="P553" s="227"/>
      <c r="Q553" s="26"/>
      <c r="R553" s="26"/>
      <c r="S553" s="26"/>
      <c r="T553" s="26"/>
    </row>
    <row r="554" spans="6:20">
      <c r="F554" s="49"/>
      <c r="G554" s="49"/>
      <c r="H554" s="51" t="str">
        <f t="shared" si="9"/>
        <v/>
      </c>
      <c r="I554" s="49"/>
      <c r="J554" s="49"/>
      <c r="K554" s="49"/>
      <c r="L554" s="53">
        <f>O554*CFGRECT!$S$10</f>
        <v>0</v>
      </c>
      <c r="M554" s="53">
        <f>P554*CFGRECT!$T$10</f>
        <v>0</v>
      </c>
      <c r="N554" s="26"/>
      <c r="O554" s="227"/>
      <c r="P554" s="227"/>
      <c r="Q554" s="26"/>
      <c r="R554" s="26"/>
      <c r="S554" s="26"/>
      <c r="T554" s="26"/>
    </row>
    <row r="555" spans="6:20">
      <c r="F555" s="49"/>
      <c r="G555" s="49"/>
      <c r="H555" s="51" t="str">
        <f t="shared" si="9"/>
        <v/>
      </c>
      <c r="I555" s="49"/>
      <c r="J555" s="49"/>
      <c r="K555" s="49"/>
      <c r="L555" s="53">
        <f>O555*CFGRECT!$S$10</f>
        <v>0</v>
      </c>
      <c r="M555" s="53">
        <f>P555*CFGRECT!$T$10</f>
        <v>0</v>
      </c>
      <c r="N555" s="26"/>
      <c r="O555" s="227"/>
      <c r="P555" s="227"/>
      <c r="Q555" s="26"/>
      <c r="R555" s="26"/>
      <c r="S555" s="26"/>
      <c r="T555" s="26"/>
    </row>
    <row r="556" spans="6:20">
      <c r="F556" s="49"/>
      <c r="G556" s="49"/>
      <c r="H556" s="51" t="str">
        <f t="shared" si="9"/>
        <v/>
      </c>
      <c r="I556" s="49"/>
      <c r="J556" s="49"/>
      <c r="K556" s="49"/>
      <c r="L556" s="53">
        <f>O556*CFGRECT!$S$10</f>
        <v>0</v>
      </c>
      <c r="M556" s="53">
        <f>P556*CFGRECT!$T$10</f>
        <v>0</v>
      </c>
      <c r="N556" s="26"/>
      <c r="O556" s="227"/>
      <c r="P556" s="227"/>
      <c r="Q556" s="26"/>
      <c r="R556" s="26"/>
      <c r="S556" s="26"/>
      <c r="T556" s="26"/>
    </row>
    <row r="557" spans="6:20">
      <c r="F557" s="49"/>
      <c r="G557" s="49"/>
      <c r="H557" s="51" t="str">
        <f t="shared" si="9"/>
        <v/>
      </c>
      <c r="I557" s="49"/>
      <c r="J557" s="49"/>
      <c r="K557" s="49"/>
      <c r="L557" s="53">
        <f>O557*CFGRECT!$S$10</f>
        <v>0</v>
      </c>
      <c r="M557" s="53">
        <f>P557*CFGRECT!$T$10</f>
        <v>0</v>
      </c>
      <c r="N557" s="26"/>
      <c r="O557" s="227"/>
      <c r="P557" s="227"/>
      <c r="Q557" s="26"/>
      <c r="R557" s="26"/>
      <c r="S557" s="26"/>
      <c r="T557" s="26"/>
    </row>
    <row r="558" spans="6:20">
      <c r="F558" s="49"/>
      <c r="G558" s="49"/>
      <c r="H558" s="51" t="str">
        <f t="shared" si="9"/>
        <v/>
      </c>
      <c r="I558" s="49"/>
      <c r="J558" s="49"/>
      <c r="K558" s="49"/>
      <c r="L558" s="53">
        <f>O558*CFGRECT!$S$10</f>
        <v>0</v>
      </c>
      <c r="M558" s="53">
        <f>P558*CFGRECT!$T$10</f>
        <v>0</v>
      </c>
      <c r="N558" s="26"/>
      <c r="O558" s="227"/>
      <c r="P558" s="227"/>
      <c r="Q558" s="26"/>
      <c r="R558" s="26"/>
      <c r="S558" s="26"/>
      <c r="T558" s="26"/>
    </row>
    <row r="559" spans="6:20">
      <c r="F559" s="49"/>
      <c r="G559" s="49"/>
      <c r="H559" s="51" t="str">
        <f t="shared" si="9"/>
        <v/>
      </c>
      <c r="I559" s="49"/>
      <c r="J559" s="49"/>
      <c r="K559" s="49"/>
      <c r="L559" s="53">
        <f>O559*CFGRECT!$S$10</f>
        <v>0</v>
      </c>
      <c r="M559" s="53">
        <f>P559*CFGRECT!$T$10</f>
        <v>0</v>
      </c>
      <c r="N559" s="26"/>
      <c r="O559" s="227"/>
      <c r="P559" s="227"/>
      <c r="Q559" s="26"/>
      <c r="R559" s="26"/>
      <c r="S559" s="26"/>
      <c r="T559" s="26"/>
    </row>
    <row r="560" spans="6:20">
      <c r="F560" s="49"/>
      <c r="G560" s="49"/>
      <c r="H560" s="51" t="str">
        <f t="shared" si="9"/>
        <v/>
      </c>
      <c r="I560" s="49"/>
      <c r="J560" s="49"/>
      <c r="K560" s="49"/>
      <c r="L560" s="53">
        <f>O560*CFGRECT!$S$10</f>
        <v>0</v>
      </c>
      <c r="M560" s="53">
        <f>P560*CFGRECT!$T$10</f>
        <v>0</v>
      </c>
      <c r="N560" s="26"/>
      <c r="O560" s="227"/>
      <c r="P560" s="227"/>
      <c r="Q560" s="26"/>
      <c r="R560" s="26"/>
      <c r="S560" s="26"/>
      <c r="T560" s="26"/>
    </row>
    <row r="561" spans="6:20">
      <c r="F561" s="49"/>
      <c r="G561" s="49"/>
      <c r="H561" s="51" t="str">
        <f t="shared" si="9"/>
        <v/>
      </c>
      <c r="I561" s="49"/>
      <c r="J561" s="49"/>
      <c r="K561" s="49"/>
      <c r="L561" s="53">
        <f>O561*CFGRECT!$S$10</f>
        <v>0</v>
      </c>
      <c r="M561" s="53">
        <f>P561*CFGRECT!$T$10</f>
        <v>0</v>
      </c>
      <c r="N561" s="26"/>
      <c r="O561" s="227"/>
      <c r="P561" s="227"/>
      <c r="Q561" s="26"/>
      <c r="R561" s="26"/>
      <c r="S561" s="26"/>
      <c r="T561" s="26"/>
    </row>
    <row r="562" spans="6:20">
      <c r="F562" s="49"/>
      <c r="G562" s="49"/>
      <c r="H562" s="51" t="str">
        <f t="shared" si="9"/>
        <v/>
      </c>
      <c r="I562" s="49"/>
      <c r="J562" s="49"/>
      <c r="K562" s="49"/>
      <c r="L562" s="53">
        <f>O562*CFGRECT!$S$10</f>
        <v>0</v>
      </c>
      <c r="M562" s="53">
        <f>P562*CFGRECT!$T$10</f>
        <v>0</v>
      </c>
      <c r="N562" s="26"/>
      <c r="O562" s="227"/>
      <c r="P562" s="227"/>
      <c r="Q562" s="26"/>
      <c r="R562" s="26"/>
      <c r="S562" s="26"/>
      <c r="T562" s="26"/>
    </row>
    <row r="563" spans="6:20">
      <c r="F563" s="49"/>
      <c r="G563" s="49"/>
      <c r="H563" s="51" t="str">
        <f t="shared" si="9"/>
        <v/>
      </c>
      <c r="I563" s="49"/>
      <c r="J563" s="49"/>
      <c r="K563" s="49"/>
      <c r="L563" s="53">
        <f>O563*CFGRECT!$S$10</f>
        <v>0</v>
      </c>
      <c r="M563" s="53">
        <f>P563*CFGRECT!$T$10</f>
        <v>0</v>
      </c>
      <c r="N563" s="26"/>
      <c r="O563" s="227"/>
      <c r="P563" s="227"/>
      <c r="Q563" s="26"/>
      <c r="R563" s="26"/>
      <c r="S563" s="26"/>
      <c r="T563" s="26"/>
    </row>
    <row r="564" spans="6:20">
      <c r="F564" s="49"/>
      <c r="G564" s="49"/>
      <c r="H564" s="51" t="str">
        <f t="shared" si="9"/>
        <v/>
      </c>
      <c r="I564" s="49"/>
      <c r="J564" s="49"/>
      <c r="K564" s="49"/>
      <c r="L564" s="53">
        <f>O564*CFGRECT!$S$10</f>
        <v>0</v>
      </c>
      <c r="M564" s="53">
        <f>P564*CFGRECT!$T$10</f>
        <v>0</v>
      </c>
      <c r="N564" s="26"/>
      <c r="O564" s="227"/>
      <c r="P564" s="227"/>
      <c r="Q564" s="26"/>
      <c r="R564" s="26"/>
      <c r="S564" s="26"/>
      <c r="T564" s="26"/>
    </row>
    <row r="565" spans="6:20">
      <c r="F565" s="49"/>
      <c r="G565" s="49"/>
      <c r="H565" s="51" t="str">
        <f t="shared" si="9"/>
        <v/>
      </c>
      <c r="I565" s="49"/>
      <c r="J565" s="49"/>
      <c r="K565" s="49"/>
      <c r="L565" s="53">
        <f>O565*CFGRECT!$S$10</f>
        <v>0</v>
      </c>
      <c r="M565" s="53">
        <f>P565*CFGRECT!$T$10</f>
        <v>0</v>
      </c>
      <c r="N565" s="26"/>
      <c r="O565" s="227"/>
      <c r="P565" s="227"/>
      <c r="Q565" s="26"/>
      <c r="R565" s="26"/>
      <c r="S565" s="26"/>
      <c r="T565" s="26"/>
    </row>
    <row r="566" spans="6:20">
      <c r="F566" s="49"/>
      <c r="G566" s="49"/>
      <c r="H566" s="51" t="str">
        <f t="shared" si="9"/>
        <v/>
      </c>
      <c r="I566" s="49"/>
      <c r="J566" s="49"/>
      <c r="K566" s="49"/>
      <c r="L566" s="53">
        <f>O566*CFGRECT!$S$10</f>
        <v>0</v>
      </c>
      <c r="M566" s="53">
        <f>P566*CFGRECT!$T$10</f>
        <v>0</v>
      </c>
      <c r="N566" s="26"/>
      <c r="O566" s="227"/>
      <c r="P566" s="227"/>
      <c r="Q566" s="26"/>
      <c r="R566" s="26"/>
      <c r="S566" s="26"/>
      <c r="T566" s="26"/>
    </row>
    <row r="567" spans="6:20">
      <c r="F567" s="49"/>
      <c r="G567" s="49"/>
      <c r="H567" s="51" t="str">
        <f t="shared" si="9"/>
        <v/>
      </c>
      <c r="I567" s="49"/>
      <c r="J567" s="49"/>
      <c r="K567" s="49"/>
      <c r="L567" s="53">
        <f>O567*CFGRECT!$S$10</f>
        <v>0</v>
      </c>
      <c r="M567" s="53">
        <f>P567*CFGRECT!$T$10</f>
        <v>0</v>
      </c>
      <c r="N567" s="26"/>
      <c r="O567" s="227"/>
      <c r="P567" s="227"/>
      <c r="Q567" s="26"/>
      <c r="R567" s="26"/>
      <c r="S567" s="26"/>
      <c r="T567" s="26"/>
    </row>
    <row r="568" spans="6:20">
      <c r="F568" s="49"/>
      <c r="G568" s="49"/>
      <c r="H568" s="51" t="str">
        <f t="shared" si="9"/>
        <v/>
      </c>
      <c r="I568" s="49"/>
      <c r="J568" s="49"/>
      <c r="K568" s="49"/>
      <c r="L568" s="53">
        <f>O568*CFGRECT!$S$10</f>
        <v>0</v>
      </c>
      <c r="M568" s="53">
        <f>P568*CFGRECT!$T$10</f>
        <v>0</v>
      </c>
      <c r="N568" s="26"/>
      <c r="O568" s="227"/>
      <c r="P568" s="227"/>
      <c r="Q568" s="26"/>
      <c r="R568" s="26"/>
      <c r="S568" s="26"/>
      <c r="T568" s="26"/>
    </row>
    <row r="569" spans="6:20">
      <c r="F569" s="49"/>
      <c r="G569" s="49"/>
      <c r="H569" s="51" t="str">
        <f t="shared" si="9"/>
        <v/>
      </c>
      <c r="I569" s="49"/>
      <c r="J569" s="49"/>
      <c r="K569" s="49"/>
      <c r="L569" s="53">
        <f>O569*CFGRECT!$S$10</f>
        <v>0</v>
      </c>
      <c r="M569" s="53">
        <f>P569*CFGRECT!$T$10</f>
        <v>0</v>
      </c>
      <c r="N569" s="26"/>
      <c r="O569" s="227"/>
      <c r="P569" s="227"/>
      <c r="Q569" s="26"/>
      <c r="R569" s="26"/>
      <c r="S569" s="26"/>
      <c r="T569" s="26"/>
    </row>
    <row r="570" spans="6:20">
      <c r="F570" s="49"/>
      <c r="G570" s="49"/>
      <c r="H570" s="51" t="str">
        <f t="shared" si="9"/>
        <v/>
      </c>
      <c r="I570" s="49"/>
      <c r="J570" s="49"/>
      <c r="K570" s="49"/>
      <c r="L570" s="53">
        <f>O570*CFGRECT!$S$10</f>
        <v>0</v>
      </c>
      <c r="M570" s="53">
        <f>P570*CFGRECT!$T$10</f>
        <v>0</v>
      </c>
      <c r="N570" s="26"/>
      <c r="O570" s="227"/>
      <c r="P570" s="227"/>
      <c r="Q570" s="26"/>
      <c r="R570" s="26"/>
      <c r="S570" s="26"/>
      <c r="T570" s="26"/>
    </row>
    <row r="571" spans="6:20">
      <c r="F571" s="49"/>
      <c r="G571" s="49"/>
      <c r="H571" s="51" t="str">
        <f t="shared" si="9"/>
        <v/>
      </c>
      <c r="I571" s="49"/>
      <c r="J571" s="49"/>
      <c r="K571" s="49"/>
      <c r="L571" s="53">
        <f>O571*CFGRECT!$S$10</f>
        <v>0</v>
      </c>
      <c r="M571" s="53">
        <f>P571*CFGRECT!$T$10</f>
        <v>0</v>
      </c>
      <c r="N571" s="26"/>
      <c r="O571" s="227"/>
      <c r="P571" s="227"/>
      <c r="Q571" s="26"/>
      <c r="R571" s="26"/>
      <c r="S571" s="26"/>
      <c r="T571" s="26"/>
    </row>
    <row r="572" spans="6:20">
      <c r="F572" s="49"/>
      <c r="G572" s="49"/>
      <c r="H572" s="51" t="str">
        <f t="shared" si="9"/>
        <v/>
      </c>
      <c r="I572" s="49"/>
      <c r="J572" s="49"/>
      <c r="K572" s="49"/>
      <c r="L572" s="53">
        <f>O572*CFGRECT!$S$10</f>
        <v>0</v>
      </c>
      <c r="M572" s="53">
        <f>P572*CFGRECT!$T$10</f>
        <v>0</v>
      </c>
      <c r="N572" s="26"/>
      <c r="O572" s="227"/>
      <c r="P572" s="227"/>
      <c r="Q572" s="26"/>
      <c r="R572" s="26"/>
      <c r="S572" s="26"/>
      <c r="T572" s="26"/>
    </row>
    <row r="573" spans="6:20">
      <c r="F573" s="49"/>
      <c r="G573" s="49"/>
      <c r="H573" s="51" t="str">
        <f t="shared" si="9"/>
        <v/>
      </c>
      <c r="I573" s="49"/>
      <c r="J573" s="49"/>
      <c r="K573" s="49"/>
      <c r="L573" s="53">
        <f>O573*CFGRECT!$S$10</f>
        <v>0</v>
      </c>
      <c r="M573" s="53">
        <f>P573*CFGRECT!$T$10</f>
        <v>0</v>
      </c>
      <c r="N573" s="26"/>
      <c r="O573" s="227"/>
      <c r="P573" s="227"/>
      <c r="Q573" s="26"/>
      <c r="R573" s="26"/>
      <c r="S573" s="26"/>
      <c r="T573" s="26"/>
    </row>
    <row r="574" spans="6:20">
      <c r="F574" s="49"/>
      <c r="G574" s="49"/>
      <c r="H574" s="51" t="str">
        <f t="shared" si="9"/>
        <v/>
      </c>
      <c r="I574" s="49"/>
      <c r="J574" s="49"/>
      <c r="K574" s="49"/>
      <c r="L574" s="53">
        <f>O574*CFGRECT!$S$10</f>
        <v>0</v>
      </c>
      <c r="M574" s="53">
        <f>P574*CFGRECT!$T$10</f>
        <v>0</v>
      </c>
      <c r="N574" s="26"/>
      <c r="O574" s="227"/>
      <c r="P574" s="227"/>
      <c r="Q574" s="26"/>
      <c r="R574" s="26"/>
      <c r="S574" s="26"/>
      <c r="T574" s="26"/>
    </row>
    <row r="575" spans="6:20">
      <c r="F575" s="49"/>
      <c r="G575" s="49"/>
      <c r="H575" s="51" t="str">
        <f t="shared" si="9"/>
        <v/>
      </c>
      <c r="I575" s="49"/>
      <c r="J575" s="49"/>
      <c r="K575" s="49"/>
      <c r="L575" s="53">
        <f>O575*CFGRECT!$S$10</f>
        <v>0</v>
      </c>
      <c r="M575" s="53">
        <f>P575*CFGRECT!$T$10</f>
        <v>0</v>
      </c>
      <c r="N575" s="26"/>
      <c r="O575" s="227"/>
      <c r="P575" s="227"/>
      <c r="Q575" s="26"/>
      <c r="R575" s="26"/>
      <c r="S575" s="26"/>
      <c r="T575" s="26"/>
    </row>
    <row r="576" spans="6:20">
      <c r="F576" s="49"/>
      <c r="G576" s="49"/>
      <c r="H576" s="51" t="str">
        <f t="shared" si="9"/>
        <v/>
      </c>
      <c r="I576" s="49"/>
      <c r="J576" s="49"/>
      <c r="K576" s="49"/>
      <c r="L576" s="53">
        <f>O576*CFGRECT!$S$10</f>
        <v>0</v>
      </c>
      <c r="M576" s="53">
        <f>P576*CFGRECT!$T$10</f>
        <v>0</v>
      </c>
      <c r="N576" s="26"/>
      <c r="O576" s="227"/>
      <c r="P576" s="227"/>
      <c r="Q576" s="26"/>
      <c r="R576" s="26"/>
      <c r="S576" s="26"/>
      <c r="T576" s="26"/>
    </row>
    <row r="577" spans="6:20">
      <c r="F577" s="49"/>
      <c r="G577" s="49"/>
      <c r="H577" s="51" t="str">
        <f t="shared" si="9"/>
        <v/>
      </c>
      <c r="I577" s="49"/>
      <c r="J577" s="49"/>
      <c r="K577" s="49"/>
      <c r="L577" s="53">
        <f>O577*CFGRECT!$S$10</f>
        <v>0</v>
      </c>
      <c r="M577" s="53">
        <f>P577*CFGRECT!$T$10</f>
        <v>0</v>
      </c>
      <c r="N577" s="26"/>
      <c r="O577" s="227"/>
      <c r="P577" s="227"/>
      <c r="Q577" s="26"/>
      <c r="R577" s="26"/>
      <c r="S577" s="26"/>
      <c r="T577" s="26"/>
    </row>
    <row r="578" spans="6:20">
      <c r="F578" s="49"/>
      <c r="G578" s="49"/>
      <c r="H578" s="51" t="str">
        <f t="shared" si="9"/>
        <v/>
      </c>
      <c r="I578" s="49"/>
      <c r="J578" s="49"/>
      <c r="K578" s="49"/>
      <c r="L578" s="53">
        <f>O578*CFGRECT!$S$10</f>
        <v>0</v>
      </c>
      <c r="M578" s="53">
        <f>P578*CFGRECT!$T$10</f>
        <v>0</v>
      </c>
      <c r="N578" s="26"/>
      <c r="O578" s="227"/>
      <c r="P578" s="227"/>
      <c r="Q578" s="26"/>
      <c r="R578" s="26"/>
      <c r="S578" s="26"/>
      <c r="T578" s="26"/>
    </row>
    <row r="579" spans="6:20">
      <c r="F579" s="49"/>
      <c r="G579" s="49"/>
      <c r="H579" s="51" t="str">
        <f t="shared" si="9"/>
        <v/>
      </c>
      <c r="I579" s="49"/>
      <c r="J579" s="49"/>
      <c r="K579" s="49"/>
      <c r="L579" s="53">
        <f>O579*CFGRECT!$S$10</f>
        <v>0</v>
      </c>
      <c r="M579" s="53">
        <f>P579*CFGRECT!$T$10</f>
        <v>0</v>
      </c>
      <c r="N579" s="26"/>
      <c r="O579" s="227"/>
      <c r="P579" s="227"/>
      <c r="Q579" s="26"/>
      <c r="R579" s="26"/>
      <c r="S579" s="26"/>
      <c r="T579" s="26"/>
    </row>
    <row r="580" spans="6:20">
      <c r="F580" s="49"/>
      <c r="G580" s="49"/>
      <c r="H580" s="51" t="str">
        <f t="shared" si="9"/>
        <v/>
      </c>
      <c r="I580" s="49"/>
      <c r="J580" s="49"/>
      <c r="K580" s="49"/>
      <c r="L580" s="53">
        <f>O580*CFGRECT!$S$10</f>
        <v>0</v>
      </c>
      <c r="M580" s="53">
        <f>P580*CFGRECT!$T$10</f>
        <v>0</v>
      </c>
      <c r="N580" s="26"/>
      <c r="O580" s="227"/>
      <c r="P580" s="227"/>
      <c r="Q580" s="26"/>
      <c r="R580" s="26"/>
      <c r="S580" s="26"/>
      <c r="T580" s="26"/>
    </row>
    <row r="581" spans="6:20">
      <c r="F581" s="49"/>
      <c r="G581" s="49"/>
      <c r="H581" s="51" t="str">
        <f t="shared" si="9"/>
        <v/>
      </c>
      <c r="I581" s="49"/>
      <c r="J581" s="49"/>
      <c r="K581" s="49"/>
      <c r="L581" s="53">
        <f>O581*CFGRECT!$S$10</f>
        <v>0</v>
      </c>
      <c r="M581" s="53">
        <f>P581*CFGRECT!$T$10</f>
        <v>0</v>
      </c>
      <c r="N581" s="26"/>
      <c r="O581" s="227"/>
      <c r="P581" s="227"/>
      <c r="Q581" s="26"/>
      <c r="R581" s="26"/>
      <c r="S581" s="26"/>
      <c r="T581" s="26"/>
    </row>
    <row r="582" spans="6:20">
      <c r="F582" s="49"/>
      <c r="G582" s="49"/>
      <c r="H582" s="51" t="str">
        <f t="shared" si="9"/>
        <v/>
      </c>
      <c r="I582" s="49"/>
      <c r="J582" s="49"/>
      <c r="K582" s="49"/>
      <c r="L582" s="53">
        <f>O582*CFGRECT!$S$10</f>
        <v>0</v>
      </c>
      <c r="M582" s="53">
        <f>P582*CFGRECT!$T$10</f>
        <v>0</v>
      </c>
      <c r="N582" s="26"/>
      <c r="O582" s="227"/>
      <c r="P582" s="227"/>
      <c r="Q582" s="26"/>
      <c r="R582" s="26"/>
      <c r="S582" s="26"/>
      <c r="T582" s="26"/>
    </row>
    <row r="583" spans="6:20">
      <c r="F583" s="49"/>
      <c r="G583" s="49"/>
      <c r="H583" s="51" t="str">
        <f t="shared" si="9"/>
        <v/>
      </c>
      <c r="I583" s="49"/>
      <c r="J583" s="49"/>
      <c r="K583" s="49"/>
      <c r="L583" s="53">
        <f>O583*CFGRECT!$S$10</f>
        <v>0</v>
      </c>
      <c r="M583" s="53">
        <f>P583*CFGRECT!$T$10</f>
        <v>0</v>
      </c>
      <c r="N583" s="26"/>
      <c r="O583" s="227"/>
      <c r="P583" s="227"/>
      <c r="Q583" s="26"/>
      <c r="R583" s="26"/>
      <c r="S583" s="26"/>
      <c r="T583" s="26"/>
    </row>
    <row r="584" spans="6:20">
      <c r="F584" s="49"/>
      <c r="G584" s="49"/>
      <c r="H584" s="51" t="str">
        <f t="shared" si="9"/>
        <v/>
      </c>
      <c r="I584" s="49"/>
      <c r="J584" s="49"/>
      <c r="K584" s="49"/>
      <c r="L584" s="53">
        <f>O584*CFGRECT!$S$10</f>
        <v>0</v>
      </c>
      <c r="M584" s="53">
        <f>P584*CFGRECT!$T$10</f>
        <v>0</v>
      </c>
      <c r="N584" s="26"/>
      <c r="O584" s="227"/>
      <c r="P584" s="227"/>
      <c r="Q584" s="26"/>
      <c r="R584" s="26"/>
      <c r="S584" s="26"/>
      <c r="T584" s="26"/>
    </row>
    <row r="585" spans="6:20">
      <c r="F585" s="49"/>
      <c r="G585" s="49"/>
      <c r="H585" s="51" t="str">
        <f t="shared" si="9"/>
        <v/>
      </c>
      <c r="I585" s="49"/>
      <c r="J585" s="49"/>
      <c r="K585" s="49"/>
      <c r="L585" s="53">
        <f>O585*CFGRECT!$S$10</f>
        <v>0</v>
      </c>
      <c r="M585" s="53">
        <f>P585*CFGRECT!$T$10</f>
        <v>0</v>
      </c>
      <c r="N585" s="26"/>
      <c r="O585" s="227"/>
      <c r="P585" s="227"/>
      <c r="Q585" s="26"/>
      <c r="R585" s="26"/>
      <c r="S585" s="26"/>
      <c r="T585" s="26"/>
    </row>
    <row r="586" spans="6:20">
      <c r="F586" s="49"/>
      <c r="G586" s="49"/>
      <c r="H586" s="51" t="str">
        <f t="shared" si="9"/>
        <v/>
      </c>
      <c r="I586" s="49"/>
      <c r="J586" s="49"/>
      <c r="K586" s="49"/>
      <c r="L586" s="53">
        <f>O586*CFGRECT!$S$10</f>
        <v>0</v>
      </c>
      <c r="M586" s="53">
        <f>P586*CFGRECT!$T$10</f>
        <v>0</v>
      </c>
      <c r="N586" s="26"/>
      <c r="O586" s="227"/>
      <c r="P586" s="227"/>
      <c r="Q586" s="26"/>
      <c r="R586" s="26"/>
      <c r="S586" s="26"/>
      <c r="T586" s="26"/>
    </row>
    <row r="587" spans="6:20">
      <c r="F587" s="49"/>
      <c r="G587" s="49"/>
      <c r="H587" s="51" t="str">
        <f t="shared" si="9"/>
        <v/>
      </c>
      <c r="I587" s="49"/>
      <c r="J587" s="49"/>
      <c r="K587" s="49"/>
      <c r="L587" s="53">
        <f>O587*CFGRECT!$S$10</f>
        <v>0</v>
      </c>
      <c r="M587" s="53">
        <f>P587*CFGRECT!$T$10</f>
        <v>0</v>
      </c>
      <c r="N587" s="26"/>
      <c r="O587" s="227"/>
      <c r="P587" s="227"/>
      <c r="Q587" s="26"/>
      <c r="R587" s="26"/>
      <c r="S587" s="26"/>
      <c r="T587" s="26"/>
    </row>
    <row r="588" spans="6:20">
      <c r="F588" s="49"/>
      <c r="G588" s="49"/>
      <c r="H588" s="51" t="str">
        <f t="shared" si="9"/>
        <v/>
      </c>
      <c r="I588" s="49"/>
      <c r="J588" s="49"/>
      <c r="K588" s="49"/>
      <c r="L588" s="53">
        <f>O588*CFGRECT!$S$10</f>
        <v>0</v>
      </c>
      <c r="M588" s="53">
        <f>P588*CFGRECT!$T$10</f>
        <v>0</v>
      </c>
      <c r="N588" s="26"/>
      <c r="O588" s="227"/>
      <c r="P588" s="227"/>
      <c r="Q588" s="26"/>
      <c r="R588" s="26"/>
      <c r="S588" s="26"/>
      <c r="T588" s="26"/>
    </row>
    <row r="589" spans="6:20">
      <c r="F589" s="49"/>
      <c r="G589" s="49"/>
      <c r="H589" s="51" t="str">
        <f t="shared" si="9"/>
        <v/>
      </c>
      <c r="I589" s="49"/>
      <c r="J589" s="49"/>
      <c r="K589" s="49"/>
      <c r="L589" s="53">
        <f>O589*CFGRECT!$S$10</f>
        <v>0</v>
      </c>
      <c r="M589" s="53">
        <f>P589*CFGRECT!$T$10</f>
        <v>0</v>
      </c>
      <c r="N589" s="26"/>
      <c r="O589" s="227"/>
      <c r="P589" s="227"/>
      <c r="Q589" s="26"/>
      <c r="R589" s="26"/>
      <c r="S589" s="26"/>
      <c r="T589" s="26"/>
    </row>
    <row r="590" spans="6:20">
      <c r="F590" s="49"/>
      <c r="G590" s="49"/>
      <c r="H590" s="51" t="str">
        <f t="shared" si="9"/>
        <v/>
      </c>
      <c r="I590" s="49"/>
      <c r="J590" s="49"/>
      <c r="K590" s="49"/>
      <c r="L590" s="53">
        <f>O590*CFGRECT!$S$10</f>
        <v>0</v>
      </c>
      <c r="M590" s="53">
        <f>P590*CFGRECT!$T$10</f>
        <v>0</v>
      </c>
      <c r="N590" s="26"/>
      <c r="O590" s="227"/>
      <c r="P590" s="227"/>
      <c r="Q590" s="26"/>
      <c r="R590" s="26"/>
      <c r="S590" s="26"/>
      <c r="T590" s="26"/>
    </row>
    <row r="591" spans="6:20">
      <c r="F591" s="49"/>
      <c r="G591" s="49"/>
      <c r="H591" s="51" t="str">
        <f t="shared" si="9"/>
        <v/>
      </c>
      <c r="I591" s="49"/>
      <c r="J591" s="49"/>
      <c r="K591" s="49"/>
      <c r="L591" s="53">
        <f>O591*CFGRECT!$S$10</f>
        <v>0</v>
      </c>
      <c r="M591" s="53">
        <f>P591*CFGRECT!$T$10</f>
        <v>0</v>
      </c>
      <c r="N591" s="26"/>
      <c r="O591" s="227"/>
      <c r="P591" s="227"/>
      <c r="Q591" s="26"/>
      <c r="R591" s="26"/>
      <c r="S591" s="26"/>
      <c r="T591" s="26"/>
    </row>
    <row r="592" spans="6:20">
      <c r="F592" s="49"/>
      <c r="G592" s="49"/>
      <c r="H592" s="51" t="str">
        <f t="shared" si="9"/>
        <v/>
      </c>
      <c r="I592" s="49"/>
      <c r="J592" s="49"/>
      <c r="K592" s="49"/>
      <c r="L592" s="53">
        <f>O592*CFGRECT!$S$10</f>
        <v>0</v>
      </c>
      <c r="M592" s="53">
        <f>P592*CFGRECT!$T$10</f>
        <v>0</v>
      </c>
      <c r="N592" s="26"/>
      <c r="O592" s="227"/>
      <c r="P592" s="227"/>
      <c r="Q592" s="26"/>
      <c r="R592" s="26"/>
      <c r="S592" s="26"/>
      <c r="T592" s="26"/>
    </row>
    <row r="593" spans="6:20">
      <c r="F593" s="49"/>
      <c r="G593" s="49"/>
      <c r="H593" s="51" t="str">
        <f t="shared" ref="H593:H656" si="10">F593&amp;IF(G593="",""," - "&amp;G593)</f>
        <v/>
      </c>
      <c r="I593" s="49"/>
      <c r="J593" s="49"/>
      <c r="K593" s="49"/>
      <c r="L593" s="53">
        <f>O593*CFGRECT!$S$10</f>
        <v>0</v>
      </c>
      <c r="M593" s="53">
        <f>P593*CFGRECT!$T$10</f>
        <v>0</v>
      </c>
      <c r="N593" s="26"/>
      <c r="O593" s="227"/>
      <c r="P593" s="227"/>
      <c r="Q593" s="26"/>
      <c r="R593" s="26"/>
      <c r="S593" s="26"/>
      <c r="T593" s="26"/>
    </row>
    <row r="594" spans="6:20">
      <c r="F594" s="49"/>
      <c r="G594" s="49"/>
      <c r="H594" s="51" t="str">
        <f t="shared" si="10"/>
        <v/>
      </c>
      <c r="I594" s="49"/>
      <c r="J594" s="49"/>
      <c r="K594" s="49"/>
      <c r="L594" s="53">
        <f>O594*CFGRECT!$S$10</f>
        <v>0</v>
      </c>
      <c r="M594" s="53">
        <f>P594*CFGRECT!$T$10</f>
        <v>0</v>
      </c>
      <c r="N594" s="26"/>
      <c r="O594" s="227"/>
      <c r="P594" s="227"/>
      <c r="Q594" s="26"/>
      <c r="R594" s="26"/>
      <c r="S594" s="26"/>
      <c r="T594" s="26"/>
    </row>
    <row r="595" spans="6:20">
      <c r="F595" s="49"/>
      <c r="G595" s="49"/>
      <c r="H595" s="51" t="str">
        <f t="shared" si="10"/>
        <v/>
      </c>
      <c r="I595" s="49"/>
      <c r="J595" s="49"/>
      <c r="K595" s="49"/>
      <c r="L595" s="53">
        <f>O595*CFGRECT!$S$10</f>
        <v>0</v>
      </c>
      <c r="M595" s="53">
        <f>P595*CFGRECT!$T$10</f>
        <v>0</v>
      </c>
      <c r="N595" s="26"/>
      <c r="O595" s="227"/>
      <c r="P595" s="227"/>
      <c r="Q595" s="26"/>
      <c r="R595" s="26"/>
      <c r="S595" s="26"/>
      <c r="T595" s="26"/>
    </row>
    <row r="596" spans="6:20">
      <c r="F596" s="49"/>
      <c r="G596" s="49"/>
      <c r="H596" s="51" t="str">
        <f t="shared" si="10"/>
        <v/>
      </c>
      <c r="I596" s="49"/>
      <c r="J596" s="49"/>
      <c r="K596" s="49"/>
      <c r="L596" s="53">
        <f>O596*CFGRECT!$S$10</f>
        <v>0</v>
      </c>
      <c r="M596" s="53">
        <f>P596*CFGRECT!$T$10</f>
        <v>0</v>
      </c>
      <c r="N596" s="26"/>
      <c r="O596" s="227"/>
      <c r="P596" s="227"/>
      <c r="Q596" s="26"/>
      <c r="R596" s="26"/>
      <c r="S596" s="26"/>
      <c r="T596" s="26"/>
    </row>
    <row r="597" spans="6:20">
      <c r="F597" s="49"/>
      <c r="G597" s="49"/>
      <c r="H597" s="51" t="str">
        <f t="shared" si="10"/>
        <v/>
      </c>
      <c r="I597" s="49"/>
      <c r="J597" s="49"/>
      <c r="K597" s="49"/>
      <c r="L597" s="53">
        <f>O597*CFGRECT!$S$10</f>
        <v>0</v>
      </c>
      <c r="M597" s="53">
        <f>P597*CFGRECT!$T$10</f>
        <v>0</v>
      </c>
      <c r="N597" s="26"/>
      <c r="O597" s="227"/>
      <c r="P597" s="227"/>
      <c r="Q597" s="26"/>
      <c r="R597" s="26"/>
      <c r="S597" s="26"/>
      <c r="T597" s="26"/>
    </row>
    <row r="598" spans="6:20">
      <c r="F598" s="49"/>
      <c r="G598" s="49"/>
      <c r="H598" s="51" t="str">
        <f t="shared" si="10"/>
        <v/>
      </c>
      <c r="I598" s="49"/>
      <c r="J598" s="49"/>
      <c r="K598" s="49"/>
      <c r="L598" s="53">
        <f>O598*CFGRECT!$S$10</f>
        <v>0</v>
      </c>
      <c r="M598" s="53">
        <f>P598*CFGRECT!$T$10</f>
        <v>0</v>
      </c>
      <c r="N598" s="26"/>
      <c r="O598" s="227"/>
      <c r="P598" s="227"/>
      <c r="Q598" s="26"/>
      <c r="R598" s="26"/>
      <c r="S598" s="26"/>
      <c r="T598" s="26"/>
    </row>
    <row r="599" spans="6:20">
      <c r="F599" s="49"/>
      <c r="G599" s="49"/>
      <c r="H599" s="51" t="str">
        <f t="shared" si="10"/>
        <v/>
      </c>
      <c r="I599" s="49"/>
      <c r="J599" s="49"/>
      <c r="K599" s="49"/>
      <c r="L599" s="53">
        <f>O599*CFGRECT!$S$10</f>
        <v>0</v>
      </c>
      <c r="M599" s="53">
        <f>P599*CFGRECT!$T$10</f>
        <v>0</v>
      </c>
      <c r="N599" s="26"/>
      <c r="O599" s="227"/>
      <c r="P599" s="227"/>
      <c r="Q599" s="26"/>
      <c r="R599" s="26"/>
      <c r="S599" s="26"/>
      <c r="T599" s="26"/>
    </row>
    <row r="600" spans="6:20">
      <c r="F600" s="49"/>
      <c r="G600" s="49"/>
      <c r="H600" s="51" t="str">
        <f t="shared" si="10"/>
        <v/>
      </c>
      <c r="I600" s="49"/>
      <c r="J600" s="49"/>
      <c r="K600" s="49"/>
      <c r="L600" s="53">
        <f>O600*CFGRECT!$S$10</f>
        <v>0</v>
      </c>
      <c r="M600" s="53">
        <f>P600*CFGRECT!$T$10</f>
        <v>0</v>
      </c>
      <c r="N600" s="26"/>
      <c r="O600" s="227"/>
      <c r="P600" s="227"/>
      <c r="Q600" s="26"/>
      <c r="R600" s="26"/>
      <c r="S600" s="26"/>
      <c r="T600" s="26"/>
    </row>
    <row r="601" spans="6:20">
      <c r="F601" s="49"/>
      <c r="G601" s="49"/>
      <c r="H601" s="51" t="str">
        <f t="shared" si="10"/>
        <v/>
      </c>
      <c r="I601" s="49"/>
      <c r="J601" s="49"/>
      <c r="K601" s="49"/>
      <c r="L601" s="53">
        <f>O601*CFGRECT!$S$10</f>
        <v>0</v>
      </c>
      <c r="M601" s="53">
        <f>P601*CFGRECT!$T$10</f>
        <v>0</v>
      </c>
      <c r="N601" s="26"/>
      <c r="O601" s="227"/>
      <c r="P601" s="227"/>
      <c r="Q601" s="26"/>
      <c r="R601" s="26"/>
      <c r="S601" s="26"/>
      <c r="T601" s="26"/>
    </row>
    <row r="602" spans="6:20">
      <c r="F602" s="49"/>
      <c r="G602" s="49"/>
      <c r="H602" s="51" t="str">
        <f t="shared" si="10"/>
        <v/>
      </c>
      <c r="I602" s="49"/>
      <c r="J602" s="49"/>
      <c r="K602" s="49"/>
      <c r="L602" s="53">
        <f>O602*CFGRECT!$S$10</f>
        <v>0</v>
      </c>
      <c r="M602" s="53">
        <f>P602*CFGRECT!$T$10</f>
        <v>0</v>
      </c>
      <c r="N602" s="26"/>
      <c r="O602" s="227"/>
      <c r="P602" s="227"/>
      <c r="Q602" s="26"/>
      <c r="R602" s="26"/>
      <c r="S602" s="26"/>
      <c r="T602" s="26"/>
    </row>
    <row r="603" spans="6:20">
      <c r="F603" s="49"/>
      <c r="G603" s="49"/>
      <c r="H603" s="51" t="str">
        <f t="shared" si="10"/>
        <v/>
      </c>
      <c r="I603" s="49"/>
      <c r="J603" s="49"/>
      <c r="K603" s="49"/>
      <c r="L603" s="53">
        <f>O603*CFGRECT!$S$10</f>
        <v>0</v>
      </c>
      <c r="M603" s="53">
        <f>P603*CFGRECT!$T$10</f>
        <v>0</v>
      </c>
      <c r="N603" s="26"/>
      <c r="O603" s="227"/>
      <c r="P603" s="227"/>
      <c r="Q603" s="26"/>
      <c r="R603" s="26"/>
      <c r="S603" s="26"/>
      <c r="T603" s="26"/>
    </row>
    <row r="604" spans="6:20">
      <c r="F604" s="49"/>
      <c r="G604" s="49"/>
      <c r="H604" s="51" t="str">
        <f t="shared" si="10"/>
        <v/>
      </c>
      <c r="I604" s="49"/>
      <c r="J604" s="49"/>
      <c r="K604" s="49"/>
      <c r="L604" s="53">
        <f>O604*CFGRECT!$S$10</f>
        <v>0</v>
      </c>
      <c r="M604" s="53">
        <f>P604*CFGRECT!$T$10</f>
        <v>0</v>
      </c>
      <c r="N604" s="26"/>
      <c r="O604" s="227"/>
      <c r="P604" s="227"/>
      <c r="Q604" s="26"/>
      <c r="R604" s="26"/>
      <c r="S604" s="26"/>
      <c r="T604" s="26"/>
    </row>
    <row r="605" spans="6:20">
      <c r="F605" s="49"/>
      <c r="G605" s="49"/>
      <c r="H605" s="51" t="str">
        <f t="shared" si="10"/>
        <v/>
      </c>
      <c r="I605" s="49"/>
      <c r="J605" s="49"/>
      <c r="K605" s="49"/>
      <c r="L605" s="53">
        <f>O605*CFGRECT!$S$10</f>
        <v>0</v>
      </c>
      <c r="M605" s="53">
        <f>P605*CFGRECT!$T$10</f>
        <v>0</v>
      </c>
      <c r="N605" s="26"/>
      <c r="O605" s="227"/>
      <c r="P605" s="227"/>
      <c r="Q605" s="26"/>
      <c r="R605" s="26"/>
      <c r="S605" s="26"/>
      <c r="T605" s="26"/>
    </row>
    <row r="606" spans="6:20">
      <c r="F606" s="49"/>
      <c r="G606" s="49"/>
      <c r="H606" s="51" t="str">
        <f t="shared" si="10"/>
        <v/>
      </c>
      <c r="I606" s="49"/>
      <c r="J606" s="49"/>
      <c r="K606" s="49"/>
      <c r="L606" s="53">
        <f>O606*CFGRECT!$S$10</f>
        <v>0</v>
      </c>
      <c r="M606" s="53">
        <f>P606*CFGRECT!$T$10</f>
        <v>0</v>
      </c>
      <c r="N606" s="26"/>
      <c r="O606" s="227"/>
      <c r="P606" s="227"/>
      <c r="Q606" s="26"/>
      <c r="R606" s="26"/>
      <c r="S606" s="26"/>
      <c r="T606" s="26"/>
    </row>
    <row r="607" spans="6:20">
      <c r="F607" s="49"/>
      <c r="G607" s="49"/>
      <c r="H607" s="51" t="str">
        <f t="shared" si="10"/>
        <v/>
      </c>
      <c r="I607" s="49"/>
      <c r="J607" s="49"/>
      <c r="K607" s="49"/>
      <c r="L607" s="53">
        <f>O607*CFGRECT!$S$10</f>
        <v>0</v>
      </c>
      <c r="M607" s="53">
        <f>P607*CFGRECT!$T$10</f>
        <v>0</v>
      </c>
      <c r="N607" s="26"/>
      <c r="O607" s="227"/>
      <c r="P607" s="227"/>
      <c r="Q607" s="26"/>
      <c r="R607" s="26"/>
      <c r="S607" s="26"/>
      <c r="T607" s="26"/>
    </row>
    <row r="608" spans="6:20">
      <c r="F608" s="49"/>
      <c r="G608" s="49"/>
      <c r="H608" s="51" t="str">
        <f t="shared" si="10"/>
        <v/>
      </c>
      <c r="I608" s="49"/>
      <c r="J608" s="49"/>
      <c r="K608" s="49"/>
      <c r="L608" s="53">
        <f>O608*CFGRECT!$S$10</f>
        <v>0</v>
      </c>
      <c r="M608" s="53">
        <f>P608*CFGRECT!$T$10</f>
        <v>0</v>
      </c>
      <c r="N608" s="26"/>
      <c r="O608" s="227"/>
      <c r="P608" s="227"/>
      <c r="Q608" s="26"/>
      <c r="R608" s="26"/>
      <c r="S608" s="26"/>
      <c r="T608" s="26"/>
    </row>
    <row r="609" spans="6:20">
      <c r="F609" s="49"/>
      <c r="G609" s="49"/>
      <c r="H609" s="51" t="str">
        <f t="shared" si="10"/>
        <v/>
      </c>
      <c r="I609" s="49"/>
      <c r="J609" s="49"/>
      <c r="K609" s="49"/>
      <c r="L609" s="53">
        <f>O609*CFGRECT!$S$10</f>
        <v>0</v>
      </c>
      <c r="M609" s="53">
        <f>P609*CFGRECT!$T$10</f>
        <v>0</v>
      </c>
      <c r="N609" s="26"/>
      <c r="O609" s="227"/>
      <c r="P609" s="227"/>
      <c r="Q609" s="26"/>
      <c r="R609" s="26"/>
      <c r="S609" s="26"/>
      <c r="T609" s="26"/>
    </row>
    <row r="610" spans="6:20">
      <c r="F610" s="49"/>
      <c r="G610" s="49"/>
      <c r="H610" s="51" t="str">
        <f t="shared" si="10"/>
        <v/>
      </c>
      <c r="I610" s="49"/>
      <c r="J610" s="49"/>
      <c r="K610" s="49"/>
      <c r="L610" s="53">
        <f>O610*CFGRECT!$S$10</f>
        <v>0</v>
      </c>
      <c r="M610" s="53">
        <f>P610*CFGRECT!$T$10</f>
        <v>0</v>
      </c>
      <c r="N610" s="26"/>
      <c r="O610" s="227"/>
      <c r="P610" s="227"/>
      <c r="Q610" s="26"/>
      <c r="R610" s="26"/>
      <c r="S610" s="26"/>
      <c r="T610" s="26"/>
    </row>
    <row r="611" spans="6:20">
      <c r="F611" s="49"/>
      <c r="G611" s="49"/>
      <c r="H611" s="51" t="str">
        <f t="shared" si="10"/>
        <v/>
      </c>
      <c r="I611" s="49"/>
      <c r="J611" s="49"/>
      <c r="K611" s="49"/>
      <c r="L611" s="53">
        <f>O611*CFGRECT!$S$10</f>
        <v>0</v>
      </c>
      <c r="M611" s="53">
        <f>P611*CFGRECT!$T$10</f>
        <v>0</v>
      </c>
      <c r="N611" s="26"/>
      <c r="O611" s="227"/>
      <c r="P611" s="227"/>
      <c r="Q611" s="26"/>
      <c r="R611" s="26"/>
      <c r="S611" s="26"/>
      <c r="T611" s="26"/>
    </row>
    <row r="612" spans="6:20">
      <c r="F612" s="49"/>
      <c r="G612" s="49"/>
      <c r="H612" s="51" t="str">
        <f t="shared" si="10"/>
        <v/>
      </c>
      <c r="I612" s="49"/>
      <c r="J612" s="49"/>
      <c r="K612" s="49"/>
      <c r="L612" s="53">
        <f>O612*CFGRECT!$S$10</f>
        <v>0</v>
      </c>
      <c r="M612" s="53">
        <f>P612*CFGRECT!$T$10</f>
        <v>0</v>
      </c>
      <c r="N612" s="26"/>
      <c r="O612" s="227"/>
      <c r="P612" s="227"/>
      <c r="Q612" s="26"/>
      <c r="R612" s="26"/>
      <c r="S612" s="26"/>
      <c r="T612" s="26"/>
    </row>
    <row r="613" spans="6:20">
      <c r="F613" s="49"/>
      <c r="G613" s="49"/>
      <c r="H613" s="51" t="str">
        <f t="shared" si="10"/>
        <v/>
      </c>
      <c r="I613" s="49"/>
      <c r="J613" s="49"/>
      <c r="K613" s="49"/>
      <c r="L613" s="53">
        <f>O613*CFGRECT!$S$10</f>
        <v>0</v>
      </c>
      <c r="M613" s="53">
        <f>P613*CFGRECT!$T$10</f>
        <v>0</v>
      </c>
      <c r="N613" s="26"/>
      <c r="O613" s="227"/>
      <c r="P613" s="227"/>
      <c r="Q613" s="26"/>
      <c r="R613" s="26"/>
      <c r="S613" s="26"/>
      <c r="T613" s="26"/>
    </row>
    <row r="614" spans="6:20">
      <c r="F614" s="49"/>
      <c r="G614" s="49"/>
      <c r="H614" s="51" t="str">
        <f t="shared" si="10"/>
        <v/>
      </c>
      <c r="I614" s="49"/>
      <c r="J614" s="49"/>
      <c r="K614" s="49"/>
      <c r="L614" s="53">
        <f>O614*CFGRECT!$S$10</f>
        <v>0</v>
      </c>
      <c r="M614" s="53">
        <f>P614*CFGRECT!$T$10</f>
        <v>0</v>
      </c>
      <c r="N614" s="26"/>
      <c r="O614" s="227"/>
      <c r="P614" s="227"/>
      <c r="Q614" s="26"/>
      <c r="R614" s="26"/>
      <c r="S614" s="26"/>
      <c r="T614" s="26"/>
    </row>
    <row r="615" spans="6:20">
      <c r="F615" s="49"/>
      <c r="G615" s="49"/>
      <c r="H615" s="51" t="str">
        <f t="shared" si="10"/>
        <v/>
      </c>
      <c r="I615" s="49"/>
      <c r="J615" s="49"/>
      <c r="K615" s="49"/>
      <c r="L615" s="53">
        <f>O615*CFGRECT!$S$10</f>
        <v>0</v>
      </c>
      <c r="M615" s="53">
        <f>P615*CFGRECT!$T$10</f>
        <v>0</v>
      </c>
      <c r="N615" s="26"/>
      <c r="O615" s="227"/>
      <c r="P615" s="227"/>
      <c r="Q615" s="26"/>
      <c r="R615" s="26"/>
      <c r="S615" s="26"/>
      <c r="T615" s="26"/>
    </row>
    <row r="616" spans="6:20">
      <c r="F616" s="49"/>
      <c r="G616" s="49"/>
      <c r="H616" s="51" t="str">
        <f t="shared" si="10"/>
        <v/>
      </c>
      <c r="I616" s="49"/>
      <c r="J616" s="49"/>
      <c r="K616" s="49"/>
      <c r="L616" s="53">
        <f>O616*CFGRECT!$S$10</f>
        <v>0</v>
      </c>
      <c r="M616" s="53">
        <f>P616*CFGRECT!$T$10</f>
        <v>0</v>
      </c>
      <c r="N616" s="26"/>
      <c r="O616" s="227"/>
      <c r="P616" s="227"/>
      <c r="Q616" s="26"/>
      <c r="R616" s="26"/>
      <c r="S616" s="26"/>
      <c r="T616" s="26"/>
    </row>
    <row r="617" spans="6:20">
      <c r="F617" s="49"/>
      <c r="G617" s="49"/>
      <c r="H617" s="51" t="str">
        <f t="shared" si="10"/>
        <v/>
      </c>
      <c r="I617" s="49"/>
      <c r="J617" s="49"/>
      <c r="K617" s="49"/>
      <c r="L617" s="53">
        <f>O617*CFGRECT!$S$10</f>
        <v>0</v>
      </c>
      <c r="M617" s="53">
        <f>P617*CFGRECT!$T$10</f>
        <v>0</v>
      </c>
      <c r="N617" s="26"/>
      <c r="O617" s="227"/>
      <c r="P617" s="227"/>
      <c r="Q617" s="26"/>
      <c r="R617" s="26"/>
      <c r="S617" s="26"/>
      <c r="T617" s="26"/>
    </row>
    <row r="618" spans="6:20">
      <c r="F618" s="49"/>
      <c r="G618" s="49"/>
      <c r="H618" s="51" t="str">
        <f t="shared" si="10"/>
        <v/>
      </c>
      <c r="I618" s="49"/>
      <c r="J618" s="49"/>
      <c r="K618" s="49"/>
      <c r="L618" s="53">
        <f>O618*CFGRECT!$S$10</f>
        <v>0</v>
      </c>
      <c r="M618" s="53">
        <f>P618*CFGRECT!$T$10</f>
        <v>0</v>
      </c>
      <c r="N618" s="26"/>
      <c r="O618" s="227"/>
      <c r="P618" s="227"/>
      <c r="Q618" s="26"/>
      <c r="R618" s="26"/>
      <c r="S618" s="26"/>
      <c r="T618" s="26"/>
    </row>
    <row r="619" spans="6:20">
      <c r="F619" s="49"/>
      <c r="G619" s="49"/>
      <c r="H619" s="51" t="str">
        <f t="shared" si="10"/>
        <v/>
      </c>
      <c r="I619" s="49"/>
      <c r="J619" s="49"/>
      <c r="K619" s="49"/>
      <c r="L619" s="53">
        <f>O619*CFGRECT!$S$10</f>
        <v>0</v>
      </c>
      <c r="M619" s="53">
        <f>P619*CFGRECT!$T$10</f>
        <v>0</v>
      </c>
      <c r="N619" s="26"/>
      <c r="O619" s="227"/>
      <c r="P619" s="227"/>
      <c r="Q619" s="26"/>
      <c r="R619" s="26"/>
      <c r="S619" s="26"/>
      <c r="T619" s="26"/>
    </row>
    <row r="620" spans="6:20">
      <c r="F620" s="49"/>
      <c r="G620" s="49"/>
      <c r="H620" s="51" t="str">
        <f t="shared" si="10"/>
        <v/>
      </c>
      <c r="I620" s="49"/>
      <c r="J620" s="49"/>
      <c r="K620" s="49"/>
      <c r="L620" s="53">
        <f>O620*CFGRECT!$S$10</f>
        <v>0</v>
      </c>
      <c r="M620" s="53">
        <f>P620*CFGRECT!$T$10</f>
        <v>0</v>
      </c>
      <c r="N620" s="26"/>
      <c r="O620" s="227"/>
      <c r="P620" s="227"/>
      <c r="Q620" s="26"/>
      <c r="R620" s="26"/>
      <c r="S620" s="26"/>
      <c r="T620" s="26"/>
    </row>
    <row r="621" spans="6:20">
      <c r="F621" s="49"/>
      <c r="G621" s="49"/>
      <c r="H621" s="51" t="str">
        <f t="shared" si="10"/>
        <v/>
      </c>
      <c r="I621" s="49"/>
      <c r="J621" s="49"/>
      <c r="K621" s="49"/>
      <c r="L621" s="53">
        <f>O621*CFGRECT!$S$10</f>
        <v>0</v>
      </c>
      <c r="M621" s="53">
        <f>P621*CFGRECT!$T$10</f>
        <v>0</v>
      </c>
      <c r="N621" s="26"/>
      <c r="O621" s="227"/>
      <c r="P621" s="227"/>
      <c r="Q621" s="26"/>
      <c r="R621" s="26"/>
      <c r="S621" s="26"/>
      <c r="T621" s="26"/>
    </row>
    <row r="622" spans="6:20">
      <c r="F622" s="49"/>
      <c r="G622" s="49"/>
      <c r="H622" s="51" t="str">
        <f t="shared" si="10"/>
        <v/>
      </c>
      <c r="I622" s="49"/>
      <c r="J622" s="49"/>
      <c r="K622" s="49"/>
      <c r="L622" s="53">
        <f>O622*CFGRECT!$S$10</f>
        <v>0</v>
      </c>
      <c r="M622" s="53">
        <f>P622*CFGRECT!$T$10</f>
        <v>0</v>
      </c>
      <c r="N622" s="26"/>
      <c r="O622" s="227"/>
      <c r="P622" s="227"/>
      <c r="Q622" s="26"/>
      <c r="R622" s="26"/>
      <c r="S622" s="26"/>
      <c r="T622" s="26"/>
    </row>
    <row r="623" spans="6:20">
      <c r="F623" s="49"/>
      <c r="G623" s="49"/>
      <c r="H623" s="51" t="str">
        <f t="shared" si="10"/>
        <v/>
      </c>
      <c r="I623" s="49"/>
      <c r="J623" s="49"/>
      <c r="K623" s="49"/>
      <c r="L623" s="53">
        <f>O623*CFGRECT!$S$10</f>
        <v>0</v>
      </c>
      <c r="M623" s="53">
        <f>P623*CFGRECT!$T$10</f>
        <v>0</v>
      </c>
      <c r="N623" s="26"/>
      <c r="O623" s="227"/>
      <c r="P623" s="227"/>
      <c r="Q623" s="26"/>
      <c r="R623" s="26"/>
      <c r="S623" s="26"/>
      <c r="T623" s="26"/>
    </row>
    <row r="624" spans="6:20">
      <c r="F624" s="49"/>
      <c r="G624" s="49"/>
      <c r="H624" s="51" t="str">
        <f t="shared" si="10"/>
        <v/>
      </c>
      <c r="I624" s="49"/>
      <c r="J624" s="49"/>
      <c r="K624" s="49"/>
      <c r="L624" s="53">
        <f>O624*CFGRECT!$S$10</f>
        <v>0</v>
      </c>
      <c r="M624" s="53">
        <f>P624*CFGRECT!$T$10</f>
        <v>0</v>
      </c>
      <c r="N624" s="26"/>
      <c r="O624" s="227"/>
      <c r="P624" s="227"/>
      <c r="Q624" s="26"/>
      <c r="R624" s="26"/>
      <c r="S624" s="26"/>
      <c r="T624" s="26"/>
    </row>
    <row r="625" spans="6:20">
      <c r="F625" s="49"/>
      <c r="G625" s="49"/>
      <c r="H625" s="51" t="str">
        <f t="shared" si="10"/>
        <v/>
      </c>
      <c r="I625" s="49"/>
      <c r="J625" s="49"/>
      <c r="K625" s="49"/>
      <c r="L625" s="53">
        <f>O625*CFGRECT!$S$10</f>
        <v>0</v>
      </c>
      <c r="M625" s="53">
        <f>P625*CFGRECT!$T$10</f>
        <v>0</v>
      </c>
      <c r="N625" s="26"/>
      <c r="O625" s="227"/>
      <c r="P625" s="227"/>
      <c r="Q625" s="26"/>
      <c r="R625" s="26"/>
      <c r="S625" s="26"/>
      <c r="T625" s="26"/>
    </row>
    <row r="626" spans="6:20">
      <c r="F626" s="49"/>
      <c r="G626" s="49"/>
      <c r="H626" s="51" t="str">
        <f t="shared" si="10"/>
        <v/>
      </c>
      <c r="I626" s="49"/>
      <c r="J626" s="49"/>
      <c r="K626" s="49"/>
      <c r="L626" s="53">
        <f>O626*CFGRECT!$S$10</f>
        <v>0</v>
      </c>
      <c r="M626" s="53">
        <f>P626*CFGRECT!$T$10</f>
        <v>0</v>
      </c>
      <c r="N626" s="26"/>
      <c r="O626" s="227"/>
      <c r="P626" s="227"/>
      <c r="Q626" s="26"/>
      <c r="R626" s="26"/>
      <c r="S626" s="26"/>
      <c r="T626" s="26"/>
    </row>
    <row r="627" spans="6:20">
      <c r="F627" s="49"/>
      <c r="G627" s="49"/>
      <c r="H627" s="51" t="str">
        <f t="shared" si="10"/>
        <v/>
      </c>
      <c r="I627" s="49"/>
      <c r="J627" s="49"/>
      <c r="K627" s="49"/>
      <c r="L627" s="53">
        <f>O627*CFGRECT!$S$10</f>
        <v>0</v>
      </c>
      <c r="M627" s="53">
        <f>P627*CFGRECT!$T$10</f>
        <v>0</v>
      </c>
      <c r="N627" s="26"/>
      <c r="O627" s="227"/>
      <c r="P627" s="227"/>
      <c r="Q627" s="26"/>
      <c r="R627" s="26"/>
      <c r="S627" s="26"/>
      <c r="T627" s="26"/>
    </row>
    <row r="628" spans="6:20">
      <c r="F628" s="49"/>
      <c r="G628" s="49"/>
      <c r="H628" s="51" t="str">
        <f t="shared" si="10"/>
        <v/>
      </c>
      <c r="I628" s="49"/>
      <c r="J628" s="49"/>
      <c r="K628" s="49"/>
      <c r="L628" s="53">
        <f>O628*CFGRECT!$S$10</f>
        <v>0</v>
      </c>
      <c r="M628" s="53">
        <f>P628*CFGRECT!$T$10</f>
        <v>0</v>
      </c>
      <c r="N628" s="26"/>
      <c r="O628" s="227"/>
      <c r="P628" s="227"/>
      <c r="Q628" s="26"/>
      <c r="R628" s="26"/>
      <c r="S628" s="26"/>
      <c r="T628" s="26"/>
    </row>
    <row r="629" spans="6:20">
      <c r="F629" s="49"/>
      <c r="G629" s="49"/>
      <c r="H629" s="51" t="str">
        <f t="shared" si="10"/>
        <v/>
      </c>
      <c r="I629" s="49"/>
      <c r="J629" s="49"/>
      <c r="K629" s="49"/>
      <c r="L629" s="53">
        <f>O629*CFGRECT!$S$10</f>
        <v>0</v>
      </c>
      <c r="M629" s="53">
        <f>P629*CFGRECT!$T$10</f>
        <v>0</v>
      </c>
      <c r="N629" s="26"/>
      <c r="O629" s="227"/>
      <c r="P629" s="227"/>
      <c r="Q629" s="26"/>
      <c r="R629" s="26"/>
      <c r="S629" s="26"/>
      <c r="T629" s="26"/>
    </row>
    <row r="630" spans="6:20">
      <c r="F630" s="49"/>
      <c r="G630" s="49"/>
      <c r="H630" s="51" t="str">
        <f t="shared" si="10"/>
        <v/>
      </c>
      <c r="I630" s="49"/>
      <c r="J630" s="49"/>
      <c r="K630" s="49"/>
      <c r="L630" s="53">
        <f>O630*CFGRECT!$S$10</f>
        <v>0</v>
      </c>
      <c r="M630" s="53">
        <f>P630*CFGRECT!$T$10</f>
        <v>0</v>
      </c>
      <c r="N630" s="26"/>
      <c r="O630" s="227"/>
      <c r="P630" s="227"/>
      <c r="Q630" s="26"/>
      <c r="R630" s="26"/>
      <c r="S630" s="26"/>
      <c r="T630" s="26"/>
    </row>
    <row r="631" spans="6:20">
      <c r="F631" s="49"/>
      <c r="G631" s="49"/>
      <c r="H631" s="51" t="str">
        <f t="shared" si="10"/>
        <v/>
      </c>
      <c r="I631" s="49"/>
      <c r="J631" s="49"/>
      <c r="K631" s="49"/>
      <c r="L631" s="53">
        <f>O631*CFGRECT!$S$10</f>
        <v>0</v>
      </c>
      <c r="M631" s="53">
        <f>P631*CFGRECT!$T$10</f>
        <v>0</v>
      </c>
      <c r="N631" s="26"/>
      <c r="O631" s="227"/>
      <c r="P631" s="227"/>
      <c r="Q631" s="26"/>
      <c r="R631" s="26"/>
      <c r="S631" s="26"/>
      <c r="T631" s="26"/>
    </row>
    <row r="632" spans="6:20">
      <c r="F632" s="49"/>
      <c r="G632" s="49"/>
      <c r="H632" s="51" t="str">
        <f t="shared" si="10"/>
        <v/>
      </c>
      <c r="I632" s="49"/>
      <c r="J632" s="49"/>
      <c r="K632" s="49"/>
      <c r="L632" s="53">
        <f>O632*CFGRECT!$S$10</f>
        <v>0</v>
      </c>
      <c r="M632" s="53">
        <f>P632*CFGRECT!$T$10</f>
        <v>0</v>
      </c>
      <c r="N632" s="26"/>
      <c r="O632" s="227"/>
      <c r="P632" s="227"/>
      <c r="Q632" s="26"/>
      <c r="R632" s="26"/>
      <c r="S632" s="26"/>
      <c r="T632" s="26"/>
    </row>
    <row r="633" spans="6:20">
      <c r="F633" s="49"/>
      <c r="G633" s="49"/>
      <c r="H633" s="51" t="str">
        <f t="shared" si="10"/>
        <v/>
      </c>
      <c r="I633" s="49"/>
      <c r="J633" s="49"/>
      <c r="K633" s="49"/>
      <c r="L633" s="53">
        <f>O633*CFGRECT!$S$10</f>
        <v>0</v>
      </c>
      <c r="M633" s="53">
        <f>P633*CFGRECT!$T$10</f>
        <v>0</v>
      </c>
      <c r="N633" s="26"/>
      <c r="O633" s="227"/>
      <c r="P633" s="227"/>
      <c r="Q633" s="26"/>
      <c r="R633" s="26"/>
      <c r="S633" s="26"/>
      <c r="T633" s="26"/>
    </row>
    <row r="634" spans="6:20">
      <c r="F634" s="49"/>
      <c r="G634" s="49"/>
      <c r="H634" s="51" t="str">
        <f t="shared" si="10"/>
        <v/>
      </c>
      <c r="I634" s="49"/>
      <c r="J634" s="49"/>
      <c r="K634" s="49"/>
      <c r="L634" s="53">
        <f>O634*CFGRECT!$S$10</f>
        <v>0</v>
      </c>
      <c r="M634" s="53">
        <f>P634*CFGRECT!$T$10</f>
        <v>0</v>
      </c>
      <c r="N634" s="26"/>
      <c r="O634" s="227"/>
      <c r="P634" s="227"/>
      <c r="Q634" s="26"/>
      <c r="R634" s="26"/>
      <c r="S634" s="26"/>
      <c r="T634" s="26"/>
    </row>
    <row r="635" spans="6:20">
      <c r="F635" s="49"/>
      <c r="G635" s="49"/>
      <c r="H635" s="51" t="str">
        <f t="shared" si="10"/>
        <v/>
      </c>
      <c r="I635" s="49"/>
      <c r="J635" s="49"/>
      <c r="K635" s="49"/>
      <c r="L635" s="53">
        <f>O635*CFGRECT!$S$10</f>
        <v>0</v>
      </c>
      <c r="M635" s="53">
        <f>P635*CFGRECT!$T$10</f>
        <v>0</v>
      </c>
      <c r="N635" s="26"/>
      <c r="O635" s="227"/>
      <c r="P635" s="227"/>
      <c r="Q635" s="26"/>
      <c r="R635" s="26"/>
      <c r="S635" s="26"/>
      <c r="T635" s="26"/>
    </row>
    <row r="636" spans="6:20">
      <c r="F636" s="49"/>
      <c r="G636" s="49"/>
      <c r="H636" s="51" t="str">
        <f t="shared" si="10"/>
        <v/>
      </c>
      <c r="I636" s="49"/>
      <c r="J636" s="49"/>
      <c r="K636" s="49"/>
      <c r="L636" s="53">
        <f>O636*CFGRECT!$S$10</f>
        <v>0</v>
      </c>
      <c r="M636" s="53">
        <f>P636*CFGRECT!$T$10</f>
        <v>0</v>
      </c>
      <c r="N636" s="26"/>
      <c r="O636" s="227"/>
      <c r="P636" s="227"/>
      <c r="Q636" s="26"/>
      <c r="R636" s="26"/>
      <c r="S636" s="26"/>
      <c r="T636" s="26"/>
    </row>
    <row r="637" spans="6:20">
      <c r="F637" s="49"/>
      <c r="G637" s="49"/>
      <c r="H637" s="51" t="str">
        <f t="shared" si="10"/>
        <v/>
      </c>
      <c r="I637" s="49"/>
      <c r="J637" s="49"/>
      <c r="K637" s="49"/>
      <c r="L637" s="53">
        <f>O637*CFGRECT!$S$10</f>
        <v>0</v>
      </c>
      <c r="M637" s="53">
        <f>P637*CFGRECT!$T$10</f>
        <v>0</v>
      </c>
      <c r="N637" s="26"/>
      <c r="O637" s="227"/>
      <c r="P637" s="227"/>
      <c r="Q637" s="26"/>
      <c r="R637" s="26"/>
      <c r="S637" s="26"/>
      <c r="T637" s="26"/>
    </row>
    <row r="638" spans="6:20">
      <c r="F638" s="49"/>
      <c r="G638" s="49"/>
      <c r="H638" s="51" t="str">
        <f t="shared" si="10"/>
        <v/>
      </c>
      <c r="I638" s="49"/>
      <c r="J638" s="49"/>
      <c r="K638" s="49"/>
      <c r="L638" s="53">
        <f>O638*CFGRECT!$S$10</f>
        <v>0</v>
      </c>
      <c r="M638" s="53">
        <f>P638*CFGRECT!$T$10</f>
        <v>0</v>
      </c>
      <c r="N638" s="26"/>
      <c r="O638" s="227"/>
      <c r="P638" s="227"/>
      <c r="Q638" s="26"/>
      <c r="R638" s="26"/>
      <c r="S638" s="26"/>
      <c r="T638" s="26"/>
    </row>
    <row r="639" spans="6:20">
      <c r="F639" s="49"/>
      <c r="G639" s="49"/>
      <c r="H639" s="51" t="str">
        <f t="shared" si="10"/>
        <v/>
      </c>
      <c r="I639" s="49"/>
      <c r="J639" s="49"/>
      <c r="K639" s="49"/>
      <c r="L639" s="53">
        <f>O639*CFGRECT!$S$10</f>
        <v>0</v>
      </c>
      <c r="M639" s="53">
        <f>P639*CFGRECT!$T$10</f>
        <v>0</v>
      </c>
      <c r="N639" s="26"/>
      <c r="O639" s="227"/>
      <c r="P639" s="227"/>
      <c r="Q639" s="26"/>
      <c r="R639" s="26"/>
      <c r="S639" s="26"/>
      <c r="T639" s="26"/>
    </row>
    <row r="640" spans="6:20">
      <c r="F640" s="49"/>
      <c r="G640" s="49"/>
      <c r="H640" s="51" t="str">
        <f t="shared" si="10"/>
        <v/>
      </c>
      <c r="I640" s="49"/>
      <c r="J640" s="49"/>
      <c r="K640" s="49"/>
      <c r="L640" s="53">
        <f>O640*CFGRECT!$S$10</f>
        <v>0</v>
      </c>
      <c r="M640" s="53">
        <f>P640*CFGRECT!$T$10</f>
        <v>0</v>
      </c>
      <c r="N640" s="26"/>
      <c r="O640" s="227"/>
      <c r="P640" s="227"/>
      <c r="Q640" s="26"/>
      <c r="R640" s="26"/>
      <c r="S640" s="26"/>
      <c r="T640" s="26"/>
    </row>
    <row r="641" spans="6:20">
      <c r="F641" s="49"/>
      <c r="G641" s="49"/>
      <c r="H641" s="51" t="str">
        <f t="shared" si="10"/>
        <v/>
      </c>
      <c r="I641" s="49"/>
      <c r="J641" s="49"/>
      <c r="K641" s="49"/>
      <c r="L641" s="53">
        <f>O641*CFGRECT!$S$10</f>
        <v>0</v>
      </c>
      <c r="M641" s="53">
        <f>P641*CFGRECT!$T$10</f>
        <v>0</v>
      </c>
      <c r="N641" s="26"/>
      <c r="O641" s="227"/>
      <c r="P641" s="227"/>
      <c r="Q641" s="26"/>
      <c r="R641" s="26"/>
      <c r="S641" s="26"/>
      <c r="T641" s="26"/>
    </row>
    <row r="642" spans="6:20">
      <c r="F642" s="49"/>
      <c r="G642" s="49"/>
      <c r="H642" s="51" t="str">
        <f t="shared" si="10"/>
        <v/>
      </c>
      <c r="I642" s="49"/>
      <c r="J642" s="49"/>
      <c r="K642" s="49"/>
      <c r="L642" s="53">
        <f>O642*CFGRECT!$S$10</f>
        <v>0</v>
      </c>
      <c r="M642" s="53">
        <f>P642*CFGRECT!$T$10</f>
        <v>0</v>
      </c>
      <c r="N642" s="26"/>
      <c r="O642" s="227"/>
      <c r="P642" s="227"/>
      <c r="Q642" s="26"/>
      <c r="R642" s="26"/>
      <c r="S642" s="26"/>
      <c r="T642" s="26"/>
    </row>
    <row r="643" spans="6:20">
      <c r="F643" s="49"/>
      <c r="G643" s="49"/>
      <c r="H643" s="51" t="str">
        <f t="shared" si="10"/>
        <v/>
      </c>
      <c r="I643" s="49"/>
      <c r="J643" s="49"/>
      <c r="K643" s="49"/>
      <c r="L643" s="53">
        <f>O643*CFGRECT!$S$10</f>
        <v>0</v>
      </c>
      <c r="M643" s="53">
        <f>P643*CFGRECT!$T$10</f>
        <v>0</v>
      </c>
      <c r="N643" s="26"/>
      <c r="O643" s="227"/>
      <c r="P643" s="227"/>
      <c r="Q643" s="26"/>
      <c r="R643" s="26"/>
      <c r="S643" s="26"/>
      <c r="T643" s="26"/>
    </row>
    <row r="644" spans="6:20">
      <c r="F644" s="49"/>
      <c r="G644" s="49"/>
      <c r="H644" s="51" t="str">
        <f t="shared" si="10"/>
        <v/>
      </c>
      <c r="I644" s="49"/>
      <c r="J644" s="49"/>
      <c r="K644" s="49"/>
      <c r="L644" s="53">
        <f>O644*CFGRECT!$S$10</f>
        <v>0</v>
      </c>
      <c r="M644" s="53">
        <f>P644*CFGRECT!$T$10</f>
        <v>0</v>
      </c>
      <c r="N644" s="26"/>
      <c r="O644" s="227"/>
      <c r="P644" s="227"/>
      <c r="Q644" s="26"/>
      <c r="R644" s="26"/>
      <c r="S644" s="26"/>
      <c r="T644" s="26"/>
    </row>
    <row r="645" spans="6:20">
      <c r="F645" s="49"/>
      <c r="G645" s="49"/>
      <c r="H645" s="51" t="str">
        <f t="shared" si="10"/>
        <v/>
      </c>
      <c r="I645" s="49"/>
      <c r="J645" s="49"/>
      <c r="K645" s="49"/>
      <c r="L645" s="53">
        <f>O645*CFGRECT!$S$10</f>
        <v>0</v>
      </c>
      <c r="M645" s="53">
        <f>P645*CFGRECT!$T$10</f>
        <v>0</v>
      </c>
      <c r="N645" s="26"/>
      <c r="O645" s="227"/>
      <c r="P645" s="227"/>
      <c r="Q645" s="26"/>
      <c r="R645" s="26"/>
      <c r="S645" s="26"/>
      <c r="T645" s="26"/>
    </row>
    <row r="646" spans="6:20">
      <c r="F646" s="49"/>
      <c r="G646" s="49"/>
      <c r="H646" s="51" t="str">
        <f t="shared" si="10"/>
        <v/>
      </c>
      <c r="I646" s="49"/>
      <c r="J646" s="49"/>
      <c r="K646" s="49"/>
      <c r="L646" s="53">
        <f>O646*CFGRECT!$S$10</f>
        <v>0</v>
      </c>
      <c r="M646" s="53">
        <f>P646*CFGRECT!$T$10</f>
        <v>0</v>
      </c>
      <c r="N646" s="26"/>
      <c r="O646" s="227"/>
      <c r="P646" s="227"/>
      <c r="Q646" s="26"/>
      <c r="R646" s="26"/>
      <c r="S646" s="26"/>
      <c r="T646" s="26"/>
    </row>
    <row r="647" spans="6:20">
      <c r="F647" s="49"/>
      <c r="G647" s="49"/>
      <c r="H647" s="51" t="str">
        <f t="shared" si="10"/>
        <v/>
      </c>
      <c r="I647" s="49"/>
      <c r="J647" s="49"/>
      <c r="K647" s="49"/>
      <c r="L647" s="53">
        <f>O647*CFGRECT!$S$10</f>
        <v>0</v>
      </c>
      <c r="M647" s="53">
        <f>P647*CFGRECT!$T$10</f>
        <v>0</v>
      </c>
      <c r="N647" s="26"/>
      <c r="O647" s="227"/>
      <c r="P647" s="227"/>
      <c r="Q647" s="26"/>
      <c r="R647" s="26"/>
      <c r="S647" s="26"/>
      <c r="T647" s="26"/>
    </row>
    <row r="648" spans="6:20">
      <c r="F648" s="49"/>
      <c r="G648" s="49"/>
      <c r="H648" s="51" t="str">
        <f t="shared" si="10"/>
        <v/>
      </c>
      <c r="I648" s="49"/>
      <c r="J648" s="49"/>
      <c r="K648" s="49"/>
      <c r="L648" s="53">
        <f>O648*CFGRECT!$S$10</f>
        <v>0</v>
      </c>
      <c r="M648" s="53">
        <f>P648*CFGRECT!$T$10</f>
        <v>0</v>
      </c>
      <c r="N648" s="26"/>
      <c r="O648" s="227"/>
      <c r="P648" s="227"/>
      <c r="Q648" s="26"/>
      <c r="R648" s="26"/>
      <c r="S648" s="26"/>
      <c r="T648" s="26"/>
    </row>
    <row r="649" spans="6:20">
      <c r="F649" s="49"/>
      <c r="G649" s="49"/>
      <c r="H649" s="51" t="str">
        <f t="shared" si="10"/>
        <v/>
      </c>
      <c r="I649" s="49"/>
      <c r="J649" s="49"/>
      <c r="K649" s="49"/>
      <c r="L649" s="53">
        <f>O649*CFGRECT!$S$10</f>
        <v>0</v>
      </c>
      <c r="M649" s="53">
        <f>P649*CFGRECT!$T$10</f>
        <v>0</v>
      </c>
      <c r="N649" s="26"/>
      <c r="O649" s="227"/>
      <c r="P649" s="227"/>
      <c r="Q649" s="26"/>
      <c r="R649" s="26"/>
      <c r="S649" s="26"/>
      <c r="T649" s="26"/>
    </row>
    <row r="650" spans="6:20">
      <c r="F650" s="49"/>
      <c r="G650" s="49"/>
      <c r="H650" s="51" t="str">
        <f t="shared" si="10"/>
        <v/>
      </c>
      <c r="I650" s="49"/>
      <c r="J650" s="49"/>
      <c r="K650" s="49"/>
      <c r="L650" s="53">
        <f>O650*CFGRECT!$S$10</f>
        <v>0</v>
      </c>
      <c r="M650" s="53">
        <f>P650*CFGRECT!$T$10</f>
        <v>0</v>
      </c>
      <c r="N650" s="26"/>
      <c r="O650" s="227"/>
      <c r="P650" s="227"/>
      <c r="Q650" s="26"/>
      <c r="R650" s="26"/>
      <c r="S650" s="26"/>
      <c r="T650" s="26"/>
    </row>
    <row r="651" spans="6:20">
      <c r="F651" s="49"/>
      <c r="G651" s="49"/>
      <c r="H651" s="51" t="str">
        <f t="shared" si="10"/>
        <v/>
      </c>
      <c r="I651" s="49"/>
      <c r="J651" s="49"/>
      <c r="K651" s="49"/>
      <c r="L651" s="53">
        <f>O651*CFGRECT!$S$10</f>
        <v>0</v>
      </c>
      <c r="M651" s="53">
        <f>P651*CFGRECT!$T$10</f>
        <v>0</v>
      </c>
      <c r="N651" s="26"/>
      <c r="O651" s="227"/>
      <c r="P651" s="227"/>
      <c r="Q651" s="26"/>
      <c r="R651" s="26"/>
      <c r="S651" s="26"/>
      <c r="T651" s="26"/>
    </row>
    <row r="652" spans="6:20">
      <c r="F652" s="49"/>
      <c r="G652" s="49"/>
      <c r="H652" s="51" t="str">
        <f t="shared" si="10"/>
        <v/>
      </c>
      <c r="I652" s="49"/>
      <c r="J652" s="49"/>
      <c r="K652" s="49"/>
      <c r="L652" s="53">
        <f>O652*CFGRECT!$S$10</f>
        <v>0</v>
      </c>
      <c r="M652" s="53">
        <f>P652*CFGRECT!$T$10</f>
        <v>0</v>
      </c>
      <c r="N652" s="26"/>
      <c r="O652" s="227"/>
      <c r="P652" s="227"/>
      <c r="Q652" s="26"/>
      <c r="R652" s="26"/>
      <c r="S652" s="26"/>
      <c r="T652" s="26"/>
    </row>
    <row r="653" spans="6:20">
      <c r="F653" s="49"/>
      <c r="G653" s="49"/>
      <c r="H653" s="51" t="str">
        <f t="shared" si="10"/>
        <v/>
      </c>
      <c r="I653" s="49"/>
      <c r="J653" s="49"/>
      <c r="K653" s="49"/>
      <c r="L653" s="53">
        <f>O653*CFGRECT!$S$10</f>
        <v>0</v>
      </c>
      <c r="M653" s="53">
        <f>P653*CFGRECT!$T$10</f>
        <v>0</v>
      </c>
      <c r="N653" s="26"/>
      <c r="O653" s="227"/>
      <c r="P653" s="227"/>
      <c r="Q653" s="26"/>
      <c r="R653" s="26"/>
      <c r="S653" s="26"/>
      <c r="T653" s="26"/>
    </row>
    <row r="654" spans="6:20">
      <c r="F654" s="49"/>
      <c r="G654" s="49"/>
      <c r="H654" s="51" t="str">
        <f t="shared" si="10"/>
        <v/>
      </c>
      <c r="I654" s="49"/>
      <c r="J654" s="49"/>
      <c r="K654" s="49"/>
      <c r="L654" s="53">
        <f>O654*CFGRECT!$S$10</f>
        <v>0</v>
      </c>
      <c r="M654" s="53">
        <f>P654*CFGRECT!$T$10</f>
        <v>0</v>
      </c>
      <c r="N654" s="26"/>
      <c r="O654" s="227"/>
      <c r="P654" s="227"/>
      <c r="Q654" s="26"/>
      <c r="R654" s="26"/>
      <c r="S654" s="26"/>
      <c r="T654" s="26"/>
    </row>
    <row r="655" spans="6:20">
      <c r="F655" s="49"/>
      <c r="G655" s="49"/>
      <c r="H655" s="51" t="str">
        <f t="shared" si="10"/>
        <v/>
      </c>
      <c r="I655" s="49"/>
      <c r="J655" s="49"/>
      <c r="K655" s="49"/>
      <c r="L655" s="53">
        <f>O655*CFGRECT!$S$10</f>
        <v>0</v>
      </c>
      <c r="M655" s="53">
        <f>P655*CFGRECT!$T$10</f>
        <v>0</v>
      </c>
      <c r="N655" s="26"/>
      <c r="O655" s="227"/>
      <c r="P655" s="227"/>
      <c r="Q655" s="26"/>
      <c r="R655" s="26"/>
      <c r="S655" s="26"/>
      <c r="T655" s="26"/>
    </row>
    <row r="656" spans="6:20">
      <c r="F656" s="49"/>
      <c r="G656" s="49"/>
      <c r="H656" s="51" t="str">
        <f t="shared" si="10"/>
        <v/>
      </c>
      <c r="I656" s="49"/>
      <c r="J656" s="49"/>
      <c r="K656" s="49"/>
      <c r="L656" s="53">
        <f>O656*CFGRECT!$S$10</f>
        <v>0</v>
      </c>
      <c r="M656" s="53">
        <f>P656*CFGRECT!$T$10</f>
        <v>0</v>
      </c>
      <c r="N656" s="26"/>
      <c r="O656" s="227"/>
      <c r="P656" s="227"/>
      <c r="Q656" s="26"/>
      <c r="R656" s="26"/>
      <c r="S656" s="26"/>
      <c r="T656" s="26"/>
    </row>
    <row r="657" spans="6:20">
      <c r="F657" s="49"/>
      <c r="G657" s="49"/>
      <c r="H657" s="51" t="str">
        <f t="shared" ref="H657:H720" si="11">F657&amp;IF(G657="",""," - "&amp;G657)</f>
        <v/>
      </c>
      <c r="I657" s="49"/>
      <c r="J657" s="49"/>
      <c r="K657" s="49"/>
      <c r="L657" s="53">
        <f>O657*CFGRECT!$S$10</f>
        <v>0</v>
      </c>
      <c r="M657" s="53">
        <f>P657*CFGRECT!$T$10</f>
        <v>0</v>
      </c>
      <c r="N657" s="26"/>
      <c r="O657" s="227"/>
      <c r="P657" s="227"/>
      <c r="Q657" s="26"/>
      <c r="R657" s="26"/>
      <c r="S657" s="26"/>
      <c r="T657" s="26"/>
    </row>
    <row r="658" spans="6:20">
      <c r="F658" s="49"/>
      <c r="G658" s="49"/>
      <c r="H658" s="51" t="str">
        <f t="shared" si="11"/>
        <v/>
      </c>
      <c r="I658" s="49"/>
      <c r="J658" s="49"/>
      <c r="K658" s="49"/>
      <c r="L658" s="53">
        <f>O658*CFGRECT!$S$10</f>
        <v>0</v>
      </c>
      <c r="M658" s="53">
        <f>P658*CFGRECT!$T$10</f>
        <v>0</v>
      </c>
      <c r="N658" s="26"/>
      <c r="O658" s="227"/>
      <c r="P658" s="227"/>
      <c r="Q658" s="26"/>
      <c r="R658" s="26"/>
      <c r="S658" s="26"/>
      <c r="T658" s="26"/>
    </row>
    <row r="659" spans="6:20">
      <c r="F659" s="49"/>
      <c r="G659" s="49"/>
      <c r="H659" s="51" t="str">
        <f t="shared" si="11"/>
        <v/>
      </c>
      <c r="I659" s="49"/>
      <c r="J659" s="49"/>
      <c r="K659" s="49"/>
      <c r="L659" s="53">
        <f>O659*CFGRECT!$S$10</f>
        <v>0</v>
      </c>
      <c r="M659" s="53">
        <f>P659*CFGRECT!$T$10</f>
        <v>0</v>
      </c>
      <c r="N659" s="26"/>
      <c r="O659" s="227"/>
      <c r="P659" s="227"/>
      <c r="Q659" s="26"/>
      <c r="R659" s="26"/>
      <c r="S659" s="26"/>
      <c r="T659" s="26"/>
    </row>
    <row r="660" spans="6:20">
      <c r="F660" s="49"/>
      <c r="G660" s="49"/>
      <c r="H660" s="51" t="str">
        <f t="shared" si="11"/>
        <v/>
      </c>
      <c r="I660" s="49"/>
      <c r="J660" s="49"/>
      <c r="K660" s="49"/>
      <c r="L660" s="53">
        <f>O660*CFGRECT!$S$10</f>
        <v>0</v>
      </c>
      <c r="M660" s="53">
        <f>P660*CFGRECT!$T$10</f>
        <v>0</v>
      </c>
      <c r="N660" s="26"/>
      <c r="O660" s="227"/>
      <c r="P660" s="227"/>
      <c r="Q660" s="26"/>
      <c r="R660" s="26"/>
      <c r="S660" s="26"/>
      <c r="T660" s="26"/>
    </row>
    <row r="661" spans="6:20">
      <c r="F661" s="49"/>
      <c r="G661" s="49"/>
      <c r="H661" s="51" t="str">
        <f t="shared" si="11"/>
        <v/>
      </c>
      <c r="I661" s="49"/>
      <c r="J661" s="49"/>
      <c r="K661" s="49"/>
      <c r="L661" s="53">
        <f>O661*CFGRECT!$S$10</f>
        <v>0</v>
      </c>
      <c r="M661" s="53">
        <f>P661*CFGRECT!$T$10</f>
        <v>0</v>
      </c>
      <c r="N661" s="26"/>
      <c r="O661" s="227"/>
      <c r="P661" s="227"/>
      <c r="Q661" s="26"/>
      <c r="R661" s="26"/>
      <c r="S661" s="26"/>
      <c r="T661" s="26"/>
    </row>
    <row r="662" spans="6:20">
      <c r="F662" s="49"/>
      <c r="G662" s="49"/>
      <c r="H662" s="51" t="str">
        <f t="shared" si="11"/>
        <v/>
      </c>
      <c r="I662" s="49"/>
      <c r="J662" s="49"/>
      <c r="K662" s="49"/>
      <c r="L662" s="53">
        <f>O662*CFGRECT!$S$10</f>
        <v>0</v>
      </c>
      <c r="M662" s="53">
        <f>P662*CFGRECT!$T$10</f>
        <v>0</v>
      </c>
      <c r="N662" s="26"/>
      <c r="O662" s="227"/>
      <c r="P662" s="227"/>
      <c r="Q662" s="26"/>
      <c r="R662" s="26"/>
      <c r="S662" s="26"/>
      <c r="T662" s="26"/>
    </row>
    <row r="663" spans="6:20">
      <c r="F663" s="49"/>
      <c r="G663" s="49"/>
      <c r="H663" s="51" t="str">
        <f t="shared" si="11"/>
        <v/>
      </c>
      <c r="I663" s="49"/>
      <c r="J663" s="49"/>
      <c r="K663" s="49"/>
      <c r="L663" s="53">
        <f>O663*CFGRECT!$S$10</f>
        <v>0</v>
      </c>
      <c r="M663" s="53">
        <f>P663*CFGRECT!$T$10</f>
        <v>0</v>
      </c>
      <c r="N663" s="26"/>
      <c r="O663" s="227"/>
      <c r="P663" s="227"/>
      <c r="Q663" s="26"/>
      <c r="R663" s="26"/>
      <c r="S663" s="26"/>
      <c r="T663" s="26"/>
    </row>
    <row r="664" spans="6:20">
      <c r="F664" s="49"/>
      <c r="G664" s="49"/>
      <c r="H664" s="51" t="str">
        <f t="shared" si="11"/>
        <v/>
      </c>
      <c r="I664" s="49"/>
      <c r="J664" s="49"/>
      <c r="K664" s="49"/>
      <c r="L664" s="53">
        <f>O664*CFGRECT!$S$10</f>
        <v>0</v>
      </c>
      <c r="M664" s="53">
        <f>P664*CFGRECT!$T$10</f>
        <v>0</v>
      </c>
      <c r="N664" s="26"/>
      <c r="O664" s="227"/>
      <c r="P664" s="227"/>
      <c r="Q664" s="26"/>
      <c r="R664" s="26"/>
      <c r="S664" s="26"/>
      <c r="T664" s="26"/>
    </row>
    <row r="665" spans="6:20">
      <c r="F665" s="49"/>
      <c r="G665" s="49"/>
      <c r="H665" s="51" t="str">
        <f t="shared" si="11"/>
        <v/>
      </c>
      <c r="I665" s="49"/>
      <c r="J665" s="49"/>
      <c r="K665" s="49"/>
      <c r="L665" s="53">
        <f>O665*CFGRECT!$S$10</f>
        <v>0</v>
      </c>
      <c r="M665" s="53">
        <f>P665*CFGRECT!$T$10</f>
        <v>0</v>
      </c>
      <c r="N665" s="26"/>
      <c r="O665" s="227"/>
      <c r="P665" s="227"/>
      <c r="Q665" s="26"/>
      <c r="R665" s="26"/>
      <c r="S665" s="26"/>
      <c r="T665" s="26"/>
    </row>
    <row r="666" spans="6:20">
      <c r="F666" s="49"/>
      <c r="G666" s="49"/>
      <c r="H666" s="51" t="str">
        <f t="shared" si="11"/>
        <v/>
      </c>
      <c r="I666" s="49"/>
      <c r="J666" s="49"/>
      <c r="K666" s="49"/>
      <c r="L666" s="53">
        <f>O666*CFGRECT!$S$10</f>
        <v>0</v>
      </c>
      <c r="M666" s="53">
        <f>P666*CFGRECT!$T$10</f>
        <v>0</v>
      </c>
      <c r="N666" s="26"/>
      <c r="O666" s="227"/>
      <c r="P666" s="227"/>
      <c r="Q666" s="26"/>
      <c r="R666" s="26"/>
      <c r="S666" s="26"/>
      <c r="T666" s="26"/>
    </row>
    <row r="667" spans="6:20">
      <c r="F667" s="49"/>
      <c r="G667" s="49"/>
      <c r="H667" s="51" t="str">
        <f t="shared" si="11"/>
        <v/>
      </c>
      <c r="I667" s="49"/>
      <c r="J667" s="49"/>
      <c r="K667" s="49"/>
      <c r="L667" s="53">
        <f>O667*CFGRECT!$S$10</f>
        <v>0</v>
      </c>
      <c r="M667" s="53">
        <f>P667*CFGRECT!$T$10</f>
        <v>0</v>
      </c>
      <c r="N667" s="26"/>
      <c r="O667" s="227"/>
      <c r="P667" s="227"/>
      <c r="Q667" s="26"/>
      <c r="R667" s="26"/>
      <c r="S667" s="26"/>
      <c r="T667" s="26"/>
    </row>
    <row r="668" spans="6:20">
      <c r="F668" s="49"/>
      <c r="G668" s="49"/>
      <c r="H668" s="51" t="str">
        <f t="shared" si="11"/>
        <v/>
      </c>
      <c r="I668" s="49"/>
      <c r="J668" s="49"/>
      <c r="K668" s="49"/>
      <c r="L668" s="53">
        <f>O668*CFGRECT!$S$10</f>
        <v>0</v>
      </c>
      <c r="M668" s="53">
        <f>P668*CFGRECT!$T$10</f>
        <v>0</v>
      </c>
      <c r="N668" s="26"/>
      <c r="O668" s="227"/>
      <c r="P668" s="227"/>
      <c r="Q668" s="26"/>
      <c r="R668" s="26"/>
      <c r="S668" s="26"/>
      <c r="T668" s="26"/>
    </row>
    <row r="669" spans="6:20">
      <c r="F669" s="49"/>
      <c r="G669" s="49"/>
      <c r="H669" s="51" t="str">
        <f t="shared" si="11"/>
        <v/>
      </c>
      <c r="I669" s="49"/>
      <c r="J669" s="49"/>
      <c r="K669" s="49"/>
      <c r="L669" s="53">
        <f>O669*CFGRECT!$S$10</f>
        <v>0</v>
      </c>
      <c r="M669" s="53">
        <f>P669*CFGRECT!$T$10</f>
        <v>0</v>
      </c>
      <c r="N669" s="26"/>
      <c r="O669" s="227"/>
      <c r="P669" s="227"/>
      <c r="Q669" s="26"/>
      <c r="R669" s="26"/>
      <c r="S669" s="26"/>
      <c r="T669" s="26"/>
    </row>
    <row r="670" spans="6:20">
      <c r="F670" s="49"/>
      <c r="G670" s="49"/>
      <c r="H670" s="51" t="str">
        <f t="shared" si="11"/>
        <v/>
      </c>
      <c r="I670" s="49"/>
      <c r="J670" s="49"/>
      <c r="K670" s="49"/>
      <c r="L670" s="53">
        <f>O670*CFGRECT!$S$10</f>
        <v>0</v>
      </c>
      <c r="M670" s="53">
        <f>P670*CFGRECT!$T$10</f>
        <v>0</v>
      </c>
      <c r="N670" s="26"/>
      <c r="O670" s="227"/>
      <c r="P670" s="227"/>
      <c r="Q670" s="26"/>
      <c r="R670" s="26"/>
      <c r="S670" s="26"/>
      <c r="T670" s="26"/>
    </row>
    <row r="671" spans="6:20">
      <c r="F671" s="49"/>
      <c r="G671" s="49"/>
      <c r="H671" s="51" t="str">
        <f t="shared" si="11"/>
        <v/>
      </c>
      <c r="I671" s="49"/>
      <c r="J671" s="49"/>
      <c r="K671" s="49"/>
      <c r="L671" s="53">
        <f>O671*CFGRECT!$S$10</f>
        <v>0</v>
      </c>
      <c r="M671" s="53">
        <f>P671*CFGRECT!$T$10</f>
        <v>0</v>
      </c>
      <c r="N671" s="26"/>
      <c r="O671" s="227"/>
      <c r="P671" s="227"/>
      <c r="Q671" s="26"/>
      <c r="R671" s="26"/>
      <c r="S671" s="26"/>
      <c r="T671" s="26"/>
    </row>
    <row r="672" spans="6:20">
      <c r="F672" s="49"/>
      <c r="G672" s="49"/>
      <c r="H672" s="51" t="str">
        <f t="shared" si="11"/>
        <v/>
      </c>
      <c r="I672" s="49"/>
      <c r="J672" s="49"/>
      <c r="K672" s="49"/>
      <c r="L672" s="53">
        <f>O672*CFGRECT!$S$10</f>
        <v>0</v>
      </c>
      <c r="M672" s="53">
        <f>P672*CFGRECT!$T$10</f>
        <v>0</v>
      </c>
      <c r="N672" s="26"/>
      <c r="O672" s="227"/>
      <c r="P672" s="227"/>
      <c r="Q672" s="26"/>
      <c r="R672" s="26"/>
      <c r="S672" s="26"/>
      <c r="T672" s="26"/>
    </row>
    <row r="673" spans="6:20">
      <c r="F673" s="49"/>
      <c r="G673" s="49"/>
      <c r="H673" s="51" t="str">
        <f t="shared" si="11"/>
        <v/>
      </c>
      <c r="I673" s="49"/>
      <c r="J673" s="49"/>
      <c r="K673" s="49"/>
      <c r="L673" s="53">
        <f>O673*CFGRECT!$S$10</f>
        <v>0</v>
      </c>
      <c r="M673" s="53">
        <f>P673*CFGRECT!$T$10</f>
        <v>0</v>
      </c>
      <c r="N673" s="26"/>
      <c r="O673" s="227"/>
      <c r="P673" s="227"/>
      <c r="Q673" s="26"/>
      <c r="R673" s="26"/>
      <c r="S673" s="26"/>
      <c r="T673" s="26"/>
    </row>
    <row r="674" spans="6:20">
      <c r="F674" s="49"/>
      <c r="G674" s="49"/>
      <c r="H674" s="51" t="str">
        <f t="shared" si="11"/>
        <v/>
      </c>
      <c r="I674" s="49"/>
      <c r="J674" s="49"/>
      <c r="K674" s="49"/>
      <c r="L674" s="53">
        <f>O674*CFGRECT!$S$10</f>
        <v>0</v>
      </c>
      <c r="M674" s="53">
        <f>P674*CFGRECT!$T$10</f>
        <v>0</v>
      </c>
      <c r="N674" s="26"/>
      <c r="O674" s="227"/>
      <c r="P674" s="227"/>
      <c r="Q674" s="26"/>
      <c r="R674" s="26"/>
      <c r="S674" s="26"/>
      <c r="T674" s="26"/>
    </row>
    <row r="675" spans="6:20">
      <c r="F675" s="49"/>
      <c r="G675" s="49"/>
      <c r="H675" s="51" t="str">
        <f t="shared" si="11"/>
        <v/>
      </c>
      <c r="I675" s="49"/>
      <c r="J675" s="49"/>
      <c r="K675" s="49"/>
      <c r="L675" s="53">
        <f>O675*CFGRECT!$S$10</f>
        <v>0</v>
      </c>
      <c r="M675" s="53">
        <f>P675*CFGRECT!$T$10</f>
        <v>0</v>
      </c>
      <c r="N675" s="26"/>
      <c r="O675" s="227"/>
      <c r="P675" s="227"/>
      <c r="Q675" s="26"/>
      <c r="R675" s="26"/>
      <c r="S675" s="26"/>
      <c r="T675" s="26"/>
    </row>
    <row r="676" spans="6:20">
      <c r="F676" s="49"/>
      <c r="G676" s="49"/>
      <c r="H676" s="51" t="str">
        <f t="shared" si="11"/>
        <v/>
      </c>
      <c r="I676" s="49"/>
      <c r="J676" s="49"/>
      <c r="K676" s="49"/>
      <c r="L676" s="53">
        <f>O676*CFGRECT!$S$10</f>
        <v>0</v>
      </c>
      <c r="M676" s="53">
        <f>P676*CFGRECT!$T$10</f>
        <v>0</v>
      </c>
      <c r="N676" s="26"/>
      <c r="O676" s="227"/>
      <c r="P676" s="227"/>
      <c r="Q676" s="26"/>
      <c r="R676" s="26"/>
      <c r="S676" s="26"/>
      <c r="T676" s="26"/>
    </row>
    <row r="677" spans="6:20">
      <c r="F677" s="49"/>
      <c r="G677" s="49"/>
      <c r="H677" s="51" t="str">
        <f t="shared" si="11"/>
        <v/>
      </c>
      <c r="I677" s="49"/>
      <c r="J677" s="49"/>
      <c r="K677" s="49"/>
      <c r="L677" s="53">
        <f>O677*CFGRECT!$S$10</f>
        <v>0</v>
      </c>
      <c r="M677" s="53">
        <f>P677*CFGRECT!$T$10</f>
        <v>0</v>
      </c>
      <c r="N677" s="26"/>
      <c r="O677" s="227"/>
      <c r="P677" s="227"/>
      <c r="Q677" s="26"/>
      <c r="R677" s="26"/>
      <c r="S677" s="26"/>
      <c r="T677" s="26"/>
    </row>
    <row r="678" spans="6:20">
      <c r="F678" s="49"/>
      <c r="G678" s="49"/>
      <c r="H678" s="51" t="str">
        <f t="shared" si="11"/>
        <v/>
      </c>
      <c r="I678" s="49"/>
      <c r="J678" s="49"/>
      <c r="K678" s="49"/>
      <c r="L678" s="53">
        <f>O678*CFGRECT!$S$10</f>
        <v>0</v>
      </c>
      <c r="M678" s="53">
        <f>P678*CFGRECT!$T$10</f>
        <v>0</v>
      </c>
      <c r="N678" s="26"/>
      <c r="O678" s="227"/>
      <c r="P678" s="227"/>
      <c r="Q678" s="26"/>
      <c r="R678" s="26"/>
      <c r="S678" s="26"/>
      <c r="T678" s="26"/>
    </row>
    <row r="679" spans="6:20">
      <c r="F679" s="49"/>
      <c r="G679" s="49"/>
      <c r="H679" s="51" t="str">
        <f t="shared" si="11"/>
        <v/>
      </c>
      <c r="I679" s="49"/>
      <c r="J679" s="49"/>
      <c r="K679" s="49"/>
      <c r="L679" s="53">
        <f>O679*CFGRECT!$S$10</f>
        <v>0</v>
      </c>
      <c r="M679" s="53">
        <f>P679*CFGRECT!$T$10</f>
        <v>0</v>
      </c>
      <c r="N679" s="26"/>
      <c r="O679" s="227"/>
      <c r="P679" s="227"/>
      <c r="Q679" s="26"/>
      <c r="R679" s="26"/>
      <c r="S679" s="26"/>
      <c r="T679" s="26"/>
    </row>
    <row r="680" spans="6:20">
      <c r="F680" s="49"/>
      <c r="G680" s="49"/>
      <c r="H680" s="51" t="str">
        <f t="shared" si="11"/>
        <v/>
      </c>
      <c r="I680" s="49"/>
      <c r="J680" s="49"/>
      <c r="K680" s="49"/>
      <c r="L680" s="53">
        <f>O680*CFGRECT!$S$10</f>
        <v>0</v>
      </c>
      <c r="M680" s="53">
        <f>P680*CFGRECT!$T$10</f>
        <v>0</v>
      </c>
      <c r="N680" s="26"/>
      <c r="O680" s="227"/>
      <c r="P680" s="227"/>
      <c r="Q680" s="26"/>
      <c r="R680" s="26"/>
      <c r="S680" s="26"/>
      <c r="T680" s="26"/>
    </row>
    <row r="681" spans="6:20">
      <c r="F681" s="49"/>
      <c r="G681" s="49"/>
      <c r="H681" s="51" t="str">
        <f t="shared" si="11"/>
        <v/>
      </c>
      <c r="I681" s="49"/>
      <c r="J681" s="49"/>
      <c r="K681" s="49"/>
      <c r="L681" s="53">
        <f>O681*CFGRECT!$S$10</f>
        <v>0</v>
      </c>
      <c r="M681" s="53">
        <f>P681*CFGRECT!$T$10</f>
        <v>0</v>
      </c>
      <c r="N681" s="26"/>
      <c r="O681" s="227"/>
      <c r="P681" s="227"/>
      <c r="Q681" s="26"/>
      <c r="R681" s="26"/>
      <c r="S681" s="26"/>
      <c r="T681" s="26"/>
    </row>
    <row r="682" spans="6:20">
      <c r="F682" s="49"/>
      <c r="G682" s="49"/>
      <c r="H682" s="51" t="str">
        <f t="shared" si="11"/>
        <v/>
      </c>
      <c r="I682" s="49"/>
      <c r="J682" s="49"/>
      <c r="K682" s="49"/>
      <c r="L682" s="53">
        <f>O682*CFGRECT!$S$10</f>
        <v>0</v>
      </c>
      <c r="M682" s="53">
        <f>P682*CFGRECT!$T$10</f>
        <v>0</v>
      </c>
      <c r="N682" s="26"/>
      <c r="O682" s="227"/>
      <c r="P682" s="227"/>
      <c r="Q682" s="26"/>
      <c r="R682" s="26"/>
      <c r="S682" s="26"/>
      <c r="T682" s="26"/>
    </row>
    <row r="683" spans="6:20">
      <c r="F683" s="49"/>
      <c r="G683" s="49"/>
      <c r="H683" s="51" t="str">
        <f t="shared" si="11"/>
        <v/>
      </c>
      <c r="I683" s="49"/>
      <c r="J683" s="49"/>
      <c r="K683" s="49"/>
      <c r="L683" s="53">
        <f>O683*CFGRECT!$S$10</f>
        <v>0</v>
      </c>
      <c r="M683" s="53">
        <f>P683*CFGRECT!$T$10</f>
        <v>0</v>
      </c>
      <c r="N683" s="26"/>
      <c r="O683" s="227"/>
      <c r="P683" s="227"/>
      <c r="Q683" s="26"/>
      <c r="R683" s="26"/>
      <c r="S683" s="26"/>
      <c r="T683" s="26"/>
    </row>
    <row r="684" spans="6:20">
      <c r="F684" s="49"/>
      <c r="G684" s="49"/>
      <c r="H684" s="51" t="str">
        <f t="shared" si="11"/>
        <v/>
      </c>
      <c r="I684" s="49"/>
      <c r="J684" s="49"/>
      <c r="K684" s="49"/>
      <c r="L684" s="53">
        <f>O684*CFGRECT!$S$10</f>
        <v>0</v>
      </c>
      <c r="M684" s="53">
        <f>P684*CFGRECT!$T$10</f>
        <v>0</v>
      </c>
      <c r="N684" s="26"/>
      <c r="O684" s="227"/>
      <c r="P684" s="227"/>
      <c r="Q684" s="26"/>
      <c r="R684" s="26"/>
      <c r="S684" s="26"/>
      <c r="T684" s="26"/>
    </row>
    <row r="685" spans="6:20">
      <c r="F685" s="49"/>
      <c r="G685" s="49"/>
      <c r="H685" s="51" t="str">
        <f t="shared" si="11"/>
        <v/>
      </c>
      <c r="I685" s="49"/>
      <c r="J685" s="49"/>
      <c r="K685" s="49"/>
      <c r="L685" s="53">
        <f>O685*CFGRECT!$S$10</f>
        <v>0</v>
      </c>
      <c r="M685" s="53">
        <f>P685*CFGRECT!$T$10</f>
        <v>0</v>
      </c>
      <c r="N685" s="26"/>
      <c r="O685" s="227"/>
      <c r="P685" s="227"/>
      <c r="Q685" s="26"/>
      <c r="R685" s="26"/>
      <c r="S685" s="26"/>
      <c r="T685" s="26"/>
    </row>
    <row r="686" spans="6:20">
      <c r="F686" s="49"/>
      <c r="G686" s="49"/>
      <c r="H686" s="51" t="str">
        <f t="shared" si="11"/>
        <v/>
      </c>
      <c r="I686" s="49"/>
      <c r="J686" s="49"/>
      <c r="K686" s="49"/>
      <c r="L686" s="53">
        <f>O686*CFGRECT!$S$10</f>
        <v>0</v>
      </c>
      <c r="M686" s="53">
        <f>P686*CFGRECT!$T$10</f>
        <v>0</v>
      </c>
      <c r="N686" s="26"/>
      <c r="O686" s="227"/>
      <c r="P686" s="227"/>
      <c r="Q686" s="26"/>
      <c r="R686" s="26"/>
      <c r="S686" s="26"/>
      <c r="T686" s="26"/>
    </row>
    <row r="687" spans="6:20">
      <c r="F687" s="49"/>
      <c r="G687" s="49"/>
      <c r="H687" s="51" t="str">
        <f t="shared" si="11"/>
        <v/>
      </c>
      <c r="I687" s="49"/>
      <c r="J687" s="49"/>
      <c r="K687" s="49"/>
      <c r="L687" s="53">
        <f>O687*CFGRECT!$S$10</f>
        <v>0</v>
      </c>
      <c r="M687" s="53">
        <f>P687*CFGRECT!$T$10</f>
        <v>0</v>
      </c>
      <c r="N687" s="26"/>
      <c r="O687" s="227"/>
      <c r="P687" s="227"/>
      <c r="Q687" s="26"/>
      <c r="R687" s="26"/>
      <c r="S687" s="26"/>
      <c r="T687" s="26"/>
    </row>
    <row r="688" spans="6:20">
      <c r="F688" s="49"/>
      <c r="G688" s="49"/>
      <c r="H688" s="51" t="str">
        <f t="shared" si="11"/>
        <v/>
      </c>
      <c r="I688" s="49"/>
      <c r="J688" s="49"/>
      <c r="K688" s="49"/>
      <c r="L688" s="53">
        <f>O688*CFGRECT!$S$10</f>
        <v>0</v>
      </c>
      <c r="M688" s="53">
        <f>P688*CFGRECT!$T$10</f>
        <v>0</v>
      </c>
      <c r="N688" s="26"/>
      <c r="O688" s="227"/>
      <c r="P688" s="227"/>
      <c r="Q688" s="26"/>
      <c r="R688" s="26"/>
      <c r="S688" s="26"/>
      <c r="T688" s="26"/>
    </row>
    <row r="689" spans="6:20">
      <c r="F689" s="49"/>
      <c r="G689" s="49"/>
      <c r="H689" s="51" t="str">
        <f t="shared" si="11"/>
        <v/>
      </c>
      <c r="I689" s="49"/>
      <c r="J689" s="49"/>
      <c r="K689" s="49"/>
      <c r="L689" s="53">
        <f>O689*CFGRECT!$S$10</f>
        <v>0</v>
      </c>
      <c r="M689" s="53">
        <f>P689*CFGRECT!$T$10</f>
        <v>0</v>
      </c>
      <c r="N689" s="26"/>
      <c r="O689" s="227"/>
      <c r="P689" s="227"/>
      <c r="Q689" s="26"/>
      <c r="R689" s="26"/>
      <c r="S689" s="26"/>
      <c r="T689" s="26"/>
    </row>
    <row r="690" spans="6:20">
      <c r="F690" s="49"/>
      <c r="G690" s="49"/>
      <c r="H690" s="51" t="str">
        <f t="shared" si="11"/>
        <v/>
      </c>
      <c r="I690" s="49"/>
      <c r="J690" s="49"/>
      <c r="K690" s="49"/>
      <c r="L690" s="53">
        <f>O690*CFGRECT!$S$10</f>
        <v>0</v>
      </c>
      <c r="M690" s="53">
        <f>P690*CFGRECT!$T$10</f>
        <v>0</v>
      </c>
      <c r="N690" s="26"/>
      <c r="O690" s="227"/>
      <c r="P690" s="227"/>
      <c r="Q690" s="26"/>
      <c r="R690" s="26"/>
      <c r="S690" s="26"/>
      <c r="T690" s="26"/>
    </row>
    <row r="691" spans="6:20">
      <c r="F691" s="49"/>
      <c r="G691" s="49"/>
      <c r="H691" s="51" t="str">
        <f t="shared" si="11"/>
        <v/>
      </c>
      <c r="I691" s="49"/>
      <c r="J691" s="49"/>
      <c r="K691" s="49"/>
      <c r="L691" s="53">
        <f>O691*CFGRECT!$S$10</f>
        <v>0</v>
      </c>
      <c r="M691" s="53">
        <f>P691*CFGRECT!$T$10</f>
        <v>0</v>
      </c>
      <c r="N691" s="26"/>
      <c r="O691" s="227"/>
      <c r="P691" s="227"/>
      <c r="Q691" s="26"/>
      <c r="R691" s="26"/>
      <c r="S691" s="26"/>
      <c r="T691" s="26"/>
    </row>
    <row r="692" spans="6:20">
      <c r="F692" s="49"/>
      <c r="G692" s="49"/>
      <c r="H692" s="51" t="str">
        <f t="shared" si="11"/>
        <v/>
      </c>
      <c r="I692" s="49"/>
      <c r="J692" s="49"/>
      <c r="K692" s="49"/>
      <c r="L692" s="53">
        <f>O692*CFGRECT!$S$10</f>
        <v>0</v>
      </c>
      <c r="M692" s="53">
        <f>P692*CFGRECT!$T$10</f>
        <v>0</v>
      </c>
      <c r="N692" s="26"/>
      <c r="O692" s="227"/>
      <c r="P692" s="227"/>
      <c r="Q692" s="26"/>
      <c r="R692" s="26"/>
      <c r="S692" s="26"/>
      <c r="T692" s="26"/>
    </row>
    <row r="693" spans="6:20">
      <c r="F693" s="49"/>
      <c r="G693" s="49"/>
      <c r="H693" s="51" t="str">
        <f t="shared" si="11"/>
        <v/>
      </c>
      <c r="I693" s="49"/>
      <c r="J693" s="49"/>
      <c r="K693" s="49"/>
      <c r="L693" s="53">
        <f>O693*CFGRECT!$S$10</f>
        <v>0</v>
      </c>
      <c r="M693" s="53">
        <f>P693*CFGRECT!$T$10</f>
        <v>0</v>
      </c>
      <c r="N693" s="26"/>
      <c r="O693" s="227"/>
      <c r="P693" s="227"/>
      <c r="Q693" s="26"/>
      <c r="R693" s="26"/>
      <c r="S693" s="26"/>
      <c r="T693" s="26"/>
    </row>
    <row r="694" spans="6:20">
      <c r="F694" s="49"/>
      <c r="G694" s="49"/>
      <c r="H694" s="51" t="str">
        <f t="shared" si="11"/>
        <v/>
      </c>
      <c r="I694" s="49"/>
      <c r="J694" s="49"/>
      <c r="K694" s="49"/>
      <c r="L694" s="53">
        <f>O694*CFGRECT!$S$10</f>
        <v>0</v>
      </c>
      <c r="M694" s="53">
        <f>P694*CFGRECT!$T$10</f>
        <v>0</v>
      </c>
      <c r="N694" s="26"/>
      <c r="O694" s="227"/>
      <c r="P694" s="227"/>
      <c r="Q694" s="26"/>
      <c r="R694" s="26"/>
      <c r="S694" s="26"/>
      <c r="T694" s="26"/>
    </row>
    <row r="695" spans="6:20">
      <c r="F695" s="49"/>
      <c r="G695" s="49"/>
      <c r="H695" s="51" t="str">
        <f t="shared" si="11"/>
        <v/>
      </c>
      <c r="I695" s="49"/>
      <c r="J695" s="49"/>
      <c r="K695" s="49"/>
      <c r="L695" s="53">
        <f>O695*CFGRECT!$S$10</f>
        <v>0</v>
      </c>
      <c r="M695" s="53">
        <f>P695*CFGRECT!$T$10</f>
        <v>0</v>
      </c>
      <c r="N695" s="26"/>
      <c r="O695" s="227"/>
      <c r="P695" s="227"/>
      <c r="Q695" s="26"/>
      <c r="R695" s="26"/>
      <c r="S695" s="26"/>
      <c r="T695" s="26"/>
    </row>
    <row r="696" spans="6:20">
      <c r="F696" s="49"/>
      <c r="G696" s="49"/>
      <c r="H696" s="51" t="str">
        <f t="shared" si="11"/>
        <v/>
      </c>
      <c r="I696" s="49"/>
      <c r="J696" s="49"/>
      <c r="K696" s="49"/>
      <c r="L696" s="53">
        <f>O696*CFGRECT!$S$10</f>
        <v>0</v>
      </c>
      <c r="M696" s="53">
        <f>P696*CFGRECT!$T$10</f>
        <v>0</v>
      </c>
      <c r="N696" s="26"/>
      <c r="O696" s="227"/>
      <c r="P696" s="227"/>
      <c r="Q696" s="26"/>
      <c r="R696" s="26"/>
      <c r="S696" s="26"/>
      <c r="T696" s="26"/>
    </row>
    <row r="697" spans="6:20">
      <c r="F697" s="49"/>
      <c r="G697" s="49"/>
      <c r="H697" s="51" t="str">
        <f t="shared" si="11"/>
        <v/>
      </c>
      <c r="I697" s="49"/>
      <c r="J697" s="49"/>
      <c r="K697" s="49"/>
      <c r="L697" s="53">
        <f>O697*CFGRECT!$S$10</f>
        <v>0</v>
      </c>
      <c r="M697" s="53">
        <f>P697*CFGRECT!$T$10</f>
        <v>0</v>
      </c>
      <c r="N697" s="26"/>
      <c r="O697" s="227"/>
      <c r="P697" s="227"/>
      <c r="Q697" s="26"/>
      <c r="R697" s="26"/>
      <c r="S697" s="26"/>
      <c r="T697" s="26"/>
    </row>
    <row r="698" spans="6:20">
      <c r="F698" s="49"/>
      <c r="G698" s="49"/>
      <c r="H698" s="51" t="str">
        <f t="shared" si="11"/>
        <v/>
      </c>
      <c r="I698" s="49"/>
      <c r="J698" s="49"/>
      <c r="K698" s="49"/>
      <c r="L698" s="53">
        <f>O698*CFGRECT!$S$10</f>
        <v>0</v>
      </c>
      <c r="M698" s="53">
        <f>P698*CFGRECT!$T$10</f>
        <v>0</v>
      </c>
      <c r="N698" s="26"/>
      <c r="O698" s="227"/>
      <c r="P698" s="227"/>
      <c r="Q698" s="26"/>
      <c r="R698" s="26"/>
      <c r="S698" s="26"/>
      <c r="T698" s="26"/>
    </row>
    <row r="699" spans="6:20">
      <c r="F699" s="49"/>
      <c r="G699" s="49"/>
      <c r="H699" s="51" t="str">
        <f t="shared" si="11"/>
        <v/>
      </c>
      <c r="I699" s="49"/>
      <c r="J699" s="49"/>
      <c r="K699" s="49"/>
      <c r="L699" s="53">
        <f>O699*CFGRECT!$S$10</f>
        <v>0</v>
      </c>
      <c r="M699" s="53">
        <f>P699*CFGRECT!$T$10</f>
        <v>0</v>
      </c>
      <c r="N699" s="26"/>
      <c r="O699" s="227"/>
      <c r="P699" s="227"/>
      <c r="Q699" s="26"/>
      <c r="R699" s="26"/>
      <c r="S699" s="26"/>
      <c r="T699" s="26"/>
    </row>
    <row r="700" spans="6:20">
      <c r="F700" s="49"/>
      <c r="G700" s="49"/>
      <c r="H700" s="51" t="str">
        <f t="shared" si="11"/>
        <v/>
      </c>
      <c r="I700" s="49"/>
      <c r="J700" s="49"/>
      <c r="K700" s="49"/>
      <c r="L700" s="53">
        <f>O700*CFGRECT!$S$10</f>
        <v>0</v>
      </c>
      <c r="M700" s="53">
        <f>P700*CFGRECT!$T$10</f>
        <v>0</v>
      </c>
      <c r="N700" s="26"/>
      <c r="O700" s="227"/>
      <c r="P700" s="227"/>
      <c r="Q700" s="26"/>
      <c r="R700" s="26"/>
      <c r="S700" s="26"/>
      <c r="T700" s="26"/>
    </row>
    <row r="701" spans="6:20">
      <c r="F701" s="49"/>
      <c r="G701" s="49"/>
      <c r="H701" s="51" t="str">
        <f t="shared" si="11"/>
        <v/>
      </c>
      <c r="I701" s="49"/>
      <c r="J701" s="49"/>
      <c r="K701" s="49"/>
      <c r="L701" s="53">
        <f>O701*CFGRECT!$S$10</f>
        <v>0</v>
      </c>
      <c r="M701" s="53">
        <f>P701*CFGRECT!$T$10</f>
        <v>0</v>
      </c>
      <c r="N701" s="26"/>
      <c r="O701" s="227"/>
      <c r="P701" s="227"/>
      <c r="Q701" s="26"/>
      <c r="R701" s="26"/>
      <c r="S701" s="26"/>
      <c r="T701" s="26"/>
    </row>
    <row r="702" spans="6:20">
      <c r="F702" s="49"/>
      <c r="G702" s="49"/>
      <c r="H702" s="51" t="str">
        <f t="shared" si="11"/>
        <v/>
      </c>
      <c r="I702" s="49"/>
      <c r="J702" s="49"/>
      <c r="K702" s="49"/>
      <c r="L702" s="53">
        <f>O702*CFGRECT!$S$10</f>
        <v>0</v>
      </c>
      <c r="M702" s="53">
        <f>P702*CFGRECT!$T$10</f>
        <v>0</v>
      </c>
      <c r="N702" s="26"/>
      <c r="O702" s="227"/>
      <c r="P702" s="227"/>
      <c r="Q702" s="26"/>
      <c r="R702" s="26"/>
      <c r="S702" s="26"/>
      <c r="T702" s="26"/>
    </row>
    <row r="703" spans="6:20">
      <c r="F703" s="49"/>
      <c r="G703" s="49"/>
      <c r="H703" s="51" t="str">
        <f t="shared" si="11"/>
        <v/>
      </c>
      <c r="I703" s="49"/>
      <c r="J703" s="49"/>
      <c r="K703" s="49"/>
      <c r="L703" s="53">
        <f>O703*CFGRECT!$S$10</f>
        <v>0</v>
      </c>
      <c r="M703" s="53">
        <f>P703*CFGRECT!$T$10</f>
        <v>0</v>
      </c>
      <c r="N703" s="26"/>
      <c r="O703" s="227"/>
      <c r="P703" s="227"/>
      <c r="Q703" s="26"/>
      <c r="R703" s="26"/>
      <c r="S703" s="26"/>
      <c r="T703" s="26"/>
    </row>
    <row r="704" spans="6:20">
      <c r="F704" s="49"/>
      <c r="G704" s="49"/>
      <c r="H704" s="51" t="str">
        <f t="shared" si="11"/>
        <v/>
      </c>
      <c r="I704" s="49"/>
      <c r="J704" s="49"/>
      <c r="K704" s="49"/>
      <c r="L704" s="53">
        <f>O704*CFGRECT!$S$10</f>
        <v>0</v>
      </c>
      <c r="M704" s="53">
        <f>P704*CFGRECT!$T$10</f>
        <v>0</v>
      </c>
      <c r="N704" s="26"/>
      <c r="O704" s="227"/>
      <c r="P704" s="227"/>
      <c r="Q704" s="26"/>
      <c r="R704" s="26"/>
      <c r="S704" s="26"/>
      <c r="T704" s="26"/>
    </row>
    <row r="705" spans="6:20">
      <c r="F705" s="49"/>
      <c r="G705" s="49"/>
      <c r="H705" s="51" t="str">
        <f t="shared" si="11"/>
        <v/>
      </c>
      <c r="I705" s="49"/>
      <c r="J705" s="49"/>
      <c r="K705" s="49"/>
      <c r="L705" s="53">
        <f>O705*CFGRECT!$S$10</f>
        <v>0</v>
      </c>
      <c r="M705" s="53">
        <f>P705*CFGRECT!$T$10</f>
        <v>0</v>
      </c>
      <c r="N705" s="26"/>
      <c r="O705" s="227"/>
      <c r="P705" s="227"/>
      <c r="Q705" s="26"/>
      <c r="R705" s="26"/>
      <c r="S705" s="26"/>
      <c r="T705" s="26"/>
    </row>
    <row r="706" spans="6:20">
      <c r="F706" s="49"/>
      <c r="G706" s="49"/>
      <c r="H706" s="51" t="str">
        <f t="shared" si="11"/>
        <v/>
      </c>
      <c r="I706" s="49"/>
      <c r="J706" s="49"/>
      <c r="K706" s="49"/>
      <c r="L706" s="53">
        <f>O706*CFGRECT!$S$10</f>
        <v>0</v>
      </c>
      <c r="M706" s="53">
        <f>P706*CFGRECT!$T$10</f>
        <v>0</v>
      </c>
      <c r="N706" s="26"/>
      <c r="O706" s="227"/>
      <c r="P706" s="227"/>
      <c r="Q706" s="26"/>
      <c r="R706" s="26"/>
      <c r="S706" s="26"/>
      <c r="T706" s="26"/>
    </row>
    <row r="707" spans="6:20">
      <c r="F707" s="49"/>
      <c r="G707" s="49"/>
      <c r="H707" s="51" t="str">
        <f t="shared" si="11"/>
        <v/>
      </c>
      <c r="I707" s="49"/>
      <c r="J707" s="49"/>
      <c r="K707" s="49"/>
      <c r="L707" s="53">
        <f>O707*CFGRECT!$S$10</f>
        <v>0</v>
      </c>
      <c r="M707" s="53">
        <f>P707*CFGRECT!$T$10</f>
        <v>0</v>
      </c>
      <c r="N707" s="26"/>
      <c r="O707" s="227"/>
      <c r="P707" s="227"/>
      <c r="Q707" s="26"/>
      <c r="R707" s="26"/>
      <c r="S707" s="26"/>
      <c r="T707" s="26"/>
    </row>
    <row r="708" spans="6:20">
      <c r="F708" s="49"/>
      <c r="G708" s="49"/>
      <c r="H708" s="51" t="str">
        <f t="shared" si="11"/>
        <v/>
      </c>
      <c r="I708" s="49"/>
      <c r="J708" s="49"/>
      <c r="K708" s="49"/>
      <c r="L708" s="53">
        <f>O708*CFGRECT!$S$10</f>
        <v>0</v>
      </c>
      <c r="M708" s="53">
        <f>P708*CFGRECT!$T$10</f>
        <v>0</v>
      </c>
      <c r="N708" s="26"/>
      <c r="O708" s="227"/>
      <c r="P708" s="227"/>
      <c r="Q708" s="26"/>
      <c r="R708" s="26"/>
      <c r="S708" s="26"/>
      <c r="T708" s="26"/>
    </row>
    <row r="709" spans="6:20">
      <c r="F709" s="49"/>
      <c r="G709" s="49"/>
      <c r="H709" s="51" t="str">
        <f t="shared" si="11"/>
        <v/>
      </c>
      <c r="I709" s="49"/>
      <c r="J709" s="49"/>
      <c r="K709" s="49"/>
      <c r="L709" s="53">
        <f>O709*CFGRECT!$S$10</f>
        <v>0</v>
      </c>
      <c r="M709" s="53">
        <f>P709*CFGRECT!$T$10</f>
        <v>0</v>
      </c>
      <c r="N709" s="26"/>
      <c r="O709" s="227"/>
      <c r="P709" s="227"/>
      <c r="Q709" s="26"/>
      <c r="R709" s="26"/>
      <c r="S709" s="26"/>
      <c r="T709" s="26"/>
    </row>
    <row r="710" spans="6:20">
      <c r="F710" s="49"/>
      <c r="G710" s="49"/>
      <c r="H710" s="51" t="str">
        <f t="shared" si="11"/>
        <v/>
      </c>
      <c r="I710" s="49"/>
      <c r="J710" s="49"/>
      <c r="K710" s="49"/>
      <c r="L710" s="53">
        <f>O710*CFGRECT!$S$10</f>
        <v>0</v>
      </c>
      <c r="M710" s="53">
        <f>P710*CFGRECT!$T$10</f>
        <v>0</v>
      </c>
      <c r="N710" s="26"/>
      <c r="O710" s="227"/>
      <c r="P710" s="227"/>
      <c r="Q710" s="26"/>
      <c r="R710" s="26"/>
      <c r="S710" s="26"/>
      <c r="T710" s="26"/>
    </row>
    <row r="711" spans="6:20">
      <c r="F711" s="49"/>
      <c r="G711" s="49"/>
      <c r="H711" s="51" t="str">
        <f t="shared" si="11"/>
        <v/>
      </c>
      <c r="I711" s="49"/>
      <c r="J711" s="49"/>
      <c r="K711" s="49"/>
      <c r="L711" s="53">
        <f>O711*CFGRECT!$S$10</f>
        <v>0</v>
      </c>
      <c r="M711" s="53">
        <f>P711*CFGRECT!$T$10</f>
        <v>0</v>
      </c>
      <c r="N711" s="26"/>
      <c r="O711" s="227"/>
      <c r="P711" s="227"/>
      <c r="Q711" s="26"/>
      <c r="R711" s="26"/>
      <c r="S711" s="26"/>
      <c r="T711" s="26"/>
    </row>
    <row r="712" spans="6:20">
      <c r="F712" s="49"/>
      <c r="G712" s="49"/>
      <c r="H712" s="51" t="str">
        <f t="shared" si="11"/>
        <v/>
      </c>
      <c r="I712" s="49"/>
      <c r="J712" s="49"/>
      <c r="K712" s="49"/>
      <c r="L712" s="53">
        <f>O712*CFGRECT!$S$10</f>
        <v>0</v>
      </c>
      <c r="M712" s="53">
        <f>P712*CFGRECT!$T$10</f>
        <v>0</v>
      </c>
      <c r="N712" s="26"/>
      <c r="O712" s="227"/>
      <c r="P712" s="227"/>
      <c r="Q712" s="26"/>
      <c r="R712" s="26"/>
      <c r="S712" s="26"/>
      <c r="T712" s="26"/>
    </row>
    <row r="713" spans="6:20">
      <c r="F713" s="49"/>
      <c r="G713" s="49"/>
      <c r="H713" s="51" t="str">
        <f t="shared" si="11"/>
        <v/>
      </c>
      <c r="I713" s="49"/>
      <c r="J713" s="49"/>
      <c r="K713" s="49"/>
      <c r="L713" s="53">
        <f>O713*CFGRECT!$S$10</f>
        <v>0</v>
      </c>
      <c r="M713" s="53">
        <f>P713*CFGRECT!$T$10</f>
        <v>0</v>
      </c>
      <c r="N713" s="26"/>
      <c r="O713" s="227"/>
      <c r="P713" s="227"/>
      <c r="Q713" s="26"/>
      <c r="R713" s="26"/>
      <c r="S713" s="26"/>
      <c r="T713" s="26"/>
    </row>
    <row r="714" spans="6:20">
      <c r="F714" s="49"/>
      <c r="G714" s="49"/>
      <c r="H714" s="51" t="str">
        <f t="shared" si="11"/>
        <v/>
      </c>
      <c r="I714" s="49"/>
      <c r="J714" s="49"/>
      <c r="K714" s="49"/>
      <c r="L714" s="53">
        <f>O714*CFGRECT!$S$10</f>
        <v>0</v>
      </c>
      <c r="M714" s="53">
        <f>P714*CFGRECT!$T$10</f>
        <v>0</v>
      </c>
      <c r="N714" s="26"/>
      <c r="O714" s="227"/>
      <c r="P714" s="227"/>
      <c r="Q714" s="26"/>
      <c r="R714" s="26"/>
      <c r="S714" s="26"/>
      <c r="T714" s="26"/>
    </row>
    <row r="715" spans="6:20">
      <c r="F715" s="49"/>
      <c r="G715" s="49"/>
      <c r="H715" s="51" t="str">
        <f t="shared" si="11"/>
        <v/>
      </c>
      <c r="I715" s="49"/>
      <c r="J715" s="49"/>
      <c r="K715" s="49"/>
      <c r="L715" s="53">
        <f>O715*CFGRECT!$S$10</f>
        <v>0</v>
      </c>
      <c r="M715" s="53">
        <f>P715*CFGRECT!$T$10</f>
        <v>0</v>
      </c>
      <c r="N715" s="26"/>
      <c r="O715" s="227"/>
      <c r="P715" s="227"/>
      <c r="Q715" s="26"/>
      <c r="R715" s="26"/>
      <c r="S715" s="26"/>
      <c r="T715" s="26"/>
    </row>
    <row r="716" spans="6:20">
      <c r="F716" s="49"/>
      <c r="G716" s="49"/>
      <c r="H716" s="51" t="str">
        <f t="shared" si="11"/>
        <v/>
      </c>
      <c r="I716" s="49"/>
      <c r="J716" s="49"/>
      <c r="K716" s="49"/>
      <c r="L716" s="53">
        <f>O716*CFGRECT!$S$10</f>
        <v>0</v>
      </c>
      <c r="M716" s="53">
        <f>P716*CFGRECT!$T$10</f>
        <v>0</v>
      </c>
      <c r="N716" s="26"/>
      <c r="O716" s="227"/>
      <c r="P716" s="227"/>
      <c r="Q716" s="26"/>
      <c r="R716" s="26"/>
      <c r="S716" s="26"/>
      <c r="T716" s="26"/>
    </row>
    <row r="717" spans="6:20">
      <c r="F717" s="49"/>
      <c r="G717" s="49"/>
      <c r="H717" s="51" t="str">
        <f t="shared" si="11"/>
        <v/>
      </c>
      <c r="I717" s="49"/>
      <c r="J717" s="49"/>
      <c r="K717" s="49"/>
      <c r="L717" s="53">
        <f>O717*CFGRECT!$S$10</f>
        <v>0</v>
      </c>
      <c r="M717" s="53">
        <f>P717*CFGRECT!$T$10</f>
        <v>0</v>
      </c>
      <c r="N717" s="26"/>
      <c r="O717" s="227"/>
      <c r="P717" s="227"/>
      <c r="Q717" s="26"/>
      <c r="R717" s="26"/>
      <c r="S717" s="26"/>
      <c r="T717" s="26"/>
    </row>
    <row r="718" spans="6:20">
      <c r="F718" s="49"/>
      <c r="G718" s="49"/>
      <c r="H718" s="51" t="str">
        <f t="shared" si="11"/>
        <v/>
      </c>
      <c r="I718" s="49"/>
      <c r="J718" s="49"/>
      <c r="K718" s="49"/>
      <c r="L718" s="53">
        <f>O718*CFGRECT!$S$10</f>
        <v>0</v>
      </c>
      <c r="M718" s="53">
        <f>P718*CFGRECT!$T$10</f>
        <v>0</v>
      </c>
      <c r="N718" s="26"/>
      <c r="O718" s="227"/>
      <c r="P718" s="227"/>
      <c r="Q718" s="26"/>
      <c r="R718" s="26"/>
      <c r="S718" s="26"/>
      <c r="T718" s="26"/>
    </row>
    <row r="719" spans="6:20">
      <c r="F719" s="49"/>
      <c r="G719" s="49"/>
      <c r="H719" s="51" t="str">
        <f t="shared" si="11"/>
        <v/>
      </c>
      <c r="I719" s="49"/>
      <c r="J719" s="49"/>
      <c r="K719" s="49"/>
      <c r="L719" s="53">
        <f>O719*CFGRECT!$S$10</f>
        <v>0</v>
      </c>
      <c r="M719" s="53">
        <f>P719*CFGRECT!$T$10</f>
        <v>0</v>
      </c>
      <c r="N719" s="26"/>
      <c r="O719" s="227"/>
      <c r="P719" s="227"/>
      <c r="Q719" s="26"/>
      <c r="R719" s="26"/>
      <c r="S719" s="26"/>
      <c r="T719" s="26"/>
    </row>
    <row r="720" spans="6:20">
      <c r="F720" s="49"/>
      <c r="G720" s="49"/>
      <c r="H720" s="51" t="str">
        <f t="shared" si="11"/>
        <v/>
      </c>
      <c r="I720" s="49"/>
      <c r="J720" s="49"/>
      <c r="K720" s="49"/>
      <c r="L720" s="53">
        <f>O720*CFGRECT!$S$10</f>
        <v>0</v>
      </c>
      <c r="M720" s="53">
        <f>P720*CFGRECT!$T$10</f>
        <v>0</v>
      </c>
      <c r="N720" s="26"/>
      <c r="O720" s="227"/>
      <c r="P720" s="227"/>
      <c r="Q720" s="26"/>
      <c r="R720" s="26"/>
      <c r="S720" s="26"/>
      <c r="T720" s="26"/>
    </row>
    <row r="721" spans="6:20">
      <c r="F721" s="49"/>
      <c r="G721" s="49"/>
      <c r="H721" s="51" t="str">
        <f t="shared" ref="H721:H784" si="12">F721&amp;IF(G721="",""," - "&amp;G721)</f>
        <v/>
      </c>
      <c r="I721" s="49"/>
      <c r="J721" s="49"/>
      <c r="K721" s="49"/>
      <c r="L721" s="53">
        <f>O721*CFGRECT!$S$10</f>
        <v>0</v>
      </c>
      <c r="M721" s="53">
        <f>P721*CFGRECT!$T$10</f>
        <v>0</v>
      </c>
      <c r="N721" s="26"/>
      <c r="O721" s="227"/>
      <c r="P721" s="227"/>
      <c r="Q721" s="26"/>
      <c r="R721" s="26"/>
      <c r="S721" s="26"/>
      <c r="T721" s="26"/>
    </row>
    <row r="722" spans="6:20">
      <c r="F722" s="49"/>
      <c r="G722" s="49"/>
      <c r="H722" s="51" t="str">
        <f t="shared" si="12"/>
        <v/>
      </c>
      <c r="I722" s="49"/>
      <c r="J722" s="49"/>
      <c r="K722" s="49"/>
      <c r="L722" s="53">
        <f>O722*CFGRECT!$S$10</f>
        <v>0</v>
      </c>
      <c r="M722" s="53">
        <f>P722*CFGRECT!$T$10</f>
        <v>0</v>
      </c>
      <c r="N722" s="26"/>
      <c r="O722" s="227"/>
      <c r="P722" s="227"/>
      <c r="Q722" s="26"/>
      <c r="R722" s="26"/>
      <c r="S722" s="26"/>
      <c r="T722" s="26"/>
    </row>
    <row r="723" spans="6:20">
      <c r="F723" s="49"/>
      <c r="G723" s="49"/>
      <c r="H723" s="51" t="str">
        <f t="shared" si="12"/>
        <v/>
      </c>
      <c r="I723" s="49"/>
      <c r="J723" s="49"/>
      <c r="K723" s="49"/>
      <c r="L723" s="53">
        <f>O723*CFGRECT!$S$10</f>
        <v>0</v>
      </c>
      <c r="M723" s="53">
        <f>P723*CFGRECT!$T$10</f>
        <v>0</v>
      </c>
      <c r="N723" s="26"/>
      <c r="O723" s="227"/>
      <c r="P723" s="227"/>
      <c r="Q723" s="26"/>
      <c r="R723" s="26"/>
      <c r="S723" s="26"/>
      <c r="T723" s="26"/>
    </row>
    <row r="724" spans="6:20">
      <c r="F724" s="49"/>
      <c r="G724" s="49"/>
      <c r="H724" s="51" t="str">
        <f t="shared" si="12"/>
        <v/>
      </c>
      <c r="I724" s="49"/>
      <c r="J724" s="49"/>
      <c r="K724" s="49"/>
      <c r="L724" s="53">
        <f>O724*CFGRECT!$S$10</f>
        <v>0</v>
      </c>
      <c r="M724" s="53">
        <f>P724*CFGRECT!$T$10</f>
        <v>0</v>
      </c>
      <c r="N724" s="26"/>
      <c r="O724" s="227"/>
      <c r="P724" s="227"/>
      <c r="Q724" s="26"/>
      <c r="R724" s="26"/>
      <c r="S724" s="26"/>
      <c r="T724" s="26"/>
    </row>
    <row r="725" spans="6:20">
      <c r="F725" s="49"/>
      <c r="G725" s="49"/>
      <c r="H725" s="51" t="str">
        <f t="shared" si="12"/>
        <v/>
      </c>
      <c r="I725" s="49"/>
      <c r="J725" s="49"/>
      <c r="K725" s="49"/>
      <c r="L725" s="53">
        <f>O725*CFGRECT!$S$10</f>
        <v>0</v>
      </c>
      <c r="M725" s="53">
        <f>P725*CFGRECT!$T$10</f>
        <v>0</v>
      </c>
      <c r="N725" s="26"/>
      <c r="O725" s="227"/>
      <c r="P725" s="227"/>
      <c r="Q725" s="26"/>
      <c r="R725" s="26"/>
      <c r="S725" s="26"/>
      <c r="T725" s="26"/>
    </row>
    <row r="726" spans="6:20">
      <c r="F726" s="49"/>
      <c r="G726" s="49"/>
      <c r="H726" s="51" t="str">
        <f t="shared" si="12"/>
        <v/>
      </c>
      <c r="I726" s="49"/>
      <c r="J726" s="49"/>
      <c r="K726" s="49"/>
      <c r="L726" s="53">
        <f>O726*CFGRECT!$S$10</f>
        <v>0</v>
      </c>
      <c r="M726" s="53">
        <f>P726*CFGRECT!$T$10</f>
        <v>0</v>
      </c>
      <c r="N726" s="26"/>
      <c r="O726" s="227"/>
      <c r="P726" s="227"/>
      <c r="Q726" s="26"/>
      <c r="R726" s="26"/>
      <c r="S726" s="26"/>
      <c r="T726" s="26"/>
    </row>
    <row r="727" spans="6:20">
      <c r="F727" s="49"/>
      <c r="G727" s="49"/>
      <c r="H727" s="51" t="str">
        <f t="shared" si="12"/>
        <v/>
      </c>
      <c r="I727" s="49"/>
      <c r="J727" s="49"/>
      <c r="K727" s="49"/>
      <c r="L727" s="53">
        <f>O727*CFGRECT!$S$10</f>
        <v>0</v>
      </c>
      <c r="M727" s="53">
        <f>P727*CFGRECT!$T$10</f>
        <v>0</v>
      </c>
      <c r="N727" s="26"/>
      <c r="O727" s="227"/>
      <c r="P727" s="227"/>
      <c r="Q727" s="26"/>
      <c r="R727" s="26"/>
      <c r="S727" s="26"/>
      <c r="T727" s="26"/>
    </row>
    <row r="728" spans="6:20">
      <c r="F728" s="49"/>
      <c r="G728" s="49"/>
      <c r="H728" s="51" t="str">
        <f t="shared" si="12"/>
        <v/>
      </c>
      <c r="I728" s="49"/>
      <c r="J728" s="49"/>
      <c r="K728" s="49"/>
      <c r="L728" s="53">
        <f>O728*CFGRECT!$S$10</f>
        <v>0</v>
      </c>
      <c r="M728" s="53">
        <f>P728*CFGRECT!$T$10</f>
        <v>0</v>
      </c>
      <c r="N728" s="26"/>
      <c r="O728" s="227"/>
      <c r="P728" s="227"/>
      <c r="Q728" s="26"/>
      <c r="R728" s="26"/>
      <c r="S728" s="26"/>
      <c r="T728" s="26"/>
    </row>
    <row r="729" spans="6:20">
      <c r="F729" s="49"/>
      <c r="G729" s="49"/>
      <c r="H729" s="51" t="str">
        <f t="shared" si="12"/>
        <v/>
      </c>
      <c r="I729" s="49"/>
      <c r="J729" s="49"/>
      <c r="K729" s="49"/>
      <c r="L729" s="53">
        <f>O729*CFGRECT!$S$10</f>
        <v>0</v>
      </c>
      <c r="M729" s="53">
        <f>P729*CFGRECT!$T$10</f>
        <v>0</v>
      </c>
      <c r="N729" s="26"/>
      <c r="O729" s="227"/>
      <c r="P729" s="227"/>
      <c r="Q729" s="26"/>
      <c r="R729" s="26"/>
      <c r="S729" s="26"/>
      <c r="T729" s="26"/>
    </row>
    <row r="730" spans="6:20">
      <c r="F730" s="49"/>
      <c r="G730" s="49"/>
      <c r="H730" s="51" t="str">
        <f t="shared" si="12"/>
        <v/>
      </c>
      <c r="I730" s="49"/>
      <c r="J730" s="49"/>
      <c r="K730" s="49"/>
      <c r="L730" s="53">
        <f>O730*CFGRECT!$S$10</f>
        <v>0</v>
      </c>
      <c r="M730" s="53">
        <f>P730*CFGRECT!$T$10</f>
        <v>0</v>
      </c>
      <c r="N730" s="26"/>
      <c r="O730" s="227"/>
      <c r="P730" s="227"/>
      <c r="Q730" s="26"/>
      <c r="R730" s="26"/>
      <c r="S730" s="26"/>
      <c r="T730" s="26"/>
    </row>
    <row r="731" spans="6:20">
      <c r="F731" s="49"/>
      <c r="G731" s="49"/>
      <c r="H731" s="51" t="str">
        <f t="shared" si="12"/>
        <v/>
      </c>
      <c r="I731" s="49"/>
      <c r="J731" s="49"/>
      <c r="K731" s="49"/>
      <c r="L731" s="53">
        <f>O731*CFGRECT!$S$10</f>
        <v>0</v>
      </c>
      <c r="M731" s="53">
        <f>P731*CFGRECT!$T$10</f>
        <v>0</v>
      </c>
      <c r="N731" s="26"/>
      <c r="O731" s="227"/>
      <c r="P731" s="227"/>
      <c r="Q731" s="26"/>
      <c r="R731" s="26"/>
      <c r="S731" s="26"/>
      <c r="T731" s="26"/>
    </row>
    <row r="732" spans="6:20">
      <c r="F732" s="49"/>
      <c r="G732" s="49"/>
      <c r="H732" s="51" t="str">
        <f t="shared" si="12"/>
        <v/>
      </c>
      <c r="I732" s="49"/>
      <c r="J732" s="49"/>
      <c r="K732" s="49"/>
      <c r="L732" s="53">
        <f>O732*CFGRECT!$S$10</f>
        <v>0</v>
      </c>
      <c r="M732" s="53">
        <f>P732*CFGRECT!$T$10</f>
        <v>0</v>
      </c>
      <c r="N732" s="26"/>
      <c r="O732" s="227"/>
      <c r="P732" s="227"/>
      <c r="Q732" s="26"/>
      <c r="R732" s="26"/>
      <c r="S732" s="26"/>
      <c r="T732" s="26"/>
    </row>
    <row r="733" spans="6:20">
      <c r="F733" s="49"/>
      <c r="G733" s="49"/>
      <c r="H733" s="51" t="str">
        <f t="shared" si="12"/>
        <v/>
      </c>
      <c r="I733" s="49"/>
      <c r="J733" s="49"/>
      <c r="K733" s="49"/>
      <c r="L733" s="53">
        <f>O733*CFGRECT!$S$10</f>
        <v>0</v>
      </c>
      <c r="M733" s="53">
        <f>P733*CFGRECT!$T$10</f>
        <v>0</v>
      </c>
      <c r="N733" s="26"/>
      <c r="O733" s="227"/>
      <c r="P733" s="227"/>
      <c r="Q733" s="26"/>
      <c r="R733" s="26"/>
      <c r="S733" s="26"/>
      <c r="T733" s="26"/>
    </row>
    <row r="734" spans="6:20">
      <c r="F734" s="49"/>
      <c r="G734" s="49"/>
      <c r="H734" s="51" t="str">
        <f t="shared" si="12"/>
        <v/>
      </c>
      <c r="I734" s="49"/>
      <c r="J734" s="49"/>
      <c r="K734" s="49"/>
      <c r="L734" s="53">
        <f>O734*CFGRECT!$S$10</f>
        <v>0</v>
      </c>
      <c r="M734" s="53">
        <f>P734*CFGRECT!$T$10</f>
        <v>0</v>
      </c>
      <c r="N734" s="26"/>
      <c r="O734" s="227"/>
      <c r="P734" s="227"/>
      <c r="Q734" s="26"/>
      <c r="R734" s="26"/>
      <c r="S734" s="26"/>
      <c r="T734" s="26"/>
    </row>
    <row r="735" spans="6:20">
      <c r="F735" s="49"/>
      <c r="G735" s="49"/>
      <c r="H735" s="51" t="str">
        <f t="shared" si="12"/>
        <v/>
      </c>
      <c r="I735" s="49"/>
      <c r="J735" s="49"/>
      <c r="K735" s="49"/>
      <c r="L735" s="53">
        <f>O735*CFGRECT!$S$10</f>
        <v>0</v>
      </c>
      <c r="M735" s="53">
        <f>P735*CFGRECT!$T$10</f>
        <v>0</v>
      </c>
      <c r="N735" s="26"/>
      <c r="O735" s="227"/>
      <c r="P735" s="227"/>
      <c r="Q735" s="26"/>
      <c r="R735" s="26"/>
      <c r="S735" s="26"/>
      <c r="T735" s="26"/>
    </row>
    <row r="736" spans="6:20">
      <c r="F736" s="49"/>
      <c r="G736" s="49"/>
      <c r="H736" s="51" t="str">
        <f t="shared" si="12"/>
        <v/>
      </c>
      <c r="I736" s="49"/>
      <c r="J736" s="49"/>
      <c r="K736" s="49"/>
      <c r="L736" s="53">
        <f>O736*CFGRECT!$S$10</f>
        <v>0</v>
      </c>
      <c r="M736" s="53">
        <f>P736*CFGRECT!$T$10</f>
        <v>0</v>
      </c>
      <c r="N736" s="26"/>
      <c r="O736" s="227"/>
      <c r="P736" s="227"/>
      <c r="Q736" s="26"/>
      <c r="R736" s="26"/>
      <c r="S736" s="26"/>
      <c r="T736" s="26"/>
    </row>
    <row r="737" spans="6:20">
      <c r="F737" s="49"/>
      <c r="G737" s="49"/>
      <c r="H737" s="51" t="str">
        <f t="shared" si="12"/>
        <v/>
      </c>
      <c r="I737" s="49"/>
      <c r="J737" s="49"/>
      <c r="K737" s="49"/>
      <c r="L737" s="53">
        <f>O737*CFGRECT!$S$10</f>
        <v>0</v>
      </c>
      <c r="M737" s="53">
        <f>P737*CFGRECT!$T$10</f>
        <v>0</v>
      </c>
      <c r="N737" s="26"/>
      <c r="O737" s="227"/>
      <c r="P737" s="227"/>
      <c r="Q737" s="26"/>
      <c r="R737" s="26"/>
      <c r="S737" s="26"/>
      <c r="T737" s="26"/>
    </row>
    <row r="738" spans="6:20">
      <c r="F738" s="49"/>
      <c r="G738" s="49"/>
      <c r="H738" s="51" t="str">
        <f t="shared" si="12"/>
        <v/>
      </c>
      <c r="I738" s="49"/>
      <c r="J738" s="49"/>
      <c r="K738" s="49"/>
      <c r="L738" s="53">
        <f>O738*CFGRECT!$S$10</f>
        <v>0</v>
      </c>
      <c r="M738" s="53">
        <f>P738*CFGRECT!$T$10</f>
        <v>0</v>
      </c>
      <c r="N738" s="26"/>
      <c r="O738" s="227"/>
      <c r="P738" s="227"/>
      <c r="Q738" s="26"/>
      <c r="R738" s="26"/>
      <c r="S738" s="26"/>
      <c r="T738" s="26"/>
    </row>
    <row r="739" spans="6:20">
      <c r="F739" s="49"/>
      <c r="G739" s="49"/>
      <c r="H739" s="51" t="str">
        <f t="shared" si="12"/>
        <v/>
      </c>
      <c r="I739" s="49"/>
      <c r="J739" s="49"/>
      <c r="K739" s="49"/>
      <c r="L739" s="53">
        <f>O739*CFGRECT!$S$10</f>
        <v>0</v>
      </c>
      <c r="M739" s="53">
        <f>P739*CFGRECT!$T$10</f>
        <v>0</v>
      </c>
      <c r="N739" s="26"/>
      <c r="O739" s="227"/>
      <c r="P739" s="227"/>
      <c r="Q739" s="26"/>
      <c r="R739" s="26"/>
      <c r="S739" s="26"/>
      <c r="T739" s="26"/>
    </row>
    <row r="740" spans="6:20">
      <c r="F740" s="49"/>
      <c r="G740" s="49"/>
      <c r="H740" s="51" t="str">
        <f t="shared" si="12"/>
        <v/>
      </c>
      <c r="I740" s="49"/>
      <c r="J740" s="49"/>
      <c r="K740" s="49"/>
      <c r="L740" s="53">
        <f>O740*CFGRECT!$S$10</f>
        <v>0</v>
      </c>
      <c r="M740" s="53">
        <f>P740*CFGRECT!$T$10</f>
        <v>0</v>
      </c>
      <c r="N740" s="26"/>
      <c r="O740" s="227"/>
      <c r="P740" s="227"/>
      <c r="Q740" s="26"/>
      <c r="R740" s="26"/>
      <c r="S740" s="26"/>
      <c r="T740" s="26"/>
    </row>
    <row r="741" spans="6:20">
      <c r="F741" s="49"/>
      <c r="G741" s="49"/>
      <c r="H741" s="51" t="str">
        <f t="shared" si="12"/>
        <v/>
      </c>
      <c r="I741" s="49"/>
      <c r="J741" s="49"/>
      <c r="K741" s="49"/>
      <c r="L741" s="53">
        <f>O741*CFGRECT!$S$10</f>
        <v>0</v>
      </c>
      <c r="M741" s="53">
        <f>P741*CFGRECT!$T$10</f>
        <v>0</v>
      </c>
      <c r="N741" s="26"/>
      <c r="O741" s="227"/>
      <c r="P741" s="227"/>
      <c r="Q741" s="26"/>
      <c r="R741" s="26"/>
      <c r="S741" s="26"/>
      <c r="T741" s="26"/>
    </row>
    <row r="742" spans="6:20">
      <c r="F742" s="49"/>
      <c r="G742" s="49"/>
      <c r="H742" s="51" t="str">
        <f t="shared" si="12"/>
        <v/>
      </c>
      <c r="I742" s="49"/>
      <c r="J742" s="49"/>
      <c r="K742" s="49"/>
      <c r="L742" s="53">
        <f>O742*CFGRECT!$S$10</f>
        <v>0</v>
      </c>
      <c r="M742" s="53">
        <f>P742*CFGRECT!$T$10</f>
        <v>0</v>
      </c>
      <c r="N742" s="26"/>
      <c r="O742" s="227"/>
      <c r="P742" s="227"/>
      <c r="Q742" s="26"/>
      <c r="R742" s="26"/>
      <c r="S742" s="26"/>
      <c r="T742" s="26"/>
    </row>
    <row r="743" spans="6:20">
      <c r="F743" s="49"/>
      <c r="G743" s="49"/>
      <c r="H743" s="51" t="str">
        <f t="shared" si="12"/>
        <v/>
      </c>
      <c r="I743" s="49"/>
      <c r="J743" s="49"/>
      <c r="K743" s="49"/>
      <c r="L743" s="53">
        <f>O743*CFGRECT!$S$10</f>
        <v>0</v>
      </c>
      <c r="M743" s="53">
        <f>P743*CFGRECT!$T$10</f>
        <v>0</v>
      </c>
      <c r="N743" s="26"/>
      <c r="O743" s="227"/>
      <c r="P743" s="227"/>
      <c r="Q743" s="26"/>
      <c r="R743" s="26"/>
      <c r="S743" s="26"/>
      <c r="T743" s="26"/>
    </row>
    <row r="744" spans="6:20">
      <c r="F744" s="49"/>
      <c r="G744" s="49"/>
      <c r="H744" s="51" t="str">
        <f t="shared" si="12"/>
        <v/>
      </c>
      <c r="I744" s="49"/>
      <c r="J744" s="49"/>
      <c r="K744" s="49"/>
      <c r="L744" s="53">
        <f>O744*CFGRECT!$S$10</f>
        <v>0</v>
      </c>
      <c r="M744" s="53">
        <f>P744*CFGRECT!$T$10</f>
        <v>0</v>
      </c>
      <c r="N744" s="26"/>
      <c r="O744" s="227"/>
      <c r="P744" s="227"/>
      <c r="Q744" s="26"/>
      <c r="R744" s="26"/>
      <c r="S744" s="26"/>
      <c r="T744" s="26"/>
    </row>
    <row r="745" spans="6:20">
      <c r="F745" s="49"/>
      <c r="G745" s="49"/>
      <c r="H745" s="51" t="str">
        <f t="shared" si="12"/>
        <v/>
      </c>
      <c r="I745" s="49"/>
      <c r="J745" s="49"/>
      <c r="K745" s="49"/>
      <c r="L745" s="53">
        <f>O745*CFGRECT!$S$10</f>
        <v>0</v>
      </c>
      <c r="M745" s="53">
        <f>P745*CFGRECT!$T$10</f>
        <v>0</v>
      </c>
      <c r="N745" s="26"/>
      <c r="O745" s="227"/>
      <c r="P745" s="227"/>
      <c r="Q745" s="26"/>
      <c r="R745" s="26"/>
      <c r="S745" s="26"/>
      <c r="T745" s="26"/>
    </row>
    <row r="746" spans="6:20">
      <c r="F746" s="49"/>
      <c r="G746" s="49"/>
      <c r="H746" s="51" t="str">
        <f t="shared" si="12"/>
        <v/>
      </c>
      <c r="I746" s="49"/>
      <c r="J746" s="49"/>
      <c r="K746" s="49"/>
      <c r="L746" s="53">
        <f>O746*CFGRECT!$S$10</f>
        <v>0</v>
      </c>
      <c r="M746" s="53">
        <f>P746*CFGRECT!$T$10</f>
        <v>0</v>
      </c>
      <c r="N746" s="26"/>
      <c r="O746" s="227"/>
      <c r="P746" s="227"/>
      <c r="Q746" s="26"/>
      <c r="R746" s="26"/>
      <c r="S746" s="26"/>
      <c r="T746" s="26"/>
    </row>
    <row r="747" spans="6:20">
      <c r="F747" s="49"/>
      <c r="G747" s="49"/>
      <c r="H747" s="51" t="str">
        <f t="shared" si="12"/>
        <v/>
      </c>
      <c r="I747" s="49"/>
      <c r="J747" s="49"/>
      <c r="K747" s="49"/>
      <c r="L747" s="53">
        <f>O747*CFGRECT!$S$10</f>
        <v>0</v>
      </c>
      <c r="M747" s="53">
        <f>P747*CFGRECT!$T$10</f>
        <v>0</v>
      </c>
      <c r="N747" s="26"/>
      <c r="O747" s="227"/>
      <c r="P747" s="227"/>
      <c r="Q747" s="26"/>
      <c r="R747" s="26"/>
      <c r="S747" s="26"/>
      <c r="T747" s="26"/>
    </row>
    <row r="748" spans="6:20">
      <c r="F748" s="49"/>
      <c r="G748" s="49"/>
      <c r="H748" s="51" t="str">
        <f t="shared" si="12"/>
        <v/>
      </c>
      <c r="I748" s="49"/>
      <c r="J748" s="49"/>
      <c r="K748" s="49"/>
      <c r="L748" s="53">
        <f>O748*CFGRECT!$S$10</f>
        <v>0</v>
      </c>
      <c r="M748" s="53">
        <f>P748*CFGRECT!$T$10</f>
        <v>0</v>
      </c>
      <c r="N748" s="26"/>
      <c r="O748" s="227"/>
      <c r="P748" s="227"/>
      <c r="Q748" s="26"/>
      <c r="R748" s="26"/>
      <c r="S748" s="26"/>
      <c r="T748" s="26"/>
    </row>
    <row r="749" spans="6:20">
      <c r="F749" s="49"/>
      <c r="G749" s="49"/>
      <c r="H749" s="51" t="str">
        <f t="shared" si="12"/>
        <v/>
      </c>
      <c r="I749" s="49"/>
      <c r="J749" s="49"/>
      <c r="K749" s="49"/>
      <c r="L749" s="53">
        <f>O749*CFGRECT!$S$10</f>
        <v>0</v>
      </c>
      <c r="M749" s="53">
        <f>P749*CFGRECT!$T$10</f>
        <v>0</v>
      </c>
      <c r="N749" s="26"/>
      <c r="O749" s="227"/>
      <c r="P749" s="227"/>
      <c r="Q749" s="26"/>
      <c r="R749" s="26"/>
      <c r="S749" s="26"/>
      <c r="T749" s="26"/>
    </row>
    <row r="750" spans="6:20">
      <c r="F750" s="49"/>
      <c r="G750" s="49"/>
      <c r="H750" s="51" t="str">
        <f t="shared" si="12"/>
        <v/>
      </c>
      <c r="I750" s="49"/>
      <c r="J750" s="49"/>
      <c r="K750" s="49"/>
      <c r="L750" s="53">
        <f>O750*CFGRECT!$S$10</f>
        <v>0</v>
      </c>
      <c r="M750" s="53">
        <f>P750*CFGRECT!$T$10</f>
        <v>0</v>
      </c>
      <c r="N750" s="26"/>
      <c r="O750" s="227"/>
      <c r="P750" s="227"/>
      <c r="Q750" s="26"/>
      <c r="R750" s="26"/>
      <c r="S750" s="26"/>
      <c r="T750" s="26"/>
    </row>
    <row r="751" spans="6:20">
      <c r="F751" s="49"/>
      <c r="G751" s="49"/>
      <c r="H751" s="51" t="str">
        <f t="shared" si="12"/>
        <v/>
      </c>
      <c r="I751" s="49"/>
      <c r="J751" s="49"/>
      <c r="K751" s="49"/>
      <c r="L751" s="53">
        <f>O751*CFGRECT!$S$10</f>
        <v>0</v>
      </c>
      <c r="M751" s="53">
        <f>P751*CFGRECT!$T$10</f>
        <v>0</v>
      </c>
      <c r="N751" s="26"/>
      <c r="O751" s="227"/>
      <c r="P751" s="227"/>
      <c r="Q751" s="26"/>
      <c r="R751" s="26"/>
      <c r="S751" s="26"/>
      <c r="T751" s="26"/>
    </row>
    <row r="752" spans="6:20">
      <c r="F752" s="49"/>
      <c r="G752" s="49"/>
      <c r="H752" s="51" t="str">
        <f t="shared" si="12"/>
        <v/>
      </c>
      <c r="I752" s="49"/>
      <c r="J752" s="49"/>
      <c r="K752" s="49"/>
      <c r="L752" s="53">
        <f>O752*CFGRECT!$S$10</f>
        <v>0</v>
      </c>
      <c r="M752" s="53">
        <f>P752*CFGRECT!$T$10</f>
        <v>0</v>
      </c>
      <c r="N752" s="26"/>
      <c r="O752" s="227"/>
      <c r="P752" s="227"/>
      <c r="Q752" s="26"/>
      <c r="R752" s="26"/>
      <c r="S752" s="26"/>
      <c r="T752" s="26"/>
    </row>
    <row r="753" spans="6:20">
      <c r="F753" s="49"/>
      <c r="G753" s="49"/>
      <c r="H753" s="51" t="str">
        <f t="shared" si="12"/>
        <v/>
      </c>
      <c r="I753" s="49"/>
      <c r="J753" s="49"/>
      <c r="K753" s="49"/>
      <c r="L753" s="53">
        <f>O753*CFGRECT!$S$10</f>
        <v>0</v>
      </c>
      <c r="M753" s="53">
        <f>P753*CFGRECT!$T$10</f>
        <v>0</v>
      </c>
      <c r="N753" s="26"/>
      <c r="O753" s="227"/>
      <c r="P753" s="227"/>
      <c r="Q753" s="26"/>
      <c r="R753" s="26"/>
      <c r="S753" s="26"/>
      <c r="T753" s="26"/>
    </row>
    <row r="754" spans="6:20">
      <c r="F754" s="49"/>
      <c r="G754" s="49"/>
      <c r="H754" s="51" t="str">
        <f t="shared" si="12"/>
        <v/>
      </c>
      <c r="I754" s="49"/>
      <c r="J754" s="49"/>
      <c r="K754" s="49"/>
      <c r="L754" s="53">
        <f>O754*CFGRECT!$S$10</f>
        <v>0</v>
      </c>
      <c r="M754" s="53">
        <f>P754*CFGRECT!$T$10</f>
        <v>0</v>
      </c>
      <c r="N754" s="26"/>
      <c r="O754" s="227"/>
      <c r="P754" s="227"/>
      <c r="Q754" s="26"/>
      <c r="R754" s="26"/>
      <c r="S754" s="26"/>
      <c r="T754" s="26"/>
    </row>
    <row r="755" spans="6:20">
      <c r="F755" s="49"/>
      <c r="G755" s="49"/>
      <c r="H755" s="51" t="str">
        <f t="shared" si="12"/>
        <v/>
      </c>
      <c r="I755" s="49"/>
      <c r="J755" s="49"/>
      <c r="K755" s="49"/>
      <c r="L755" s="53">
        <f>O755*CFGRECT!$S$10</f>
        <v>0</v>
      </c>
      <c r="M755" s="53">
        <f>P755*CFGRECT!$T$10</f>
        <v>0</v>
      </c>
      <c r="N755" s="26"/>
      <c r="O755" s="227"/>
      <c r="P755" s="227"/>
      <c r="Q755" s="26"/>
      <c r="R755" s="26"/>
      <c r="S755" s="26"/>
      <c r="T755" s="26"/>
    </row>
    <row r="756" spans="6:20">
      <c r="F756" s="49"/>
      <c r="G756" s="49"/>
      <c r="H756" s="51" t="str">
        <f t="shared" si="12"/>
        <v/>
      </c>
      <c r="I756" s="49"/>
      <c r="J756" s="49"/>
      <c r="K756" s="49"/>
      <c r="L756" s="53">
        <f>O756*CFGRECT!$S$10</f>
        <v>0</v>
      </c>
      <c r="M756" s="53">
        <f>P756*CFGRECT!$T$10</f>
        <v>0</v>
      </c>
      <c r="N756" s="26"/>
      <c r="O756" s="227"/>
      <c r="P756" s="227"/>
      <c r="Q756" s="26"/>
      <c r="R756" s="26"/>
      <c r="S756" s="26"/>
      <c r="T756" s="26"/>
    </row>
    <row r="757" spans="6:20">
      <c r="F757" s="49"/>
      <c r="G757" s="49"/>
      <c r="H757" s="51" t="str">
        <f t="shared" si="12"/>
        <v/>
      </c>
      <c r="I757" s="49"/>
      <c r="J757" s="49"/>
      <c r="K757" s="49"/>
      <c r="L757" s="53">
        <f>O757*CFGRECT!$S$10</f>
        <v>0</v>
      </c>
      <c r="M757" s="53">
        <f>P757*CFGRECT!$T$10</f>
        <v>0</v>
      </c>
      <c r="N757" s="26"/>
      <c r="O757" s="227"/>
      <c r="P757" s="227"/>
      <c r="Q757" s="26"/>
      <c r="R757" s="26"/>
      <c r="S757" s="26"/>
      <c r="T757" s="26"/>
    </row>
    <row r="758" spans="6:20">
      <c r="F758" s="49"/>
      <c r="G758" s="49"/>
      <c r="H758" s="51" t="str">
        <f t="shared" si="12"/>
        <v/>
      </c>
      <c r="I758" s="49"/>
      <c r="J758" s="49"/>
      <c r="K758" s="49"/>
      <c r="L758" s="53">
        <f>O758*CFGRECT!$S$10</f>
        <v>0</v>
      </c>
      <c r="M758" s="53">
        <f>P758*CFGRECT!$T$10</f>
        <v>0</v>
      </c>
      <c r="N758" s="26"/>
      <c r="O758" s="227"/>
      <c r="P758" s="227"/>
      <c r="Q758" s="26"/>
      <c r="R758" s="26"/>
      <c r="S758" s="26"/>
      <c r="T758" s="26"/>
    </row>
    <row r="759" spans="6:20">
      <c r="F759" s="49"/>
      <c r="G759" s="49"/>
      <c r="H759" s="51" t="str">
        <f t="shared" si="12"/>
        <v/>
      </c>
      <c r="I759" s="49"/>
      <c r="J759" s="49"/>
      <c r="K759" s="49"/>
      <c r="L759" s="53">
        <f>O759*CFGRECT!$S$10</f>
        <v>0</v>
      </c>
      <c r="M759" s="53">
        <f>P759*CFGRECT!$T$10</f>
        <v>0</v>
      </c>
      <c r="N759" s="26"/>
      <c r="O759" s="227"/>
      <c r="P759" s="227"/>
      <c r="Q759" s="26"/>
      <c r="R759" s="26"/>
      <c r="S759" s="26"/>
      <c r="T759" s="26"/>
    </row>
    <row r="760" spans="6:20">
      <c r="F760" s="49"/>
      <c r="G760" s="49"/>
      <c r="H760" s="51" t="str">
        <f t="shared" si="12"/>
        <v/>
      </c>
      <c r="I760" s="49"/>
      <c r="J760" s="49"/>
      <c r="K760" s="49"/>
      <c r="L760" s="53">
        <f>O760*CFGRECT!$S$10</f>
        <v>0</v>
      </c>
      <c r="M760" s="53">
        <f>P760*CFGRECT!$T$10</f>
        <v>0</v>
      </c>
      <c r="N760" s="26"/>
      <c r="O760" s="227"/>
      <c r="P760" s="227"/>
      <c r="Q760" s="26"/>
      <c r="R760" s="26"/>
      <c r="S760" s="26"/>
      <c r="T760" s="26"/>
    </row>
    <row r="761" spans="6:20">
      <c r="F761" s="49"/>
      <c r="G761" s="49"/>
      <c r="H761" s="51" t="str">
        <f t="shared" si="12"/>
        <v/>
      </c>
      <c r="I761" s="49"/>
      <c r="J761" s="49"/>
      <c r="K761" s="49"/>
      <c r="L761" s="53">
        <f>O761*CFGRECT!$S$10</f>
        <v>0</v>
      </c>
      <c r="M761" s="53">
        <f>P761*CFGRECT!$T$10</f>
        <v>0</v>
      </c>
      <c r="N761" s="26"/>
      <c r="O761" s="227"/>
      <c r="P761" s="227"/>
      <c r="Q761" s="26"/>
      <c r="R761" s="26"/>
      <c r="S761" s="26"/>
      <c r="T761" s="26"/>
    </row>
    <row r="762" spans="6:20">
      <c r="F762" s="49"/>
      <c r="G762" s="49"/>
      <c r="H762" s="51" t="str">
        <f t="shared" si="12"/>
        <v/>
      </c>
      <c r="I762" s="49"/>
      <c r="J762" s="49"/>
      <c r="K762" s="49"/>
      <c r="L762" s="53">
        <f>O762*CFGRECT!$S$10</f>
        <v>0</v>
      </c>
      <c r="M762" s="53">
        <f>P762*CFGRECT!$T$10</f>
        <v>0</v>
      </c>
      <c r="N762" s="26"/>
      <c r="O762" s="227"/>
      <c r="P762" s="227"/>
      <c r="Q762" s="26"/>
      <c r="R762" s="26"/>
      <c r="S762" s="26"/>
      <c r="T762" s="26"/>
    </row>
    <row r="763" spans="6:20">
      <c r="F763" s="49"/>
      <c r="G763" s="49"/>
      <c r="H763" s="51" t="str">
        <f t="shared" si="12"/>
        <v/>
      </c>
      <c r="I763" s="49"/>
      <c r="J763" s="49"/>
      <c r="K763" s="49"/>
      <c r="L763" s="53">
        <f>O763*CFGRECT!$S$10</f>
        <v>0</v>
      </c>
      <c r="M763" s="53">
        <f>P763*CFGRECT!$T$10</f>
        <v>0</v>
      </c>
      <c r="N763" s="26"/>
      <c r="O763" s="227"/>
      <c r="P763" s="227"/>
      <c r="Q763" s="26"/>
      <c r="R763" s="26"/>
      <c r="S763" s="26"/>
      <c r="T763" s="26"/>
    </row>
    <row r="764" spans="6:20">
      <c r="F764" s="49"/>
      <c r="G764" s="49"/>
      <c r="H764" s="51" t="str">
        <f t="shared" si="12"/>
        <v/>
      </c>
      <c r="I764" s="49"/>
      <c r="J764" s="49"/>
      <c r="K764" s="49"/>
      <c r="L764" s="53">
        <f>O764*CFGRECT!$S$10</f>
        <v>0</v>
      </c>
      <c r="M764" s="53">
        <f>P764*CFGRECT!$T$10</f>
        <v>0</v>
      </c>
      <c r="N764" s="26"/>
      <c r="O764" s="227"/>
      <c r="P764" s="227"/>
      <c r="Q764" s="26"/>
      <c r="R764" s="26"/>
      <c r="S764" s="26"/>
      <c r="T764" s="26"/>
    </row>
    <row r="765" spans="6:20">
      <c r="F765" s="49"/>
      <c r="G765" s="49"/>
      <c r="H765" s="51" t="str">
        <f t="shared" si="12"/>
        <v/>
      </c>
      <c r="I765" s="49"/>
      <c r="J765" s="49"/>
      <c r="K765" s="49"/>
      <c r="L765" s="53">
        <f>O765*CFGRECT!$S$10</f>
        <v>0</v>
      </c>
      <c r="M765" s="53">
        <f>P765*CFGRECT!$T$10</f>
        <v>0</v>
      </c>
      <c r="N765" s="26"/>
      <c r="O765" s="227"/>
      <c r="P765" s="227"/>
      <c r="Q765" s="26"/>
      <c r="R765" s="26"/>
      <c r="S765" s="26"/>
      <c r="T765" s="26"/>
    </row>
    <row r="766" spans="6:20">
      <c r="F766" s="49"/>
      <c r="G766" s="49"/>
      <c r="H766" s="51" t="str">
        <f t="shared" si="12"/>
        <v/>
      </c>
      <c r="I766" s="49"/>
      <c r="J766" s="49"/>
      <c r="K766" s="49"/>
      <c r="L766" s="53">
        <f>O766*CFGRECT!$S$10</f>
        <v>0</v>
      </c>
      <c r="M766" s="53">
        <f>P766*CFGRECT!$T$10</f>
        <v>0</v>
      </c>
      <c r="N766" s="26"/>
      <c r="O766" s="227"/>
      <c r="P766" s="227"/>
      <c r="Q766" s="26"/>
      <c r="R766" s="26"/>
      <c r="S766" s="26"/>
      <c r="T766" s="26"/>
    </row>
    <row r="767" spans="6:20">
      <c r="F767" s="49"/>
      <c r="G767" s="49"/>
      <c r="H767" s="51" t="str">
        <f t="shared" si="12"/>
        <v/>
      </c>
      <c r="I767" s="49"/>
      <c r="J767" s="49"/>
      <c r="K767" s="49"/>
      <c r="L767" s="53">
        <f>O767*CFGRECT!$S$10</f>
        <v>0</v>
      </c>
      <c r="M767" s="53">
        <f>P767*CFGRECT!$T$10</f>
        <v>0</v>
      </c>
      <c r="N767" s="26"/>
      <c r="O767" s="227"/>
      <c r="P767" s="227"/>
      <c r="Q767" s="26"/>
      <c r="R767" s="26"/>
      <c r="S767" s="26"/>
      <c r="T767" s="26"/>
    </row>
    <row r="768" spans="6:20">
      <c r="F768" s="49"/>
      <c r="G768" s="49"/>
      <c r="H768" s="51" t="str">
        <f t="shared" si="12"/>
        <v/>
      </c>
      <c r="I768" s="49"/>
      <c r="J768" s="49"/>
      <c r="K768" s="49"/>
      <c r="L768" s="53">
        <f>O768*CFGRECT!$S$10</f>
        <v>0</v>
      </c>
      <c r="M768" s="53">
        <f>P768*CFGRECT!$T$10</f>
        <v>0</v>
      </c>
      <c r="N768" s="26"/>
      <c r="O768" s="227"/>
      <c r="P768" s="227"/>
      <c r="Q768" s="26"/>
      <c r="R768" s="26"/>
      <c r="S768" s="26"/>
      <c r="T768" s="26"/>
    </row>
    <row r="769" spans="6:20">
      <c r="F769" s="49"/>
      <c r="G769" s="49"/>
      <c r="H769" s="51" t="str">
        <f t="shared" si="12"/>
        <v/>
      </c>
      <c r="I769" s="49"/>
      <c r="J769" s="49"/>
      <c r="K769" s="49"/>
      <c r="L769" s="53">
        <f>O769*CFGRECT!$S$10</f>
        <v>0</v>
      </c>
      <c r="M769" s="53">
        <f>P769*CFGRECT!$T$10</f>
        <v>0</v>
      </c>
      <c r="N769" s="26"/>
      <c r="O769" s="227"/>
      <c r="P769" s="227"/>
      <c r="Q769" s="26"/>
      <c r="R769" s="26"/>
      <c r="S769" s="26"/>
      <c r="T769" s="26"/>
    </row>
    <row r="770" spans="6:20">
      <c r="F770" s="49"/>
      <c r="G770" s="49"/>
      <c r="H770" s="51" t="str">
        <f t="shared" si="12"/>
        <v/>
      </c>
      <c r="I770" s="49"/>
      <c r="J770" s="49"/>
      <c r="K770" s="49"/>
      <c r="L770" s="53">
        <f>O770*CFGRECT!$S$10</f>
        <v>0</v>
      </c>
      <c r="M770" s="53">
        <f>P770*CFGRECT!$T$10</f>
        <v>0</v>
      </c>
      <c r="N770" s="26"/>
      <c r="O770" s="227"/>
      <c r="P770" s="227"/>
      <c r="Q770" s="26"/>
      <c r="R770" s="26"/>
      <c r="S770" s="26"/>
      <c r="T770" s="26"/>
    </row>
    <row r="771" spans="6:20">
      <c r="F771" s="49"/>
      <c r="G771" s="49"/>
      <c r="H771" s="51" t="str">
        <f t="shared" si="12"/>
        <v/>
      </c>
      <c r="I771" s="49"/>
      <c r="J771" s="49"/>
      <c r="K771" s="49"/>
      <c r="L771" s="53">
        <f>O771*CFGRECT!$S$10</f>
        <v>0</v>
      </c>
      <c r="M771" s="53">
        <f>P771*CFGRECT!$T$10</f>
        <v>0</v>
      </c>
      <c r="N771" s="26"/>
      <c r="O771" s="227"/>
      <c r="P771" s="227"/>
      <c r="Q771" s="26"/>
      <c r="R771" s="26"/>
      <c r="S771" s="26"/>
      <c r="T771" s="26"/>
    </row>
    <row r="772" spans="6:20">
      <c r="F772" s="49"/>
      <c r="G772" s="49"/>
      <c r="H772" s="51" t="str">
        <f t="shared" si="12"/>
        <v/>
      </c>
      <c r="I772" s="49"/>
      <c r="J772" s="49"/>
      <c r="K772" s="49"/>
      <c r="L772" s="53">
        <f>O772*CFGRECT!$S$10</f>
        <v>0</v>
      </c>
      <c r="M772" s="53">
        <f>P772*CFGRECT!$T$10</f>
        <v>0</v>
      </c>
      <c r="N772" s="26"/>
      <c r="O772" s="227"/>
      <c r="P772" s="227"/>
      <c r="Q772" s="26"/>
      <c r="R772" s="26"/>
      <c r="S772" s="26"/>
      <c r="T772" s="26"/>
    </row>
    <row r="773" spans="6:20">
      <c r="F773" s="49"/>
      <c r="G773" s="49"/>
      <c r="H773" s="51" t="str">
        <f t="shared" si="12"/>
        <v/>
      </c>
      <c r="I773" s="49"/>
      <c r="J773" s="49"/>
      <c r="K773" s="49"/>
      <c r="L773" s="53">
        <f>O773*CFGRECT!$S$10</f>
        <v>0</v>
      </c>
      <c r="M773" s="53">
        <f>P773*CFGRECT!$T$10</f>
        <v>0</v>
      </c>
      <c r="N773" s="26"/>
      <c r="O773" s="227"/>
      <c r="P773" s="227"/>
      <c r="Q773" s="26"/>
      <c r="R773" s="26"/>
      <c r="S773" s="26"/>
      <c r="T773" s="26"/>
    </row>
    <row r="774" spans="6:20">
      <c r="F774" s="49"/>
      <c r="G774" s="49"/>
      <c r="H774" s="51" t="str">
        <f t="shared" si="12"/>
        <v/>
      </c>
      <c r="I774" s="49"/>
      <c r="J774" s="49"/>
      <c r="K774" s="49"/>
      <c r="L774" s="53">
        <f>O774*CFGRECT!$S$10</f>
        <v>0</v>
      </c>
      <c r="M774" s="53">
        <f>P774*CFGRECT!$T$10</f>
        <v>0</v>
      </c>
      <c r="N774" s="26"/>
      <c r="O774" s="227"/>
      <c r="P774" s="227"/>
      <c r="Q774" s="26"/>
      <c r="R774" s="26"/>
      <c r="S774" s="26"/>
      <c r="T774" s="26"/>
    </row>
    <row r="775" spans="6:20">
      <c r="F775" s="49"/>
      <c r="G775" s="49"/>
      <c r="H775" s="51" t="str">
        <f t="shared" si="12"/>
        <v/>
      </c>
      <c r="I775" s="49"/>
      <c r="J775" s="49"/>
      <c r="K775" s="49"/>
      <c r="L775" s="53">
        <f>O775*CFGRECT!$S$10</f>
        <v>0</v>
      </c>
      <c r="M775" s="53">
        <f>P775*CFGRECT!$T$10</f>
        <v>0</v>
      </c>
      <c r="N775" s="26"/>
      <c r="O775" s="227"/>
      <c r="P775" s="227"/>
      <c r="Q775" s="26"/>
      <c r="R775" s="26"/>
      <c r="S775" s="26"/>
      <c r="T775" s="26"/>
    </row>
    <row r="776" spans="6:20">
      <c r="F776" s="49"/>
      <c r="G776" s="49"/>
      <c r="H776" s="51" t="str">
        <f t="shared" si="12"/>
        <v/>
      </c>
      <c r="I776" s="49"/>
      <c r="J776" s="49"/>
      <c r="K776" s="49"/>
      <c r="L776" s="53">
        <f>O776*CFGRECT!$S$10</f>
        <v>0</v>
      </c>
      <c r="M776" s="53">
        <f>P776*CFGRECT!$T$10</f>
        <v>0</v>
      </c>
      <c r="N776" s="26"/>
      <c r="O776" s="227"/>
      <c r="P776" s="227"/>
      <c r="Q776" s="26"/>
      <c r="R776" s="26"/>
      <c r="S776" s="26"/>
      <c r="T776" s="26"/>
    </row>
    <row r="777" spans="6:20">
      <c r="F777" s="49"/>
      <c r="G777" s="49"/>
      <c r="H777" s="51" t="str">
        <f t="shared" si="12"/>
        <v/>
      </c>
      <c r="I777" s="49"/>
      <c r="J777" s="49"/>
      <c r="K777" s="49"/>
      <c r="L777" s="53">
        <f>O777*CFGRECT!$S$10</f>
        <v>0</v>
      </c>
      <c r="M777" s="53">
        <f>P777*CFGRECT!$T$10</f>
        <v>0</v>
      </c>
      <c r="N777" s="26"/>
      <c r="O777" s="227"/>
      <c r="P777" s="227"/>
      <c r="Q777" s="26"/>
      <c r="R777" s="26"/>
      <c r="S777" s="26"/>
      <c r="T777" s="26"/>
    </row>
    <row r="778" spans="6:20">
      <c r="F778" s="49"/>
      <c r="G778" s="49"/>
      <c r="H778" s="51" t="str">
        <f t="shared" si="12"/>
        <v/>
      </c>
      <c r="I778" s="49"/>
      <c r="J778" s="49"/>
      <c r="K778" s="49"/>
      <c r="L778" s="53">
        <f>O778*CFGRECT!$S$10</f>
        <v>0</v>
      </c>
      <c r="M778" s="53">
        <f>P778*CFGRECT!$T$10</f>
        <v>0</v>
      </c>
      <c r="N778" s="26"/>
      <c r="O778" s="227"/>
      <c r="P778" s="227"/>
      <c r="Q778" s="26"/>
      <c r="R778" s="26"/>
      <c r="S778" s="26"/>
      <c r="T778" s="26"/>
    </row>
    <row r="779" spans="6:20">
      <c r="F779" s="49"/>
      <c r="G779" s="49"/>
      <c r="H779" s="51" t="str">
        <f t="shared" si="12"/>
        <v/>
      </c>
      <c r="I779" s="49"/>
      <c r="J779" s="49"/>
      <c r="K779" s="49"/>
      <c r="L779" s="53">
        <f>O779*CFGRECT!$S$10</f>
        <v>0</v>
      </c>
      <c r="M779" s="53">
        <f>P779*CFGRECT!$T$10</f>
        <v>0</v>
      </c>
      <c r="N779" s="26"/>
      <c r="O779" s="227"/>
      <c r="P779" s="227"/>
      <c r="Q779" s="26"/>
      <c r="R779" s="26"/>
      <c r="S779" s="26"/>
      <c r="T779" s="26"/>
    </row>
    <row r="780" spans="6:20">
      <c r="F780" s="49"/>
      <c r="G780" s="49"/>
      <c r="H780" s="51" t="str">
        <f t="shared" si="12"/>
        <v/>
      </c>
      <c r="I780" s="49"/>
      <c r="J780" s="49"/>
      <c r="K780" s="49"/>
      <c r="L780" s="53">
        <f>O780*CFGRECT!$S$10</f>
        <v>0</v>
      </c>
      <c r="M780" s="53">
        <f>P780*CFGRECT!$T$10</f>
        <v>0</v>
      </c>
      <c r="N780" s="26"/>
      <c r="O780" s="227"/>
      <c r="P780" s="227"/>
      <c r="Q780" s="26"/>
      <c r="R780" s="26"/>
      <c r="S780" s="26"/>
      <c r="T780" s="26"/>
    </row>
    <row r="781" spans="6:20">
      <c r="F781" s="49"/>
      <c r="G781" s="49"/>
      <c r="H781" s="51" t="str">
        <f t="shared" si="12"/>
        <v/>
      </c>
      <c r="I781" s="49"/>
      <c r="J781" s="49"/>
      <c r="K781" s="49"/>
      <c r="L781" s="53">
        <f>O781*CFGRECT!$S$10</f>
        <v>0</v>
      </c>
      <c r="M781" s="53">
        <f>P781*CFGRECT!$T$10</f>
        <v>0</v>
      </c>
      <c r="N781" s="26"/>
      <c r="O781" s="227"/>
      <c r="P781" s="227"/>
      <c r="Q781" s="26"/>
      <c r="R781" s="26"/>
      <c r="S781" s="26"/>
      <c r="T781" s="26"/>
    </row>
    <row r="782" spans="6:20">
      <c r="F782" s="49"/>
      <c r="G782" s="49"/>
      <c r="H782" s="51" t="str">
        <f t="shared" si="12"/>
        <v/>
      </c>
      <c r="I782" s="49"/>
      <c r="J782" s="49"/>
      <c r="K782" s="49"/>
      <c r="L782" s="53">
        <f>O782*CFGRECT!$S$10</f>
        <v>0</v>
      </c>
      <c r="M782" s="53">
        <f>P782*CFGRECT!$T$10</f>
        <v>0</v>
      </c>
      <c r="N782" s="26"/>
      <c r="O782" s="227"/>
      <c r="P782" s="227"/>
      <c r="Q782" s="26"/>
      <c r="R782" s="26"/>
      <c r="S782" s="26"/>
      <c r="T782" s="26"/>
    </row>
    <row r="783" spans="6:20">
      <c r="F783" s="49"/>
      <c r="G783" s="49"/>
      <c r="H783" s="51" t="str">
        <f t="shared" si="12"/>
        <v/>
      </c>
      <c r="I783" s="49"/>
      <c r="J783" s="49"/>
      <c r="K783" s="49"/>
      <c r="L783" s="53">
        <f>O783*CFGRECT!$S$10</f>
        <v>0</v>
      </c>
      <c r="M783" s="53">
        <f>P783*CFGRECT!$T$10</f>
        <v>0</v>
      </c>
      <c r="N783" s="26"/>
      <c r="O783" s="227"/>
      <c r="P783" s="227"/>
      <c r="Q783" s="26"/>
      <c r="R783" s="26"/>
      <c r="S783" s="26"/>
      <c r="T783" s="26"/>
    </row>
    <row r="784" spans="6:20">
      <c r="F784" s="49"/>
      <c r="G784" s="49"/>
      <c r="H784" s="51" t="str">
        <f t="shared" si="12"/>
        <v/>
      </c>
      <c r="I784" s="49"/>
      <c r="J784" s="49"/>
      <c r="K784" s="49"/>
      <c r="L784" s="53">
        <f>O784*CFGRECT!$S$10</f>
        <v>0</v>
      </c>
      <c r="M784" s="53">
        <f>P784*CFGRECT!$T$10</f>
        <v>0</v>
      </c>
      <c r="N784" s="26"/>
      <c r="O784" s="227"/>
      <c r="P784" s="227"/>
      <c r="Q784" s="26"/>
      <c r="R784" s="26"/>
      <c r="S784" s="26"/>
      <c r="T784" s="26"/>
    </row>
    <row r="785" spans="6:20">
      <c r="F785" s="49"/>
      <c r="G785" s="49"/>
      <c r="H785" s="51" t="str">
        <f t="shared" ref="H785:H848" si="13">F785&amp;IF(G785="",""," - "&amp;G785)</f>
        <v/>
      </c>
      <c r="I785" s="49"/>
      <c r="J785" s="49"/>
      <c r="K785" s="49"/>
      <c r="L785" s="53">
        <f>O785*CFGRECT!$S$10</f>
        <v>0</v>
      </c>
      <c r="M785" s="53">
        <f>P785*CFGRECT!$T$10</f>
        <v>0</v>
      </c>
      <c r="N785" s="26"/>
      <c r="O785" s="227"/>
      <c r="P785" s="227"/>
      <c r="Q785" s="26"/>
      <c r="R785" s="26"/>
      <c r="S785" s="26"/>
      <c r="T785" s="26"/>
    </row>
    <row r="786" spans="6:20">
      <c r="F786" s="49"/>
      <c r="G786" s="49"/>
      <c r="H786" s="51" t="str">
        <f t="shared" si="13"/>
        <v/>
      </c>
      <c r="I786" s="49"/>
      <c r="J786" s="49"/>
      <c r="K786" s="49"/>
      <c r="L786" s="53">
        <f>O786*CFGRECT!$S$10</f>
        <v>0</v>
      </c>
      <c r="M786" s="53">
        <f>P786*CFGRECT!$T$10</f>
        <v>0</v>
      </c>
      <c r="N786" s="26"/>
      <c r="O786" s="227"/>
      <c r="P786" s="227"/>
      <c r="Q786" s="26"/>
      <c r="R786" s="26"/>
      <c r="S786" s="26"/>
      <c r="T786" s="26"/>
    </row>
    <row r="787" spans="6:20">
      <c r="F787" s="49"/>
      <c r="G787" s="49"/>
      <c r="H787" s="51" t="str">
        <f t="shared" si="13"/>
        <v/>
      </c>
      <c r="I787" s="49"/>
      <c r="J787" s="49"/>
      <c r="K787" s="49"/>
      <c r="L787" s="53">
        <f>O787*CFGRECT!$S$10</f>
        <v>0</v>
      </c>
      <c r="M787" s="53">
        <f>P787*CFGRECT!$T$10</f>
        <v>0</v>
      </c>
      <c r="N787" s="26"/>
      <c r="O787" s="227"/>
      <c r="P787" s="227"/>
      <c r="Q787" s="26"/>
      <c r="R787" s="26"/>
      <c r="S787" s="26"/>
      <c r="T787" s="26"/>
    </row>
    <row r="788" spans="6:20">
      <c r="F788" s="49"/>
      <c r="G788" s="49"/>
      <c r="H788" s="51" t="str">
        <f t="shared" si="13"/>
        <v/>
      </c>
      <c r="I788" s="49"/>
      <c r="J788" s="49"/>
      <c r="K788" s="49"/>
      <c r="L788" s="53">
        <f>O788*CFGRECT!$S$10</f>
        <v>0</v>
      </c>
      <c r="M788" s="53">
        <f>P788*CFGRECT!$T$10</f>
        <v>0</v>
      </c>
      <c r="N788" s="26"/>
      <c r="O788" s="227"/>
      <c r="P788" s="227"/>
      <c r="Q788" s="26"/>
      <c r="R788" s="26"/>
      <c r="S788" s="26"/>
      <c r="T788" s="26"/>
    </row>
    <row r="789" spans="6:20">
      <c r="F789" s="49"/>
      <c r="G789" s="49"/>
      <c r="H789" s="51" t="str">
        <f t="shared" si="13"/>
        <v/>
      </c>
      <c r="I789" s="49"/>
      <c r="J789" s="49"/>
      <c r="K789" s="49"/>
      <c r="L789" s="53">
        <f>O789*CFGRECT!$S$10</f>
        <v>0</v>
      </c>
      <c r="M789" s="53">
        <f>P789*CFGRECT!$T$10</f>
        <v>0</v>
      </c>
      <c r="N789" s="26"/>
      <c r="O789" s="227"/>
      <c r="P789" s="227"/>
      <c r="Q789" s="26"/>
      <c r="R789" s="26"/>
      <c r="S789" s="26"/>
      <c r="T789" s="26"/>
    </row>
    <row r="790" spans="6:20">
      <c r="F790" s="49"/>
      <c r="G790" s="49"/>
      <c r="H790" s="51" t="str">
        <f t="shared" si="13"/>
        <v/>
      </c>
      <c r="I790" s="49"/>
      <c r="J790" s="49"/>
      <c r="K790" s="49"/>
      <c r="L790" s="53">
        <f>O790*CFGRECT!$S$10</f>
        <v>0</v>
      </c>
      <c r="M790" s="53">
        <f>P790*CFGRECT!$T$10</f>
        <v>0</v>
      </c>
      <c r="N790" s="26"/>
      <c r="O790" s="227"/>
      <c r="P790" s="227"/>
      <c r="Q790" s="26"/>
      <c r="R790" s="26"/>
      <c r="S790" s="26"/>
      <c r="T790" s="26"/>
    </row>
    <row r="791" spans="6:20">
      <c r="F791" s="49"/>
      <c r="G791" s="49"/>
      <c r="H791" s="51" t="str">
        <f t="shared" si="13"/>
        <v/>
      </c>
      <c r="I791" s="49"/>
      <c r="J791" s="49"/>
      <c r="K791" s="49"/>
      <c r="L791" s="53">
        <f>O791*CFGRECT!$S$10</f>
        <v>0</v>
      </c>
      <c r="M791" s="53">
        <f>P791*CFGRECT!$T$10</f>
        <v>0</v>
      </c>
      <c r="N791" s="26"/>
      <c r="O791" s="227"/>
      <c r="P791" s="227"/>
      <c r="Q791" s="26"/>
      <c r="R791" s="26"/>
      <c r="S791" s="26"/>
      <c r="T791" s="26"/>
    </row>
    <row r="792" spans="6:20">
      <c r="F792" s="49"/>
      <c r="G792" s="49"/>
      <c r="H792" s="51" t="str">
        <f t="shared" si="13"/>
        <v/>
      </c>
      <c r="I792" s="49"/>
      <c r="J792" s="49"/>
      <c r="K792" s="49"/>
      <c r="L792" s="53">
        <f>O792*CFGRECT!$S$10</f>
        <v>0</v>
      </c>
      <c r="M792" s="53">
        <f>P792*CFGRECT!$T$10</f>
        <v>0</v>
      </c>
      <c r="N792" s="26"/>
      <c r="O792" s="227"/>
      <c r="P792" s="227"/>
      <c r="Q792" s="26"/>
      <c r="R792" s="26"/>
      <c r="S792" s="26"/>
      <c r="T792" s="26"/>
    </row>
    <row r="793" spans="6:20">
      <c r="F793" s="49"/>
      <c r="G793" s="49"/>
      <c r="H793" s="51" t="str">
        <f t="shared" si="13"/>
        <v/>
      </c>
      <c r="I793" s="49"/>
      <c r="J793" s="49"/>
      <c r="K793" s="49"/>
      <c r="L793" s="53">
        <f>O793*CFGRECT!$S$10</f>
        <v>0</v>
      </c>
      <c r="M793" s="53">
        <f>P793*CFGRECT!$T$10</f>
        <v>0</v>
      </c>
      <c r="N793" s="26"/>
      <c r="O793" s="227"/>
      <c r="P793" s="227"/>
      <c r="Q793" s="26"/>
      <c r="R793" s="26"/>
      <c r="S793" s="26"/>
      <c r="T793" s="26"/>
    </row>
    <row r="794" spans="6:20">
      <c r="F794" s="49"/>
      <c r="G794" s="49"/>
      <c r="H794" s="51" t="str">
        <f t="shared" si="13"/>
        <v/>
      </c>
      <c r="I794" s="49"/>
      <c r="J794" s="49"/>
      <c r="K794" s="49"/>
      <c r="L794" s="53">
        <f>O794*CFGRECT!$S$10</f>
        <v>0</v>
      </c>
      <c r="M794" s="53">
        <f>P794*CFGRECT!$T$10</f>
        <v>0</v>
      </c>
      <c r="N794" s="26"/>
      <c r="O794" s="227"/>
      <c r="P794" s="227"/>
      <c r="Q794" s="26"/>
      <c r="R794" s="26"/>
      <c r="S794" s="26"/>
      <c r="T794" s="26"/>
    </row>
    <row r="795" spans="6:20">
      <c r="F795" s="49"/>
      <c r="G795" s="49"/>
      <c r="H795" s="51" t="str">
        <f t="shared" si="13"/>
        <v/>
      </c>
      <c r="I795" s="49"/>
      <c r="J795" s="49"/>
      <c r="K795" s="49"/>
      <c r="L795" s="53">
        <f>O795*CFGRECT!$S$10</f>
        <v>0</v>
      </c>
      <c r="M795" s="53">
        <f>P795*CFGRECT!$T$10</f>
        <v>0</v>
      </c>
      <c r="N795" s="26"/>
      <c r="O795" s="227"/>
      <c r="P795" s="227"/>
      <c r="Q795" s="26"/>
      <c r="R795" s="26"/>
      <c r="S795" s="26"/>
      <c r="T795" s="26"/>
    </row>
    <row r="796" spans="6:20">
      <c r="F796" s="49"/>
      <c r="G796" s="49"/>
      <c r="H796" s="51" t="str">
        <f t="shared" si="13"/>
        <v/>
      </c>
      <c r="I796" s="49"/>
      <c r="J796" s="49"/>
      <c r="K796" s="49"/>
      <c r="L796" s="53">
        <f>O796*CFGRECT!$S$10</f>
        <v>0</v>
      </c>
      <c r="M796" s="53">
        <f>P796*CFGRECT!$T$10</f>
        <v>0</v>
      </c>
      <c r="N796" s="26"/>
      <c r="O796" s="227"/>
      <c r="P796" s="227"/>
      <c r="Q796" s="26"/>
      <c r="R796" s="26"/>
      <c r="S796" s="26"/>
      <c r="T796" s="26"/>
    </row>
    <row r="797" spans="6:20">
      <c r="F797" s="49"/>
      <c r="G797" s="49"/>
      <c r="H797" s="51" t="str">
        <f t="shared" si="13"/>
        <v/>
      </c>
      <c r="I797" s="49"/>
      <c r="J797" s="49"/>
      <c r="K797" s="49"/>
      <c r="L797" s="53">
        <f>O797*CFGRECT!$S$10</f>
        <v>0</v>
      </c>
      <c r="M797" s="53">
        <f>P797*CFGRECT!$T$10</f>
        <v>0</v>
      </c>
      <c r="N797" s="26"/>
      <c r="O797" s="227"/>
      <c r="P797" s="227"/>
      <c r="Q797" s="26"/>
      <c r="R797" s="26"/>
      <c r="S797" s="26"/>
      <c r="T797" s="26"/>
    </row>
    <row r="798" spans="6:20">
      <c r="F798" s="49"/>
      <c r="G798" s="49"/>
      <c r="H798" s="51" t="str">
        <f t="shared" si="13"/>
        <v/>
      </c>
      <c r="I798" s="49"/>
      <c r="J798" s="49"/>
      <c r="K798" s="49"/>
      <c r="L798" s="53">
        <f>O798*CFGRECT!$S$10</f>
        <v>0</v>
      </c>
      <c r="M798" s="53">
        <f>P798*CFGRECT!$T$10</f>
        <v>0</v>
      </c>
      <c r="N798" s="26"/>
      <c r="O798" s="227"/>
      <c r="P798" s="227"/>
      <c r="Q798" s="26"/>
      <c r="R798" s="26"/>
      <c r="S798" s="26"/>
      <c r="T798" s="26"/>
    </row>
    <row r="799" spans="6:20">
      <c r="F799" s="49"/>
      <c r="G799" s="49"/>
      <c r="H799" s="51" t="str">
        <f t="shared" si="13"/>
        <v/>
      </c>
      <c r="I799" s="49"/>
      <c r="J799" s="49"/>
      <c r="K799" s="49"/>
      <c r="L799" s="53">
        <f>O799*CFGRECT!$S$10</f>
        <v>0</v>
      </c>
      <c r="M799" s="53">
        <f>P799*CFGRECT!$T$10</f>
        <v>0</v>
      </c>
      <c r="N799" s="26"/>
      <c r="O799" s="227"/>
      <c r="P799" s="227"/>
      <c r="Q799" s="26"/>
      <c r="R799" s="26"/>
      <c r="S799" s="26"/>
      <c r="T799" s="26"/>
    </row>
    <row r="800" spans="6:20">
      <c r="F800" s="49"/>
      <c r="G800" s="49"/>
      <c r="H800" s="51" t="str">
        <f t="shared" si="13"/>
        <v/>
      </c>
      <c r="I800" s="49"/>
      <c r="J800" s="49"/>
      <c r="K800" s="49"/>
      <c r="L800" s="53">
        <f>O800*CFGRECT!$S$10</f>
        <v>0</v>
      </c>
      <c r="M800" s="53">
        <f>P800*CFGRECT!$T$10</f>
        <v>0</v>
      </c>
      <c r="N800" s="26"/>
      <c r="O800" s="227"/>
      <c r="P800" s="227"/>
      <c r="Q800" s="26"/>
      <c r="R800" s="26"/>
      <c r="S800" s="26"/>
      <c r="T800" s="26"/>
    </row>
    <row r="801" spans="6:20">
      <c r="F801" s="49"/>
      <c r="G801" s="49"/>
      <c r="H801" s="51" t="str">
        <f t="shared" si="13"/>
        <v/>
      </c>
      <c r="I801" s="49"/>
      <c r="J801" s="49"/>
      <c r="K801" s="49"/>
      <c r="L801" s="53">
        <f>O801*CFGRECT!$S$10</f>
        <v>0</v>
      </c>
      <c r="M801" s="53">
        <f>P801*CFGRECT!$T$10</f>
        <v>0</v>
      </c>
      <c r="N801" s="26"/>
      <c r="O801" s="227"/>
      <c r="P801" s="227"/>
      <c r="Q801" s="26"/>
      <c r="R801" s="26"/>
      <c r="S801" s="26"/>
      <c r="T801" s="26"/>
    </row>
    <row r="802" spans="6:20">
      <c r="F802" s="49"/>
      <c r="G802" s="49"/>
      <c r="H802" s="51" t="str">
        <f t="shared" si="13"/>
        <v/>
      </c>
      <c r="I802" s="49"/>
      <c r="J802" s="49"/>
      <c r="K802" s="49"/>
      <c r="L802" s="53">
        <f>O802*CFGRECT!$S$10</f>
        <v>0</v>
      </c>
      <c r="M802" s="53">
        <f>P802*CFGRECT!$T$10</f>
        <v>0</v>
      </c>
      <c r="N802" s="26"/>
      <c r="O802" s="227"/>
      <c r="P802" s="227"/>
      <c r="Q802" s="26"/>
      <c r="R802" s="26"/>
      <c r="S802" s="26"/>
      <c r="T802" s="26"/>
    </row>
    <row r="803" spans="6:20">
      <c r="F803" s="49"/>
      <c r="G803" s="49"/>
      <c r="H803" s="51" t="str">
        <f t="shared" si="13"/>
        <v/>
      </c>
      <c r="I803" s="49"/>
      <c r="J803" s="49"/>
      <c r="K803" s="49"/>
      <c r="L803" s="53">
        <f>O803*CFGRECT!$S$10</f>
        <v>0</v>
      </c>
      <c r="M803" s="53">
        <f>P803*CFGRECT!$T$10</f>
        <v>0</v>
      </c>
      <c r="N803" s="26"/>
      <c r="O803" s="227"/>
      <c r="P803" s="227"/>
      <c r="Q803" s="26"/>
      <c r="R803" s="26"/>
      <c r="S803" s="26"/>
      <c r="T803" s="26"/>
    </row>
    <row r="804" spans="6:20">
      <c r="F804" s="49"/>
      <c r="G804" s="49"/>
      <c r="H804" s="51" t="str">
        <f t="shared" si="13"/>
        <v/>
      </c>
      <c r="I804" s="49"/>
      <c r="J804" s="49"/>
      <c r="K804" s="49"/>
      <c r="L804" s="53">
        <f>O804*CFGRECT!$S$10</f>
        <v>0</v>
      </c>
      <c r="M804" s="53">
        <f>P804*CFGRECT!$T$10</f>
        <v>0</v>
      </c>
      <c r="N804" s="26"/>
      <c r="O804" s="227"/>
      <c r="P804" s="227"/>
      <c r="Q804" s="26"/>
      <c r="R804" s="26"/>
      <c r="S804" s="26"/>
      <c r="T804" s="26"/>
    </row>
    <row r="805" spans="6:20">
      <c r="F805" s="49"/>
      <c r="G805" s="49"/>
      <c r="H805" s="51" t="str">
        <f t="shared" si="13"/>
        <v/>
      </c>
      <c r="I805" s="49"/>
      <c r="J805" s="49"/>
      <c r="K805" s="49"/>
      <c r="L805" s="53">
        <f>O805*CFGRECT!$S$10</f>
        <v>0</v>
      </c>
      <c r="M805" s="53">
        <f>P805*CFGRECT!$T$10</f>
        <v>0</v>
      </c>
      <c r="N805" s="26"/>
      <c r="O805" s="227"/>
      <c r="P805" s="227"/>
      <c r="Q805" s="26"/>
      <c r="R805" s="26"/>
      <c r="S805" s="26"/>
      <c r="T805" s="26"/>
    </row>
    <row r="806" spans="6:20">
      <c r="F806" s="49"/>
      <c r="G806" s="49"/>
      <c r="H806" s="51" t="str">
        <f t="shared" si="13"/>
        <v/>
      </c>
      <c r="I806" s="49"/>
      <c r="J806" s="49"/>
      <c r="K806" s="49"/>
      <c r="L806" s="53">
        <f>O806*CFGRECT!$S$10</f>
        <v>0</v>
      </c>
      <c r="M806" s="53">
        <f>P806*CFGRECT!$T$10</f>
        <v>0</v>
      </c>
      <c r="N806" s="26"/>
      <c r="O806" s="227"/>
      <c r="P806" s="227"/>
      <c r="Q806" s="26"/>
      <c r="R806" s="26"/>
      <c r="S806" s="26"/>
      <c r="T806" s="26"/>
    </row>
    <row r="807" spans="6:20">
      <c r="F807" s="49"/>
      <c r="G807" s="49"/>
      <c r="H807" s="51" t="str">
        <f t="shared" si="13"/>
        <v/>
      </c>
      <c r="I807" s="49"/>
      <c r="J807" s="49"/>
      <c r="K807" s="49"/>
      <c r="L807" s="53">
        <f>O807*CFGRECT!$S$10</f>
        <v>0</v>
      </c>
      <c r="M807" s="53">
        <f>P807*CFGRECT!$T$10</f>
        <v>0</v>
      </c>
      <c r="N807" s="26"/>
      <c r="O807" s="227"/>
      <c r="P807" s="227"/>
      <c r="Q807" s="26"/>
      <c r="R807" s="26"/>
      <c r="S807" s="26"/>
      <c r="T807" s="26"/>
    </row>
    <row r="808" spans="6:20">
      <c r="F808" s="49"/>
      <c r="G808" s="49"/>
      <c r="H808" s="51" t="str">
        <f t="shared" si="13"/>
        <v/>
      </c>
      <c r="I808" s="49"/>
      <c r="J808" s="49"/>
      <c r="K808" s="49"/>
      <c r="L808" s="53">
        <f>O808*CFGRECT!$S$10</f>
        <v>0</v>
      </c>
      <c r="M808" s="53">
        <f>P808*CFGRECT!$T$10</f>
        <v>0</v>
      </c>
      <c r="N808" s="26"/>
      <c r="O808" s="227"/>
      <c r="P808" s="227"/>
      <c r="Q808" s="26"/>
      <c r="R808" s="26"/>
      <c r="S808" s="26"/>
      <c r="T808" s="26"/>
    </row>
    <row r="809" spans="6:20">
      <c r="F809" s="49"/>
      <c r="G809" s="49"/>
      <c r="H809" s="51" t="str">
        <f t="shared" si="13"/>
        <v/>
      </c>
      <c r="I809" s="49"/>
      <c r="J809" s="49"/>
      <c r="K809" s="49"/>
      <c r="L809" s="53">
        <f>O809*CFGRECT!$S$10</f>
        <v>0</v>
      </c>
      <c r="M809" s="53">
        <f>P809*CFGRECT!$T$10</f>
        <v>0</v>
      </c>
      <c r="N809" s="26"/>
      <c r="O809" s="227"/>
      <c r="P809" s="227"/>
      <c r="Q809" s="26"/>
      <c r="R809" s="26"/>
      <c r="S809" s="26"/>
      <c r="T809" s="26"/>
    </row>
    <row r="810" spans="6:20">
      <c r="F810" s="49"/>
      <c r="G810" s="49"/>
      <c r="H810" s="51" t="str">
        <f t="shared" si="13"/>
        <v/>
      </c>
      <c r="I810" s="49"/>
      <c r="J810" s="49"/>
      <c r="K810" s="49"/>
      <c r="L810" s="53">
        <f>O810*CFGRECT!$S$10</f>
        <v>0</v>
      </c>
      <c r="M810" s="53">
        <f>P810*CFGRECT!$T$10</f>
        <v>0</v>
      </c>
      <c r="N810" s="26"/>
      <c r="O810" s="227"/>
      <c r="P810" s="227"/>
      <c r="Q810" s="26"/>
      <c r="R810" s="26"/>
      <c r="S810" s="26"/>
      <c r="T810" s="26"/>
    </row>
    <row r="811" spans="6:20">
      <c r="F811" s="49"/>
      <c r="G811" s="49"/>
      <c r="H811" s="51" t="str">
        <f t="shared" si="13"/>
        <v/>
      </c>
      <c r="I811" s="49"/>
      <c r="J811" s="49"/>
      <c r="K811" s="49"/>
      <c r="L811" s="53">
        <f>O811*CFGRECT!$S$10</f>
        <v>0</v>
      </c>
      <c r="M811" s="53">
        <f>P811*CFGRECT!$T$10</f>
        <v>0</v>
      </c>
      <c r="N811" s="26"/>
      <c r="O811" s="227"/>
      <c r="P811" s="227"/>
      <c r="Q811" s="26"/>
      <c r="R811" s="26"/>
      <c r="S811" s="26"/>
      <c r="T811" s="26"/>
    </row>
    <row r="812" spans="6:20">
      <c r="F812" s="49"/>
      <c r="G812" s="49"/>
      <c r="H812" s="51" t="str">
        <f t="shared" si="13"/>
        <v/>
      </c>
      <c r="I812" s="49"/>
      <c r="J812" s="49"/>
      <c r="K812" s="49"/>
      <c r="L812" s="53">
        <f>O812*CFGRECT!$S$10</f>
        <v>0</v>
      </c>
      <c r="M812" s="53">
        <f>P812*CFGRECT!$T$10</f>
        <v>0</v>
      </c>
      <c r="N812" s="26"/>
      <c r="O812" s="227"/>
      <c r="P812" s="227"/>
      <c r="Q812" s="26"/>
      <c r="R812" s="26"/>
      <c r="S812" s="26"/>
      <c r="T812" s="26"/>
    </row>
    <row r="813" spans="6:20">
      <c r="F813" s="49"/>
      <c r="G813" s="49"/>
      <c r="H813" s="51" t="str">
        <f t="shared" si="13"/>
        <v/>
      </c>
      <c r="I813" s="49"/>
      <c r="J813" s="49"/>
      <c r="K813" s="49"/>
      <c r="L813" s="53">
        <f>O813*CFGRECT!$S$10</f>
        <v>0</v>
      </c>
      <c r="M813" s="53">
        <f>P813*CFGRECT!$T$10</f>
        <v>0</v>
      </c>
      <c r="N813" s="26"/>
      <c r="O813" s="227"/>
      <c r="P813" s="227"/>
      <c r="Q813" s="26"/>
      <c r="R813" s="26"/>
      <c r="S813" s="26"/>
      <c r="T813" s="26"/>
    </row>
    <row r="814" spans="6:20">
      <c r="F814" s="49"/>
      <c r="G814" s="49"/>
      <c r="H814" s="51" t="str">
        <f t="shared" si="13"/>
        <v/>
      </c>
      <c r="I814" s="49"/>
      <c r="J814" s="49"/>
      <c r="K814" s="49"/>
      <c r="L814" s="53">
        <f>O814*CFGRECT!$S$10</f>
        <v>0</v>
      </c>
      <c r="M814" s="53">
        <f>P814*CFGRECT!$T$10</f>
        <v>0</v>
      </c>
      <c r="N814" s="26"/>
      <c r="O814" s="227"/>
      <c r="P814" s="227"/>
      <c r="Q814" s="26"/>
      <c r="R814" s="26"/>
      <c r="S814" s="26"/>
      <c r="T814" s="26"/>
    </row>
    <row r="815" spans="6:20">
      <c r="F815" s="49"/>
      <c r="G815" s="49"/>
      <c r="H815" s="51" t="str">
        <f t="shared" si="13"/>
        <v/>
      </c>
      <c r="I815" s="49"/>
      <c r="J815" s="49"/>
      <c r="K815" s="49"/>
      <c r="L815" s="53">
        <f>O815*CFGRECT!$S$10</f>
        <v>0</v>
      </c>
      <c r="M815" s="53">
        <f>P815*CFGRECT!$T$10</f>
        <v>0</v>
      </c>
      <c r="N815" s="26"/>
      <c r="O815" s="227"/>
      <c r="P815" s="227"/>
      <c r="Q815" s="26"/>
      <c r="R815" s="26"/>
      <c r="S815" s="26"/>
      <c r="T815" s="26"/>
    </row>
    <row r="816" spans="6:20">
      <c r="F816" s="49"/>
      <c r="G816" s="49"/>
      <c r="H816" s="51" t="str">
        <f t="shared" si="13"/>
        <v/>
      </c>
      <c r="I816" s="49"/>
      <c r="J816" s="49"/>
      <c r="K816" s="49"/>
      <c r="L816" s="53">
        <f>O816*CFGRECT!$S$10</f>
        <v>0</v>
      </c>
      <c r="M816" s="53">
        <f>P816*CFGRECT!$T$10</f>
        <v>0</v>
      </c>
      <c r="N816" s="26"/>
      <c r="O816" s="227"/>
      <c r="P816" s="227"/>
      <c r="Q816" s="26"/>
      <c r="R816" s="26"/>
      <c r="S816" s="26"/>
      <c r="T816" s="26"/>
    </row>
    <row r="817" spans="6:20">
      <c r="F817" s="49"/>
      <c r="G817" s="49"/>
      <c r="H817" s="51" t="str">
        <f t="shared" si="13"/>
        <v/>
      </c>
      <c r="I817" s="49"/>
      <c r="J817" s="49"/>
      <c r="K817" s="49"/>
      <c r="L817" s="53">
        <f>O817*CFGRECT!$S$10</f>
        <v>0</v>
      </c>
      <c r="M817" s="53">
        <f>P817*CFGRECT!$T$10</f>
        <v>0</v>
      </c>
      <c r="N817" s="26"/>
      <c r="O817" s="227"/>
      <c r="P817" s="227"/>
      <c r="Q817" s="26"/>
      <c r="R817" s="26"/>
      <c r="S817" s="26"/>
      <c r="T817" s="26"/>
    </row>
    <row r="818" spans="6:20">
      <c r="F818" s="49"/>
      <c r="G818" s="49"/>
      <c r="H818" s="51" t="str">
        <f t="shared" si="13"/>
        <v/>
      </c>
      <c r="I818" s="49"/>
      <c r="J818" s="49"/>
      <c r="K818" s="49"/>
      <c r="L818" s="53">
        <f>O818*CFGRECT!$S$10</f>
        <v>0</v>
      </c>
      <c r="M818" s="53">
        <f>P818*CFGRECT!$T$10</f>
        <v>0</v>
      </c>
      <c r="N818" s="26"/>
      <c r="O818" s="227"/>
      <c r="P818" s="227"/>
      <c r="Q818" s="26"/>
      <c r="R818" s="26"/>
      <c r="S818" s="26"/>
      <c r="T818" s="26"/>
    </row>
    <row r="819" spans="6:20">
      <c r="F819" s="49"/>
      <c r="G819" s="49"/>
      <c r="H819" s="51" t="str">
        <f t="shared" si="13"/>
        <v/>
      </c>
      <c r="I819" s="49"/>
      <c r="J819" s="49"/>
      <c r="K819" s="49"/>
      <c r="L819" s="53">
        <f>O819*CFGRECT!$S$10</f>
        <v>0</v>
      </c>
      <c r="M819" s="53">
        <f>P819*CFGRECT!$T$10</f>
        <v>0</v>
      </c>
      <c r="N819" s="26"/>
      <c r="O819" s="227"/>
      <c r="P819" s="227"/>
      <c r="Q819" s="26"/>
      <c r="R819" s="26"/>
      <c r="S819" s="26"/>
      <c r="T819" s="26"/>
    </row>
    <row r="820" spans="6:20">
      <c r="F820" s="49"/>
      <c r="G820" s="49"/>
      <c r="H820" s="51" t="str">
        <f t="shared" si="13"/>
        <v/>
      </c>
      <c r="I820" s="49"/>
      <c r="J820" s="49"/>
      <c r="K820" s="49"/>
      <c r="L820" s="53">
        <f>O820*CFGRECT!$S$10</f>
        <v>0</v>
      </c>
      <c r="M820" s="53">
        <f>P820*CFGRECT!$T$10</f>
        <v>0</v>
      </c>
      <c r="N820" s="26"/>
      <c r="O820" s="227"/>
      <c r="P820" s="227"/>
      <c r="Q820" s="26"/>
      <c r="R820" s="26"/>
      <c r="S820" s="26"/>
      <c r="T820" s="26"/>
    </row>
    <row r="821" spans="6:20">
      <c r="F821" s="49"/>
      <c r="G821" s="49"/>
      <c r="H821" s="51" t="str">
        <f t="shared" si="13"/>
        <v/>
      </c>
      <c r="I821" s="49"/>
      <c r="J821" s="49"/>
      <c r="K821" s="49"/>
      <c r="L821" s="53">
        <f>O821*CFGRECT!$S$10</f>
        <v>0</v>
      </c>
      <c r="M821" s="53">
        <f>P821*CFGRECT!$T$10</f>
        <v>0</v>
      </c>
      <c r="N821" s="26"/>
      <c r="O821" s="227"/>
      <c r="P821" s="227"/>
      <c r="Q821" s="26"/>
      <c r="R821" s="26"/>
      <c r="S821" s="26"/>
      <c r="T821" s="26"/>
    </row>
    <row r="822" spans="6:20">
      <c r="F822" s="49"/>
      <c r="G822" s="49"/>
      <c r="H822" s="51" t="str">
        <f t="shared" si="13"/>
        <v/>
      </c>
      <c r="I822" s="49"/>
      <c r="J822" s="49"/>
      <c r="K822" s="49"/>
      <c r="L822" s="53">
        <f>O822*CFGRECT!$S$10</f>
        <v>0</v>
      </c>
      <c r="M822" s="53">
        <f>P822*CFGRECT!$T$10</f>
        <v>0</v>
      </c>
      <c r="N822" s="26"/>
      <c r="O822" s="227"/>
      <c r="P822" s="227"/>
      <c r="Q822" s="26"/>
      <c r="R822" s="26"/>
      <c r="S822" s="26"/>
      <c r="T822" s="26"/>
    </row>
    <row r="823" spans="6:20">
      <c r="F823" s="49"/>
      <c r="G823" s="49"/>
      <c r="H823" s="51" t="str">
        <f t="shared" si="13"/>
        <v/>
      </c>
      <c r="I823" s="49"/>
      <c r="J823" s="49"/>
      <c r="K823" s="49"/>
      <c r="L823" s="53">
        <f>O823*CFGRECT!$S$10</f>
        <v>0</v>
      </c>
      <c r="M823" s="53">
        <f>P823*CFGRECT!$T$10</f>
        <v>0</v>
      </c>
      <c r="N823" s="26"/>
      <c r="O823" s="227"/>
      <c r="P823" s="227"/>
      <c r="Q823" s="26"/>
      <c r="R823" s="26"/>
      <c r="S823" s="26"/>
      <c r="T823" s="26"/>
    </row>
    <row r="824" spans="6:20">
      <c r="F824" s="49"/>
      <c r="G824" s="49"/>
      <c r="H824" s="51" t="str">
        <f t="shared" si="13"/>
        <v/>
      </c>
      <c r="I824" s="49"/>
      <c r="J824" s="49"/>
      <c r="K824" s="49"/>
      <c r="L824" s="53">
        <f>O824*CFGRECT!$S$10</f>
        <v>0</v>
      </c>
      <c r="M824" s="53">
        <f>P824*CFGRECT!$T$10</f>
        <v>0</v>
      </c>
      <c r="N824" s="26"/>
      <c r="O824" s="227"/>
      <c r="P824" s="227"/>
      <c r="Q824" s="26"/>
      <c r="R824" s="26"/>
      <c r="S824" s="26"/>
      <c r="T824" s="26"/>
    </row>
    <row r="825" spans="6:20">
      <c r="F825" s="49"/>
      <c r="G825" s="49"/>
      <c r="H825" s="51" t="str">
        <f t="shared" si="13"/>
        <v/>
      </c>
      <c r="I825" s="49"/>
      <c r="J825" s="49"/>
      <c r="K825" s="49"/>
      <c r="L825" s="53">
        <f>O825*CFGRECT!$S$10</f>
        <v>0</v>
      </c>
      <c r="M825" s="53">
        <f>P825*CFGRECT!$T$10</f>
        <v>0</v>
      </c>
      <c r="N825" s="26"/>
      <c r="O825" s="227"/>
      <c r="P825" s="227"/>
      <c r="Q825" s="26"/>
      <c r="R825" s="26"/>
      <c r="S825" s="26"/>
      <c r="T825" s="26"/>
    </row>
    <row r="826" spans="6:20">
      <c r="F826" s="49"/>
      <c r="G826" s="49"/>
      <c r="H826" s="51" t="str">
        <f t="shared" si="13"/>
        <v/>
      </c>
      <c r="I826" s="49"/>
      <c r="J826" s="49"/>
      <c r="K826" s="49"/>
      <c r="L826" s="53">
        <f>O826*CFGRECT!$S$10</f>
        <v>0</v>
      </c>
      <c r="M826" s="53">
        <f>P826*CFGRECT!$T$10</f>
        <v>0</v>
      </c>
      <c r="N826" s="26"/>
      <c r="O826" s="227"/>
      <c r="P826" s="227"/>
      <c r="Q826" s="26"/>
      <c r="R826" s="26"/>
      <c r="S826" s="26"/>
      <c r="T826" s="26"/>
    </row>
    <row r="827" spans="6:20">
      <c r="F827" s="49"/>
      <c r="G827" s="49"/>
      <c r="H827" s="51" t="str">
        <f t="shared" si="13"/>
        <v/>
      </c>
      <c r="I827" s="49"/>
      <c r="J827" s="49"/>
      <c r="K827" s="49"/>
      <c r="L827" s="53">
        <f>O827*CFGRECT!$S$10</f>
        <v>0</v>
      </c>
      <c r="M827" s="53">
        <f>P827*CFGRECT!$T$10</f>
        <v>0</v>
      </c>
      <c r="N827" s="26"/>
      <c r="O827" s="227"/>
      <c r="P827" s="227"/>
      <c r="Q827" s="26"/>
      <c r="R827" s="26"/>
      <c r="S827" s="26"/>
      <c r="T827" s="26"/>
    </row>
    <row r="828" spans="6:20">
      <c r="F828" s="49"/>
      <c r="G828" s="49"/>
      <c r="H828" s="51" t="str">
        <f t="shared" si="13"/>
        <v/>
      </c>
      <c r="I828" s="49"/>
      <c r="J828" s="49"/>
      <c r="K828" s="49"/>
      <c r="L828" s="53">
        <f>O828*CFGRECT!$S$10</f>
        <v>0</v>
      </c>
      <c r="M828" s="53">
        <f>P828*CFGRECT!$T$10</f>
        <v>0</v>
      </c>
      <c r="N828" s="26"/>
      <c r="O828" s="227"/>
      <c r="P828" s="227"/>
      <c r="Q828" s="26"/>
      <c r="R828" s="26"/>
      <c r="S828" s="26"/>
      <c r="T828" s="26"/>
    </row>
    <row r="829" spans="6:20">
      <c r="F829" s="49"/>
      <c r="G829" s="49"/>
      <c r="H829" s="51" t="str">
        <f t="shared" si="13"/>
        <v/>
      </c>
      <c r="I829" s="49"/>
      <c r="J829" s="49"/>
      <c r="K829" s="49"/>
      <c r="L829" s="53">
        <f>O829*CFGRECT!$S$10</f>
        <v>0</v>
      </c>
      <c r="M829" s="53">
        <f>P829*CFGRECT!$T$10</f>
        <v>0</v>
      </c>
      <c r="N829" s="26"/>
      <c r="O829" s="227"/>
      <c r="P829" s="227"/>
      <c r="Q829" s="26"/>
      <c r="R829" s="26"/>
      <c r="S829" s="26"/>
      <c r="T829" s="26"/>
    </row>
    <row r="830" spans="6:20">
      <c r="F830" s="49"/>
      <c r="G830" s="49"/>
      <c r="H830" s="51" t="str">
        <f t="shared" si="13"/>
        <v/>
      </c>
      <c r="I830" s="49"/>
      <c r="J830" s="49"/>
      <c r="K830" s="49"/>
      <c r="L830" s="53">
        <f>O830*CFGRECT!$S$10</f>
        <v>0</v>
      </c>
      <c r="M830" s="53">
        <f>P830*CFGRECT!$T$10</f>
        <v>0</v>
      </c>
      <c r="N830" s="26"/>
      <c r="O830" s="227"/>
      <c r="P830" s="227"/>
      <c r="Q830" s="26"/>
      <c r="R830" s="26"/>
      <c r="S830" s="26"/>
      <c r="T830" s="26"/>
    </row>
    <row r="831" spans="6:20">
      <c r="F831" s="49"/>
      <c r="G831" s="49"/>
      <c r="H831" s="51" t="str">
        <f t="shared" si="13"/>
        <v/>
      </c>
      <c r="I831" s="49"/>
      <c r="J831" s="49"/>
      <c r="K831" s="49"/>
      <c r="L831" s="53">
        <f>O831*CFGRECT!$S$10</f>
        <v>0</v>
      </c>
      <c r="M831" s="53">
        <f>P831*CFGRECT!$T$10</f>
        <v>0</v>
      </c>
      <c r="N831" s="26"/>
      <c r="O831" s="227"/>
      <c r="P831" s="227"/>
      <c r="Q831" s="26"/>
      <c r="R831" s="26"/>
      <c r="S831" s="26"/>
      <c r="T831" s="26"/>
    </row>
    <row r="832" spans="6:20">
      <c r="F832" s="49"/>
      <c r="G832" s="49"/>
      <c r="H832" s="51" t="str">
        <f t="shared" si="13"/>
        <v/>
      </c>
      <c r="I832" s="49"/>
      <c r="J832" s="49"/>
      <c r="K832" s="49"/>
      <c r="L832" s="53">
        <f>O832*CFGRECT!$S$10</f>
        <v>0</v>
      </c>
      <c r="M832" s="53">
        <f>P832*CFGRECT!$T$10</f>
        <v>0</v>
      </c>
      <c r="N832" s="26"/>
      <c r="O832" s="227"/>
      <c r="P832" s="227"/>
      <c r="Q832" s="26"/>
      <c r="R832" s="26"/>
      <c r="S832" s="26"/>
      <c r="T832" s="26"/>
    </row>
    <row r="833" spans="6:20">
      <c r="F833" s="49"/>
      <c r="G833" s="49"/>
      <c r="H833" s="51" t="str">
        <f t="shared" si="13"/>
        <v/>
      </c>
      <c r="I833" s="49"/>
      <c r="J833" s="49"/>
      <c r="K833" s="49"/>
      <c r="L833" s="53">
        <f>O833*CFGRECT!$S$10</f>
        <v>0</v>
      </c>
      <c r="M833" s="53">
        <f>P833*CFGRECT!$T$10</f>
        <v>0</v>
      </c>
      <c r="N833" s="26"/>
      <c r="O833" s="227"/>
      <c r="P833" s="227"/>
      <c r="Q833" s="26"/>
      <c r="R833" s="26"/>
      <c r="S833" s="26"/>
      <c r="T833" s="26"/>
    </row>
    <row r="834" spans="6:20">
      <c r="F834" s="49"/>
      <c r="G834" s="49"/>
      <c r="H834" s="51" t="str">
        <f t="shared" si="13"/>
        <v/>
      </c>
      <c r="I834" s="49"/>
      <c r="J834" s="49"/>
      <c r="K834" s="49"/>
      <c r="L834" s="53">
        <f>O834*CFGRECT!$S$10</f>
        <v>0</v>
      </c>
      <c r="M834" s="53">
        <f>P834*CFGRECT!$T$10</f>
        <v>0</v>
      </c>
      <c r="N834" s="26"/>
      <c r="O834" s="227"/>
      <c r="P834" s="227"/>
      <c r="Q834" s="26"/>
      <c r="R834" s="26"/>
      <c r="S834" s="26"/>
      <c r="T834" s="26"/>
    </row>
    <row r="835" spans="6:20">
      <c r="F835" s="49"/>
      <c r="G835" s="49"/>
      <c r="H835" s="51" t="str">
        <f t="shared" si="13"/>
        <v/>
      </c>
      <c r="I835" s="49"/>
      <c r="J835" s="49"/>
      <c r="K835" s="49"/>
      <c r="L835" s="53">
        <f>O835*CFGRECT!$S$10</f>
        <v>0</v>
      </c>
      <c r="M835" s="53">
        <f>P835*CFGRECT!$T$10</f>
        <v>0</v>
      </c>
      <c r="N835" s="26"/>
      <c r="O835" s="227"/>
      <c r="P835" s="227"/>
      <c r="Q835" s="26"/>
      <c r="R835" s="26"/>
      <c r="S835" s="26"/>
      <c r="T835" s="26"/>
    </row>
    <row r="836" spans="6:20">
      <c r="F836" s="49"/>
      <c r="G836" s="49"/>
      <c r="H836" s="51" t="str">
        <f t="shared" si="13"/>
        <v/>
      </c>
      <c r="I836" s="49"/>
      <c r="J836" s="49"/>
      <c r="K836" s="49"/>
      <c r="L836" s="53">
        <f>O836*CFGRECT!$S$10</f>
        <v>0</v>
      </c>
      <c r="M836" s="53">
        <f>P836*CFGRECT!$T$10</f>
        <v>0</v>
      </c>
      <c r="N836" s="26"/>
      <c r="O836" s="227"/>
      <c r="P836" s="227"/>
      <c r="Q836" s="26"/>
      <c r="R836" s="26"/>
      <c r="S836" s="26"/>
      <c r="T836" s="26"/>
    </row>
    <row r="837" spans="6:20">
      <c r="F837" s="49"/>
      <c r="G837" s="49"/>
      <c r="H837" s="51" t="str">
        <f t="shared" si="13"/>
        <v/>
      </c>
      <c r="I837" s="49"/>
      <c r="J837" s="49"/>
      <c r="K837" s="49"/>
      <c r="L837" s="53">
        <f>O837*CFGRECT!$S$10</f>
        <v>0</v>
      </c>
      <c r="M837" s="53">
        <f>P837*CFGRECT!$T$10</f>
        <v>0</v>
      </c>
      <c r="N837" s="26"/>
      <c r="O837" s="227"/>
      <c r="P837" s="227"/>
      <c r="Q837" s="26"/>
      <c r="R837" s="26"/>
      <c r="S837" s="26"/>
      <c r="T837" s="26"/>
    </row>
    <row r="838" spans="6:20">
      <c r="F838" s="49"/>
      <c r="G838" s="49"/>
      <c r="H838" s="51" t="str">
        <f t="shared" si="13"/>
        <v/>
      </c>
      <c r="I838" s="49"/>
      <c r="J838" s="49"/>
      <c r="K838" s="49"/>
      <c r="L838" s="53">
        <f>O838*CFGRECT!$S$10</f>
        <v>0</v>
      </c>
      <c r="M838" s="53">
        <f>P838*CFGRECT!$T$10</f>
        <v>0</v>
      </c>
      <c r="N838" s="26"/>
      <c r="O838" s="227"/>
      <c r="P838" s="227"/>
      <c r="Q838" s="26"/>
      <c r="R838" s="26"/>
      <c r="S838" s="26"/>
      <c r="T838" s="26"/>
    </row>
    <row r="839" spans="6:20">
      <c r="F839" s="49"/>
      <c r="G839" s="49"/>
      <c r="H839" s="51" t="str">
        <f t="shared" si="13"/>
        <v/>
      </c>
      <c r="I839" s="49"/>
      <c r="J839" s="49"/>
      <c r="K839" s="49"/>
      <c r="L839" s="53">
        <f>O839*CFGRECT!$S$10</f>
        <v>0</v>
      </c>
      <c r="M839" s="53">
        <f>P839*CFGRECT!$T$10</f>
        <v>0</v>
      </c>
      <c r="N839" s="26"/>
      <c r="O839" s="227"/>
      <c r="P839" s="227"/>
      <c r="Q839" s="26"/>
      <c r="R839" s="26"/>
      <c r="S839" s="26"/>
      <c r="T839" s="26"/>
    </row>
    <row r="840" spans="6:20">
      <c r="F840" s="49"/>
      <c r="G840" s="49"/>
      <c r="H840" s="51" t="str">
        <f t="shared" si="13"/>
        <v/>
      </c>
      <c r="I840" s="49"/>
      <c r="J840" s="49"/>
      <c r="K840" s="49"/>
      <c r="L840" s="53">
        <f>O840*CFGRECT!$S$10</f>
        <v>0</v>
      </c>
      <c r="M840" s="53">
        <f>P840*CFGRECT!$T$10</f>
        <v>0</v>
      </c>
      <c r="N840" s="26"/>
      <c r="O840" s="227"/>
      <c r="P840" s="227"/>
      <c r="Q840" s="26"/>
      <c r="R840" s="26"/>
      <c r="S840" s="26"/>
      <c r="T840" s="26"/>
    </row>
    <row r="841" spans="6:20">
      <c r="F841" s="49"/>
      <c r="G841" s="49"/>
      <c r="H841" s="51" t="str">
        <f t="shared" si="13"/>
        <v/>
      </c>
      <c r="I841" s="49"/>
      <c r="J841" s="49"/>
      <c r="K841" s="49"/>
      <c r="L841" s="53">
        <f>O841*CFGRECT!$S$10</f>
        <v>0</v>
      </c>
      <c r="M841" s="53">
        <f>P841*CFGRECT!$T$10</f>
        <v>0</v>
      </c>
      <c r="N841" s="26"/>
      <c r="O841" s="227"/>
      <c r="P841" s="227"/>
      <c r="Q841" s="26"/>
      <c r="R841" s="26"/>
      <c r="S841" s="26"/>
      <c r="T841" s="26"/>
    </row>
    <row r="842" spans="6:20">
      <c r="F842" s="49"/>
      <c r="G842" s="49"/>
      <c r="H842" s="51" t="str">
        <f t="shared" si="13"/>
        <v/>
      </c>
      <c r="I842" s="49"/>
      <c r="J842" s="49"/>
      <c r="K842" s="49"/>
      <c r="L842" s="53">
        <f>O842*CFGRECT!$S$10</f>
        <v>0</v>
      </c>
      <c r="M842" s="53">
        <f>P842*CFGRECT!$T$10</f>
        <v>0</v>
      </c>
      <c r="N842" s="26"/>
      <c r="O842" s="227"/>
      <c r="P842" s="227"/>
      <c r="Q842" s="26"/>
      <c r="R842" s="26"/>
      <c r="S842" s="26"/>
      <c r="T842" s="26"/>
    </row>
    <row r="843" spans="6:20">
      <c r="F843" s="49"/>
      <c r="G843" s="49"/>
      <c r="H843" s="51" t="str">
        <f t="shared" si="13"/>
        <v/>
      </c>
      <c r="I843" s="49"/>
      <c r="J843" s="49"/>
      <c r="K843" s="49"/>
      <c r="L843" s="53">
        <f>O843*CFGRECT!$S$10</f>
        <v>0</v>
      </c>
      <c r="M843" s="53">
        <f>P843*CFGRECT!$T$10</f>
        <v>0</v>
      </c>
      <c r="N843" s="26"/>
      <c r="O843" s="227"/>
      <c r="P843" s="227"/>
      <c r="Q843" s="26"/>
      <c r="R843" s="26"/>
      <c r="S843" s="26"/>
      <c r="T843" s="26"/>
    </row>
    <row r="844" spans="6:20">
      <c r="F844" s="49"/>
      <c r="G844" s="49"/>
      <c r="H844" s="51" t="str">
        <f t="shared" si="13"/>
        <v/>
      </c>
      <c r="I844" s="49"/>
      <c r="J844" s="49"/>
      <c r="K844" s="49"/>
      <c r="L844" s="53">
        <f>O844*CFGRECT!$S$10</f>
        <v>0</v>
      </c>
      <c r="M844" s="53">
        <f>P844*CFGRECT!$T$10</f>
        <v>0</v>
      </c>
      <c r="N844" s="26"/>
      <c r="O844" s="227"/>
      <c r="P844" s="227"/>
      <c r="Q844" s="26"/>
      <c r="R844" s="26"/>
      <c r="S844" s="26"/>
      <c r="T844" s="26"/>
    </row>
    <row r="845" spans="6:20">
      <c r="F845" s="49"/>
      <c r="G845" s="49"/>
      <c r="H845" s="51" t="str">
        <f t="shared" si="13"/>
        <v/>
      </c>
      <c r="I845" s="49"/>
      <c r="J845" s="49"/>
      <c r="K845" s="49"/>
      <c r="L845" s="53">
        <f>O845*CFGRECT!$S$10</f>
        <v>0</v>
      </c>
      <c r="M845" s="53">
        <f>P845*CFGRECT!$T$10</f>
        <v>0</v>
      </c>
      <c r="N845" s="26"/>
      <c r="O845" s="227"/>
      <c r="P845" s="227"/>
      <c r="Q845" s="26"/>
      <c r="R845" s="26"/>
      <c r="S845" s="26"/>
      <c r="T845" s="26"/>
    </row>
    <row r="846" spans="6:20">
      <c r="F846" s="49"/>
      <c r="G846" s="49"/>
      <c r="H846" s="51" t="str">
        <f t="shared" si="13"/>
        <v/>
      </c>
      <c r="I846" s="49"/>
      <c r="J846" s="49"/>
      <c r="K846" s="49"/>
      <c r="L846" s="53">
        <f>O846*CFGRECT!$S$10</f>
        <v>0</v>
      </c>
      <c r="M846" s="53">
        <f>P846*CFGRECT!$T$10</f>
        <v>0</v>
      </c>
      <c r="N846" s="26"/>
      <c r="O846" s="227"/>
      <c r="P846" s="227"/>
      <c r="Q846" s="26"/>
      <c r="R846" s="26"/>
      <c r="S846" s="26"/>
      <c r="T846" s="26"/>
    </row>
    <row r="847" spans="6:20">
      <c r="F847" s="49"/>
      <c r="G847" s="49"/>
      <c r="H847" s="51" t="str">
        <f t="shared" si="13"/>
        <v/>
      </c>
      <c r="I847" s="49"/>
      <c r="J847" s="49"/>
      <c r="K847" s="49"/>
      <c r="L847" s="53">
        <f>O847*CFGRECT!$S$10</f>
        <v>0</v>
      </c>
      <c r="M847" s="53">
        <f>P847*CFGRECT!$T$10</f>
        <v>0</v>
      </c>
      <c r="N847" s="26"/>
      <c r="O847" s="227"/>
      <c r="P847" s="227"/>
      <c r="Q847" s="26"/>
      <c r="R847" s="26"/>
      <c r="S847" s="26"/>
      <c r="T847" s="26"/>
    </row>
    <row r="848" spans="6:20">
      <c r="F848" s="49"/>
      <c r="G848" s="49"/>
      <c r="H848" s="51" t="str">
        <f t="shared" si="13"/>
        <v/>
      </c>
      <c r="I848" s="49"/>
      <c r="J848" s="49"/>
      <c r="K848" s="49"/>
      <c r="L848" s="53">
        <f>O848*CFGRECT!$S$10</f>
        <v>0</v>
      </c>
      <c r="M848" s="53">
        <f>P848*CFGRECT!$T$10</f>
        <v>0</v>
      </c>
      <c r="N848" s="26"/>
      <c r="O848" s="227"/>
      <c r="P848" s="227"/>
      <c r="Q848" s="26"/>
      <c r="R848" s="26"/>
      <c r="S848" s="26"/>
      <c r="T848" s="26"/>
    </row>
    <row r="849" spans="6:20">
      <c r="F849" s="49"/>
      <c r="G849" s="49"/>
      <c r="H849" s="51" t="str">
        <f t="shared" ref="H849:H912" si="14">F849&amp;IF(G849="",""," - "&amp;G849)</f>
        <v/>
      </c>
      <c r="I849" s="49"/>
      <c r="J849" s="49"/>
      <c r="K849" s="49"/>
      <c r="L849" s="53">
        <f>O849*CFGRECT!$S$10</f>
        <v>0</v>
      </c>
      <c r="M849" s="53">
        <f>P849*CFGRECT!$T$10</f>
        <v>0</v>
      </c>
      <c r="N849" s="26"/>
      <c r="O849" s="227"/>
      <c r="P849" s="227"/>
      <c r="Q849" s="26"/>
      <c r="R849" s="26"/>
      <c r="S849" s="26"/>
      <c r="T849" s="26"/>
    </row>
    <row r="850" spans="6:20">
      <c r="F850" s="49"/>
      <c r="G850" s="49"/>
      <c r="H850" s="51" t="str">
        <f t="shared" si="14"/>
        <v/>
      </c>
      <c r="I850" s="49"/>
      <c r="J850" s="49"/>
      <c r="K850" s="49"/>
      <c r="L850" s="53">
        <f>O850*CFGRECT!$S$10</f>
        <v>0</v>
      </c>
      <c r="M850" s="53">
        <f>P850*CFGRECT!$T$10</f>
        <v>0</v>
      </c>
      <c r="N850" s="26"/>
      <c r="O850" s="227"/>
      <c r="P850" s="227"/>
      <c r="Q850" s="26"/>
      <c r="R850" s="26"/>
      <c r="S850" s="26"/>
      <c r="T850" s="26"/>
    </row>
    <row r="851" spans="6:20">
      <c r="F851" s="49"/>
      <c r="G851" s="49"/>
      <c r="H851" s="51" t="str">
        <f t="shared" si="14"/>
        <v/>
      </c>
      <c r="I851" s="49"/>
      <c r="J851" s="49"/>
      <c r="K851" s="49"/>
      <c r="L851" s="53">
        <f>O851*CFGRECT!$S$10</f>
        <v>0</v>
      </c>
      <c r="M851" s="53">
        <f>P851*CFGRECT!$T$10</f>
        <v>0</v>
      </c>
      <c r="N851" s="26"/>
      <c r="O851" s="227"/>
      <c r="P851" s="227"/>
      <c r="Q851" s="26"/>
      <c r="R851" s="26"/>
      <c r="S851" s="26"/>
      <c r="T851" s="26"/>
    </row>
    <row r="852" spans="6:20">
      <c r="F852" s="49"/>
      <c r="G852" s="49"/>
      <c r="H852" s="51" t="str">
        <f t="shared" si="14"/>
        <v/>
      </c>
      <c r="I852" s="49"/>
      <c r="J852" s="49"/>
      <c r="K852" s="49"/>
      <c r="L852" s="53">
        <f>O852*CFGRECT!$S$10</f>
        <v>0</v>
      </c>
      <c r="M852" s="53">
        <f>P852*CFGRECT!$T$10</f>
        <v>0</v>
      </c>
      <c r="N852" s="26"/>
      <c r="O852" s="227"/>
      <c r="P852" s="227"/>
      <c r="Q852" s="26"/>
      <c r="R852" s="26"/>
      <c r="S852" s="26"/>
      <c r="T852" s="26"/>
    </row>
    <row r="853" spans="6:20">
      <c r="F853" s="49"/>
      <c r="G853" s="49"/>
      <c r="H853" s="51" t="str">
        <f t="shared" si="14"/>
        <v/>
      </c>
      <c r="I853" s="49"/>
      <c r="J853" s="49"/>
      <c r="K853" s="49"/>
      <c r="L853" s="53">
        <f>O853*CFGRECT!$S$10</f>
        <v>0</v>
      </c>
      <c r="M853" s="53">
        <f>P853*CFGRECT!$T$10</f>
        <v>0</v>
      </c>
      <c r="N853" s="26"/>
      <c r="O853" s="227"/>
      <c r="P853" s="227"/>
      <c r="Q853" s="26"/>
      <c r="R853" s="26"/>
      <c r="S853" s="26"/>
      <c r="T853" s="26"/>
    </row>
    <row r="854" spans="6:20">
      <c r="F854" s="49"/>
      <c r="G854" s="49"/>
      <c r="H854" s="51" t="str">
        <f t="shared" si="14"/>
        <v/>
      </c>
      <c r="I854" s="49"/>
      <c r="J854" s="49"/>
      <c r="K854" s="49"/>
      <c r="L854" s="53">
        <f>O854*CFGRECT!$S$10</f>
        <v>0</v>
      </c>
      <c r="M854" s="53">
        <f>P854*CFGRECT!$T$10</f>
        <v>0</v>
      </c>
      <c r="N854" s="26"/>
      <c r="O854" s="227"/>
      <c r="P854" s="227"/>
      <c r="Q854" s="26"/>
      <c r="R854" s="26"/>
      <c r="S854" s="26"/>
      <c r="T854" s="26"/>
    </row>
    <row r="855" spans="6:20">
      <c r="F855" s="49"/>
      <c r="G855" s="49"/>
      <c r="H855" s="51" t="str">
        <f t="shared" si="14"/>
        <v/>
      </c>
      <c r="I855" s="49"/>
      <c r="J855" s="49"/>
      <c r="K855" s="49"/>
      <c r="L855" s="53">
        <f>O855*CFGRECT!$S$10</f>
        <v>0</v>
      </c>
      <c r="M855" s="53">
        <f>P855*CFGRECT!$T$10</f>
        <v>0</v>
      </c>
      <c r="N855" s="26"/>
      <c r="O855" s="227"/>
      <c r="P855" s="227"/>
      <c r="Q855" s="26"/>
      <c r="R855" s="26"/>
      <c r="S855" s="26"/>
      <c r="T855" s="26"/>
    </row>
    <row r="856" spans="6:20">
      <c r="F856" s="49"/>
      <c r="G856" s="49"/>
      <c r="H856" s="51" t="str">
        <f t="shared" si="14"/>
        <v/>
      </c>
      <c r="I856" s="49"/>
      <c r="J856" s="49"/>
      <c r="K856" s="49"/>
      <c r="L856" s="53">
        <f>O856*CFGRECT!$S$10</f>
        <v>0</v>
      </c>
      <c r="M856" s="53">
        <f>P856*CFGRECT!$T$10</f>
        <v>0</v>
      </c>
      <c r="N856" s="26"/>
      <c r="O856" s="227"/>
      <c r="P856" s="227"/>
      <c r="Q856" s="26"/>
      <c r="R856" s="26"/>
      <c r="S856" s="26"/>
      <c r="T856" s="26"/>
    </row>
    <row r="857" spans="6:20">
      <c r="F857" s="49"/>
      <c r="G857" s="49"/>
      <c r="H857" s="51" t="str">
        <f t="shared" si="14"/>
        <v/>
      </c>
      <c r="I857" s="49"/>
      <c r="J857" s="49"/>
      <c r="K857" s="49"/>
      <c r="L857" s="53">
        <f>O857*CFGRECT!$S$10</f>
        <v>0</v>
      </c>
      <c r="M857" s="53">
        <f>P857*CFGRECT!$T$10</f>
        <v>0</v>
      </c>
      <c r="N857" s="26"/>
      <c r="O857" s="227"/>
      <c r="P857" s="227"/>
      <c r="Q857" s="26"/>
      <c r="R857" s="26"/>
      <c r="S857" s="26"/>
      <c r="T857" s="26"/>
    </row>
    <row r="858" spans="6:20">
      <c r="F858" s="49"/>
      <c r="G858" s="49"/>
      <c r="H858" s="51" t="str">
        <f t="shared" si="14"/>
        <v/>
      </c>
      <c r="I858" s="49"/>
      <c r="J858" s="49"/>
      <c r="K858" s="49"/>
      <c r="L858" s="53">
        <f>O858*CFGRECT!$S$10</f>
        <v>0</v>
      </c>
      <c r="M858" s="53">
        <f>P858*CFGRECT!$T$10</f>
        <v>0</v>
      </c>
      <c r="N858" s="26"/>
      <c r="O858" s="227"/>
      <c r="P858" s="227"/>
      <c r="Q858" s="26"/>
      <c r="R858" s="26"/>
      <c r="S858" s="26"/>
      <c r="T858" s="26"/>
    </row>
    <row r="859" spans="6:20">
      <c r="F859" s="49"/>
      <c r="G859" s="49"/>
      <c r="H859" s="51" t="str">
        <f t="shared" si="14"/>
        <v/>
      </c>
      <c r="I859" s="49"/>
      <c r="J859" s="49"/>
      <c r="K859" s="49"/>
      <c r="L859" s="53">
        <f>O859*CFGRECT!$S$10</f>
        <v>0</v>
      </c>
      <c r="M859" s="53">
        <f>P859*CFGRECT!$T$10</f>
        <v>0</v>
      </c>
      <c r="N859" s="26"/>
      <c r="O859" s="227"/>
      <c r="P859" s="227"/>
      <c r="Q859" s="26"/>
      <c r="R859" s="26"/>
      <c r="S859" s="26"/>
      <c r="T859" s="26"/>
    </row>
    <row r="860" spans="6:20">
      <c r="F860" s="49"/>
      <c r="G860" s="49"/>
      <c r="H860" s="51" t="str">
        <f t="shared" si="14"/>
        <v/>
      </c>
      <c r="I860" s="49"/>
      <c r="J860" s="49"/>
      <c r="K860" s="49"/>
      <c r="L860" s="53">
        <f>O860*CFGRECT!$S$10</f>
        <v>0</v>
      </c>
      <c r="M860" s="53">
        <f>P860*CFGRECT!$T$10</f>
        <v>0</v>
      </c>
      <c r="N860" s="26"/>
      <c r="O860" s="227"/>
      <c r="P860" s="227"/>
      <c r="Q860" s="26"/>
      <c r="R860" s="26"/>
      <c r="S860" s="26"/>
      <c r="T860" s="26"/>
    </row>
    <row r="861" spans="6:20">
      <c r="F861" s="49"/>
      <c r="G861" s="49"/>
      <c r="H861" s="51" t="str">
        <f t="shared" si="14"/>
        <v/>
      </c>
      <c r="I861" s="49"/>
      <c r="J861" s="49"/>
      <c r="K861" s="49"/>
      <c r="L861" s="53">
        <f>O861*CFGRECT!$S$10</f>
        <v>0</v>
      </c>
      <c r="M861" s="53">
        <f>P861*CFGRECT!$T$10</f>
        <v>0</v>
      </c>
      <c r="N861" s="26"/>
      <c r="O861" s="227"/>
      <c r="P861" s="227"/>
      <c r="Q861" s="26"/>
      <c r="R861" s="26"/>
      <c r="S861" s="26"/>
      <c r="T861" s="26"/>
    </row>
    <row r="862" spans="6:20">
      <c r="F862" s="49"/>
      <c r="G862" s="49"/>
      <c r="H862" s="51" t="str">
        <f t="shared" si="14"/>
        <v/>
      </c>
      <c r="I862" s="49"/>
      <c r="J862" s="49"/>
      <c r="K862" s="49"/>
      <c r="L862" s="53">
        <f>O862*CFGRECT!$S$10</f>
        <v>0</v>
      </c>
      <c r="M862" s="53">
        <f>P862*CFGRECT!$T$10</f>
        <v>0</v>
      </c>
      <c r="N862" s="26"/>
      <c r="O862" s="227"/>
      <c r="P862" s="227"/>
      <c r="Q862" s="26"/>
      <c r="R862" s="26"/>
      <c r="S862" s="26"/>
      <c r="T862" s="26"/>
    </row>
    <row r="863" spans="6:20">
      <c r="F863" s="49"/>
      <c r="G863" s="49"/>
      <c r="H863" s="51" t="str">
        <f t="shared" si="14"/>
        <v/>
      </c>
      <c r="I863" s="49"/>
      <c r="J863" s="49"/>
      <c r="K863" s="49"/>
      <c r="L863" s="53">
        <f>O863*CFGRECT!$S$10</f>
        <v>0</v>
      </c>
      <c r="M863" s="53">
        <f>P863*CFGRECT!$T$10</f>
        <v>0</v>
      </c>
      <c r="N863" s="26"/>
      <c r="O863" s="227"/>
      <c r="P863" s="227"/>
      <c r="Q863" s="26"/>
      <c r="R863" s="26"/>
      <c r="S863" s="26"/>
      <c r="T863" s="26"/>
    </row>
    <row r="864" spans="6:20">
      <c r="F864" s="49"/>
      <c r="G864" s="49"/>
      <c r="H864" s="51" t="str">
        <f t="shared" si="14"/>
        <v/>
      </c>
      <c r="I864" s="49"/>
      <c r="J864" s="49"/>
      <c r="K864" s="49"/>
      <c r="L864" s="53">
        <f>O864*CFGRECT!$S$10</f>
        <v>0</v>
      </c>
      <c r="M864" s="53">
        <f>P864*CFGRECT!$T$10</f>
        <v>0</v>
      </c>
      <c r="N864" s="26"/>
      <c r="O864" s="227"/>
      <c r="P864" s="227"/>
      <c r="Q864" s="26"/>
      <c r="R864" s="26"/>
      <c r="S864" s="26"/>
      <c r="T864" s="26"/>
    </row>
    <row r="865" spans="6:20">
      <c r="F865" s="49"/>
      <c r="G865" s="49"/>
      <c r="H865" s="51" t="str">
        <f t="shared" si="14"/>
        <v/>
      </c>
      <c r="I865" s="49"/>
      <c r="J865" s="49"/>
      <c r="K865" s="49"/>
      <c r="L865" s="53">
        <f>O865*CFGRECT!$S$10</f>
        <v>0</v>
      </c>
      <c r="M865" s="53">
        <f>P865*CFGRECT!$T$10</f>
        <v>0</v>
      </c>
      <c r="N865" s="26"/>
      <c r="O865" s="227"/>
      <c r="P865" s="227"/>
      <c r="Q865" s="26"/>
      <c r="R865" s="26"/>
      <c r="S865" s="26"/>
      <c r="T865" s="26"/>
    </row>
    <row r="866" spans="6:20">
      <c r="F866" s="49"/>
      <c r="G866" s="49"/>
      <c r="H866" s="51" t="str">
        <f t="shared" si="14"/>
        <v/>
      </c>
      <c r="I866" s="49"/>
      <c r="J866" s="49"/>
      <c r="K866" s="49"/>
      <c r="L866" s="53">
        <f>O866*CFGRECT!$S$10</f>
        <v>0</v>
      </c>
      <c r="M866" s="53">
        <f>P866*CFGRECT!$T$10</f>
        <v>0</v>
      </c>
      <c r="N866" s="26"/>
      <c r="O866" s="227"/>
      <c r="P866" s="227"/>
      <c r="Q866" s="26"/>
      <c r="R866" s="26"/>
      <c r="S866" s="26"/>
      <c r="T866" s="26"/>
    </row>
    <row r="867" spans="6:20">
      <c r="F867" s="49"/>
      <c r="G867" s="49"/>
      <c r="H867" s="51" t="str">
        <f t="shared" si="14"/>
        <v/>
      </c>
      <c r="I867" s="49"/>
      <c r="J867" s="49"/>
      <c r="K867" s="49"/>
      <c r="L867" s="53">
        <f>O867*CFGRECT!$S$10</f>
        <v>0</v>
      </c>
      <c r="M867" s="53">
        <f>P867*CFGRECT!$T$10</f>
        <v>0</v>
      </c>
      <c r="N867" s="26"/>
      <c r="O867" s="227"/>
      <c r="P867" s="227"/>
      <c r="Q867" s="26"/>
      <c r="R867" s="26"/>
      <c r="S867" s="26"/>
      <c r="T867" s="26"/>
    </row>
    <row r="868" spans="6:20">
      <c r="F868" s="49"/>
      <c r="G868" s="49"/>
      <c r="H868" s="51" t="str">
        <f t="shared" si="14"/>
        <v/>
      </c>
      <c r="I868" s="49"/>
      <c r="J868" s="49"/>
      <c r="K868" s="49"/>
      <c r="L868" s="53">
        <f>O868*CFGRECT!$S$10</f>
        <v>0</v>
      </c>
      <c r="M868" s="53">
        <f>P868*CFGRECT!$T$10</f>
        <v>0</v>
      </c>
      <c r="N868" s="26"/>
      <c r="O868" s="227"/>
      <c r="P868" s="227"/>
      <c r="Q868" s="26"/>
      <c r="R868" s="26"/>
      <c r="S868" s="26"/>
      <c r="T868" s="26"/>
    </row>
    <row r="869" spans="6:20">
      <c r="F869" s="49"/>
      <c r="G869" s="49"/>
      <c r="H869" s="51" t="str">
        <f t="shared" si="14"/>
        <v/>
      </c>
      <c r="I869" s="49"/>
      <c r="J869" s="49"/>
      <c r="K869" s="49"/>
      <c r="L869" s="53">
        <f>O869*CFGRECT!$S$10</f>
        <v>0</v>
      </c>
      <c r="M869" s="53">
        <f>P869*CFGRECT!$T$10</f>
        <v>0</v>
      </c>
      <c r="N869" s="26"/>
      <c r="O869" s="227"/>
      <c r="P869" s="227"/>
      <c r="Q869" s="26"/>
      <c r="R869" s="26"/>
      <c r="S869" s="26"/>
      <c r="T869" s="26"/>
    </row>
    <row r="870" spans="6:20">
      <c r="F870" s="49"/>
      <c r="G870" s="49"/>
      <c r="H870" s="51" t="str">
        <f t="shared" si="14"/>
        <v/>
      </c>
      <c r="I870" s="49"/>
      <c r="J870" s="49"/>
      <c r="K870" s="49"/>
      <c r="L870" s="53">
        <f>O870*CFGRECT!$S$10</f>
        <v>0</v>
      </c>
      <c r="M870" s="53">
        <f>P870*CFGRECT!$T$10</f>
        <v>0</v>
      </c>
      <c r="N870" s="26"/>
      <c r="O870" s="227"/>
      <c r="P870" s="227"/>
      <c r="Q870" s="26"/>
      <c r="R870" s="26"/>
      <c r="S870" s="26"/>
      <c r="T870" s="26"/>
    </row>
    <row r="871" spans="6:20">
      <c r="F871" s="49"/>
      <c r="G871" s="49"/>
      <c r="H871" s="51" t="str">
        <f t="shared" si="14"/>
        <v/>
      </c>
      <c r="I871" s="49"/>
      <c r="J871" s="49"/>
      <c r="K871" s="49"/>
      <c r="L871" s="53">
        <f>O871*CFGRECT!$S$10</f>
        <v>0</v>
      </c>
      <c r="M871" s="53">
        <f>P871*CFGRECT!$T$10</f>
        <v>0</v>
      </c>
      <c r="N871" s="26"/>
      <c r="O871" s="227"/>
      <c r="P871" s="227"/>
      <c r="Q871" s="26"/>
      <c r="R871" s="26"/>
      <c r="S871" s="26"/>
      <c r="T871" s="26"/>
    </row>
    <row r="872" spans="6:20">
      <c r="F872" s="49"/>
      <c r="G872" s="49"/>
      <c r="H872" s="51" t="str">
        <f t="shared" si="14"/>
        <v/>
      </c>
      <c r="I872" s="49"/>
      <c r="J872" s="49"/>
      <c r="K872" s="49"/>
      <c r="L872" s="53">
        <f>O872*CFGRECT!$S$10</f>
        <v>0</v>
      </c>
      <c r="M872" s="53">
        <f>P872*CFGRECT!$T$10</f>
        <v>0</v>
      </c>
      <c r="N872" s="26"/>
      <c r="O872" s="227"/>
      <c r="P872" s="227"/>
      <c r="Q872" s="26"/>
      <c r="R872" s="26"/>
      <c r="S872" s="26"/>
      <c r="T872" s="26"/>
    </row>
    <row r="873" spans="6:20">
      <c r="F873" s="49"/>
      <c r="G873" s="49"/>
      <c r="H873" s="51" t="str">
        <f t="shared" si="14"/>
        <v/>
      </c>
      <c r="I873" s="49"/>
      <c r="J873" s="49"/>
      <c r="K873" s="49"/>
      <c r="L873" s="53">
        <f>O873*CFGRECT!$S$10</f>
        <v>0</v>
      </c>
      <c r="M873" s="53">
        <f>P873*CFGRECT!$T$10</f>
        <v>0</v>
      </c>
      <c r="N873" s="26"/>
      <c r="O873" s="227"/>
      <c r="P873" s="227"/>
      <c r="Q873" s="26"/>
      <c r="R873" s="26"/>
      <c r="S873" s="26"/>
      <c r="T873" s="26"/>
    </row>
    <row r="874" spans="6:20">
      <c r="F874" s="49"/>
      <c r="G874" s="49"/>
      <c r="H874" s="51" t="str">
        <f t="shared" si="14"/>
        <v/>
      </c>
      <c r="I874" s="49"/>
      <c r="J874" s="49"/>
      <c r="K874" s="49"/>
      <c r="L874" s="53">
        <f>O874*CFGRECT!$S$10</f>
        <v>0</v>
      </c>
      <c r="M874" s="53">
        <f>P874*CFGRECT!$T$10</f>
        <v>0</v>
      </c>
      <c r="N874" s="26"/>
      <c r="O874" s="227"/>
      <c r="P874" s="227"/>
      <c r="Q874" s="26"/>
      <c r="R874" s="26"/>
      <c r="S874" s="26"/>
      <c r="T874" s="26"/>
    </row>
    <row r="875" spans="6:20">
      <c r="F875" s="49"/>
      <c r="G875" s="49"/>
      <c r="H875" s="51" t="str">
        <f t="shared" si="14"/>
        <v/>
      </c>
      <c r="I875" s="49"/>
      <c r="J875" s="49"/>
      <c r="K875" s="49"/>
      <c r="L875" s="53">
        <f>O875*CFGRECT!$S$10</f>
        <v>0</v>
      </c>
      <c r="M875" s="53">
        <f>P875*CFGRECT!$T$10</f>
        <v>0</v>
      </c>
      <c r="N875" s="26"/>
      <c r="O875" s="227"/>
      <c r="P875" s="227"/>
      <c r="Q875" s="26"/>
      <c r="R875" s="26"/>
      <c r="S875" s="26"/>
      <c r="T875" s="26"/>
    </row>
    <row r="876" spans="6:20">
      <c r="F876" s="49"/>
      <c r="G876" s="49"/>
      <c r="H876" s="51" t="str">
        <f t="shared" si="14"/>
        <v/>
      </c>
      <c r="I876" s="49"/>
      <c r="J876" s="49"/>
      <c r="K876" s="49"/>
      <c r="L876" s="53">
        <f>O876*CFGRECT!$S$10</f>
        <v>0</v>
      </c>
      <c r="M876" s="53">
        <f>P876*CFGRECT!$T$10</f>
        <v>0</v>
      </c>
      <c r="N876" s="26"/>
      <c r="O876" s="227"/>
      <c r="P876" s="227"/>
      <c r="Q876" s="26"/>
      <c r="R876" s="26"/>
      <c r="S876" s="26"/>
      <c r="T876" s="26"/>
    </row>
    <row r="877" spans="6:20">
      <c r="F877" s="49"/>
      <c r="G877" s="49"/>
      <c r="H877" s="51" t="str">
        <f t="shared" si="14"/>
        <v/>
      </c>
      <c r="I877" s="49"/>
      <c r="J877" s="49"/>
      <c r="K877" s="49"/>
      <c r="L877" s="53">
        <f>O877*CFGRECT!$S$10</f>
        <v>0</v>
      </c>
      <c r="M877" s="53">
        <f>P877*CFGRECT!$T$10</f>
        <v>0</v>
      </c>
      <c r="N877" s="26"/>
      <c r="O877" s="227"/>
      <c r="P877" s="227"/>
      <c r="Q877" s="26"/>
      <c r="R877" s="26"/>
      <c r="S877" s="26"/>
      <c r="T877" s="26"/>
    </row>
    <row r="878" spans="6:20">
      <c r="F878" s="49"/>
      <c r="G878" s="49"/>
      <c r="H878" s="51" t="str">
        <f t="shared" si="14"/>
        <v/>
      </c>
      <c r="I878" s="49"/>
      <c r="J878" s="49"/>
      <c r="K878" s="49"/>
      <c r="L878" s="53">
        <f>O878*CFGRECT!$S$10</f>
        <v>0</v>
      </c>
      <c r="M878" s="53">
        <f>P878*CFGRECT!$T$10</f>
        <v>0</v>
      </c>
      <c r="N878" s="26"/>
      <c r="O878" s="227"/>
      <c r="P878" s="227"/>
      <c r="Q878" s="26"/>
      <c r="R878" s="26"/>
      <c r="S878" s="26"/>
      <c r="T878" s="26"/>
    </row>
    <row r="879" spans="6:20">
      <c r="F879" s="49"/>
      <c r="G879" s="49"/>
      <c r="H879" s="51" t="str">
        <f t="shared" si="14"/>
        <v/>
      </c>
      <c r="I879" s="49"/>
      <c r="J879" s="49"/>
      <c r="K879" s="49"/>
      <c r="L879" s="53">
        <f>O879*CFGRECT!$S$10</f>
        <v>0</v>
      </c>
      <c r="M879" s="53">
        <f>P879*CFGRECT!$T$10</f>
        <v>0</v>
      </c>
      <c r="N879" s="26"/>
      <c r="O879" s="227"/>
      <c r="P879" s="227"/>
      <c r="Q879" s="26"/>
      <c r="R879" s="26"/>
      <c r="S879" s="26"/>
      <c r="T879" s="26"/>
    </row>
    <row r="880" spans="6:20">
      <c r="F880" s="49"/>
      <c r="G880" s="49"/>
      <c r="H880" s="51" t="str">
        <f t="shared" si="14"/>
        <v/>
      </c>
      <c r="I880" s="49"/>
      <c r="J880" s="49"/>
      <c r="K880" s="49"/>
      <c r="L880" s="53">
        <f>O880*CFGRECT!$S$10</f>
        <v>0</v>
      </c>
      <c r="M880" s="53">
        <f>P880*CFGRECT!$T$10</f>
        <v>0</v>
      </c>
      <c r="N880" s="26"/>
      <c r="O880" s="227"/>
      <c r="P880" s="227"/>
      <c r="Q880" s="26"/>
      <c r="R880" s="26"/>
      <c r="S880" s="26"/>
      <c r="T880" s="26"/>
    </row>
    <row r="881" spans="6:20">
      <c r="F881" s="49"/>
      <c r="G881" s="49"/>
      <c r="H881" s="51" t="str">
        <f t="shared" si="14"/>
        <v/>
      </c>
      <c r="I881" s="49"/>
      <c r="J881" s="49"/>
      <c r="K881" s="49"/>
      <c r="L881" s="53">
        <f>O881*CFGRECT!$S$10</f>
        <v>0</v>
      </c>
      <c r="M881" s="53">
        <f>P881*CFGRECT!$T$10</f>
        <v>0</v>
      </c>
      <c r="N881" s="26"/>
      <c r="O881" s="227"/>
      <c r="P881" s="227"/>
      <c r="Q881" s="26"/>
      <c r="R881" s="26"/>
      <c r="S881" s="26"/>
      <c r="T881" s="26"/>
    </row>
    <row r="882" spans="6:20">
      <c r="F882" s="49"/>
      <c r="G882" s="49"/>
      <c r="H882" s="51" t="str">
        <f t="shared" si="14"/>
        <v/>
      </c>
      <c r="I882" s="49"/>
      <c r="J882" s="49"/>
      <c r="K882" s="49"/>
      <c r="L882" s="53">
        <f>O882*CFGRECT!$S$10</f>
        <v>0</v>
      </c>
      <c r="M882" s="53">
        <f>P882*CFGRECT!$T$10</f>
        <v>0</v>
      </c>
      <c r="N882" s="26"/>
      <c r="O882" s="227"/>
      <c r="P882" s="227"/>
      <c r="Q882" s="26"/>
      <c r="R882" s="26"/>
      <c r="S882" s="26"/>
      <c r="T882" s="26"/>
    </row>
    <row r="883" spans="6:20">
      <c r="F883" s="49"/>
      <c r="G883" s="49"/>
      <c r="H883" s="51" t="str">
        <f t="shared" si="14"/>
        <v/>
      </c>
      <c r="I883" s="49"/>
      <c r="J883" s="49"/>
      <c r="K883" s="49"/>
      <c r="L883" s="53">
        <f>O883*CFGRECT!$S$10</f>
        <v>0</v>
      </c>
      <c r="M883" s="53">
        <f>P883*CFGRECT!$T$10</f>
        <v>0</v>
      </c>
      <c r="N883" s="26"/>
      <c r="O883" s="227"/>
      <c r="P883" s="227"/>
      <c r="Q883" s="26"/>
      <c r="R883" s="26"/>
      <c r="S883" s="26"/>
      <c r="T883" s="26"/>
    </row>
    <row r="884" spans="6:20">
      <c r="F884" s="49"/>
      <c r="G884" s="49"/>
      <c r="H884" s="51" t="str">
        <f t="shared" si="14"/>
        <v/>
      </c>
      <c r="I884" s="49"/>
      <c r="J884" s="49"/>
      <c r="K884" s="49"/>
      <c r="L884" s="53">
        <f>O884*CFGRECT!$S$10</f>
        <v>0</v>
      </c>
      <c r="M884" s="53">
        <f>P884*CFGRECT!$T$10</f>
        <v>0</v>
      </c>
      <c r="N884" s="26"/>
      <c r="O884" s="227"/>
      <c r="P884" s="227"/>
      <c r="Q884" s="26"/>
      <c r="R884" s="26"/>
      <c r="S884" s="26"/>
      <c r="T884" s="26"/>
    </row>
    <row r="885" spans="6:20">
      <c r="F885" s="49"/>
      <c r="G885" s="49"/>
      <c r="H885" s="51" t="str">
        <f t="shared" si="14"/>
        <v/>
      </c>
      <c r="I885" s="49"/>
      <c r="J885" s="49"/>
      <c r="K885" s="49"/>
      <c r="L885" s="53">
        <f>O885*CFGRECT!$S$10</f>
        <v>0</v>
      </c>
      <c r="M885" s="53">
        <f>P885*CFGRECT!$T$10</f>
        <v>0</v>
      </c>
      <c r="N885" s="26"/>
      <c r="O885" s="227"/>
      <c r="P885" s="227"/>
      <c r="Q885" s="26"/>
      <c r="R885" s="26"/>
      <c r="S885" s="26"/>
      <c r="T885" s="26"/>
    </row>
    <row r="886" spans="6:20">
      <c r="F886" s="49"/>
      <c r="G886" s="49"/>
      <c r="H886" s="51" t="str">
        <f t="shared" si="14"/>
        <v/>
      </c>
      <c r="I886" s="49"/>
      <c r="J886" s="49"/>
      <c r="K886" s="49"/>
      <c r="L886" s="53">
        <f>O886*CFGRECT!$S$10</f>
        <v>0</v>
      </c>
      <c r="M886" s="53">
        <f>P886*CFGRECT!$T$10</f>
        <v>0</v>
      </c>
      <c r="N886" s="26"/>
      <c r="O886" s="227"/>
      <c r="P886" s="227"/>
      <c r="Q886" s="26"/>
      <c r="R886" s="26"/>
      <c r="S886" s="26"/>
      <c r="T886" s="26"/>
    </row>
    <row r="887" spans="6:20">
      <c r="F887" s="49"/>
      <c r="G887" s="49"/>
      <c r="H887" s="51" t="str">
        <f t="shared" si="14"/>
        <v/>
      </c>
      <c r="I887" s="49"/>
      <c r="J887" s="49"/>
      <c r="K887" s="49"/>
      <c r="L887" s="53">
        <f>O887*CFGRECT!$S$10</f>
        <v>0</v>
      </c>
      <c r="M887" s="53">
        <f>P887*CFGRECT!$T$10</f>
        <v>0</v>
      </c>
      <c r="N887" s="26"/>
      <c r="O887" s="227"/>
      <c r="P887" s="227"/>
      <c r="Q887" s="26"/>
      <c r="R887" s="26"/>
      <c r="S887" s="26"/>
      <c r="T887" s="26"/>
    </row>
    <row r="888" spans="6:20">
      <c r="F888" s="49"/>
      <c r="G888" s="49"/>
      <c r="H888" s="51" t="str">
        <f t="shared" si="14"/>
        <v/>
      </c>
      <c r="I888" s="49"/>
      <c r="J888" s="49"/>
      <c r="K888" s="49"/>
      <c r="L888" s="53">
        <f>O888*CFGRECT!$S$10</f>
        <v>0</v>
      </c>
      <c r="M888" s="53">
        <f>P888*CFGRECT!$T$10</f>
        <v>0</v>
      </c>
      <c r="N888" s="26"/>
      <c r="O888" s="227"/>
      <c r="P888" s="227"/>
      <c r="Q888" s="26"/>
      <c r="R888" s="26"/>
      <c r="S888" s="26"/>
      <c r="T888" s="26"/>
    </row>
    <row r="889" spans="6:20">
      <c r="F889" s="49"/>
      <c r="G889" s="49"/>
      <c r="H889" s="51" t="str">
        <f t="shared" si="14"/>
        <v/>
      </c>
      <c r="I889" s="49"/>
      <c r="J889" s="49"/>
      <c r="K889" s="49"/>
      <c r="L889" s="53">
        <f>O889*CFGRECT!$S$10</f>
        <v>0</v>
      </c>
      <c r="M889" s="53">
        <f>P889*CFGRECT!$T$10</f>
        <v>0</v>
      </c>
      <c r="N889" s="26"/>
      <c r="O889" s="227"/>
      <c r="P889" s="227"/>
      <c r="Q889" s="26"/>
      <c r="R889" s="26"/>
      <c r="S889" s="26"/>
      <c r="T889" s="26"/>
    </row>
    <row r="890" spans="6:20">
      <c r="F890" s="49"/>
      <c r="G890" s="49"/>
      <c r="H890" s="51" t="str">
        <f t="shared" si="14"/>
        <v/>
      </c>
      <c r="I890" s="49"/>
      <c r="J890" s="49"/>
      <c r="K890" s="49"/>
      <c r="L890" s="53">
        <f>O890*CFGRECT!$S$10</f>
        <v>0</v>
      </c>
      <c r="M890" s="53">
        <f>P890*CFGRECT!$T$10</f>
        <v>0</v>
      </c>
      <c r="N890" s="26"/>
      <c r="O890" s="227"/>
      <c r="P890" s="227"/>
      <c r="Q890" s="26"/>
      <c r="R890" s="26"/>
      <c r="S890" s="26"/>
      <c r="T890" s="26"/>
    </row>
    <row r="891" spans="6:20">
      <c r="F891" s="49"/>
      <c r="G891" s="49"/>
      <c r="H891" s="51" t="str">
        <f t="shared" si="14"/>
        <v/>
      </c>
      <c r="I891" s="49"/>
      <c r="J891" s="49"/>
      <c r="K891" s="49"/>
      <c r="L891" s="53">
        <f>O891*CFGRECT!$S$10</f>
        <v>0</v>
      </c>
      <c r="M891" s="53">
        <f>P891*CFGRECT!$T$10</f>
        <v>0</v>
      </c>
      <c r="N891" s="26"/>
      <c r="O891" s="227"/>
      <c r="P891" s="227"/>
      <c r="Q891" s="26"/>
      <c r="R891" s="26"/>
      <c r="S891" s="26"/>
      <c r="T891" s="26"/>
    </row>
    <row r="892" spans="6:20">
      <c r="F892" s="49"/>
      <c r="G892" s="49"/>
      <c r="H892" s="51" t="str">
        <f t="shared" si="14"/>
        <v/>
      </c>
      <c r="I892" s="49"/>
      <c r="J892" s="49"/>
      <c r="K892" s="49"/>
      <c r="L892" s="53">
        <f>O892*CFGRECT!$S$10</f>
        <v>0</v>
      </c>
      <c r="M892" s="53">
        <f>P892*CFGRECT!$T$10</f>
        <v>0</v>
      </c>
      <c r="N892" s="26"/>
      <c r="O892" s="227"/>
      <c r="P892" s="227"/>
      <c r="Q892" s="26"/>
      <c r="R892" s="26"/>
      <c r="S892" s="26"/>
      <c r="T892" s="26"/>
    </row>
    <row r="893" spans="6:20">
      <c r="F893" s="49"/>
      <c r="G893" s="49"/>
      <c r="H893" s="51" t="str">
        <f t="shared" si="14"/>
        <v/>
      </c>
      <c r="I893" s="49"/>
      <c r="J893" s="49"/>
      <c r="K893" s="49"/>
      <c r="L893" s="53">
        <f>O893*CFGRECT!$S$10</f>
        <v>0</v>
      </c>
      <c r="M893" s="53">
        <f>P893*CFGRECT!$T$10</f>
        <v>0</v>
      </c>
      <c r="N893" s="26"/>
      <c r="O893" s="227"/>
      <c r="P893" s="227"/>
      <c r="Q893" s="26"/>
      <c r="R893" s="26"/>
      <c r="S893" s="26"/>
      <c r="T893" s="26"/>
    </row>
    <row r="894" spans="6:20">
      <c r="F894" s="49"/>
      <c r="G894" s="49"/>
      <c r="H894" s="51" t="str">
        <f t="shared" si="14"/>
        <v/>
      </c>
      <c r="I894" s="49"/>
      <c r="J894" s="49"/>
      <c r="K894" s="49"/>
      <c r="L894" s="53">
        <f>O894*CFGRECT!$S$10</f>
        <v>0</v>
      </c>
      <c r="M894" s="53">
        <f>P894*CFGRECT!$T$10</f>
        <v>0</v>
      </c>
      <c r="N894" s="26"/>
      <c r="O894" s="227"/>
      <c r="P894" s="227"/>
      <c r="Q894" s="26"/>
      <c r="R894" s="26"/>
      <c r="S894" s="26"/>
      <c r="T894" s="26"/>
    </row>
    <row r="895" spans="6:20">
      <c r="F895" s="49"/>
      <c r="G895" s="49"/>
      <c r="H895" s="51" t="str">
        <f t="shared" si="14"/>
        <v/>
      </c>
      <c r="I895" s="49"/>
      <c r="J895" s="49"/>
      <c r="K895" s="49"/>
      <c r="L895" s="53">
        <f>O895*CFGRECT!$S$10</f>
        <v>0</v>
      </c>
      <c r="M895" s="53">
        <f>P895*CFGRECT!$T$10</f>
        <v>0</v>
      </c>
      <c r="N895" s="26"/>
      <c r="O895" s="227"/>
      <c r="P895" s="227"/>
      <c r="Q895" s="26"/>
      <c r="R895" s="26"/>
      <c r="S895" s="26"/>
      <c r="T895" s="26"/>
    </row>
    <row r="896" spans="6:20">
      <c r="F896" s="49"/>
      <c r="G896" s="49"/>
      <c r="H896" s="51" t="str">
        <f t="shared" si="14"/>
        <v/>
      </c>
      <c r="I896" s="49"/>
      <c r="J896" s="49"/>
      <c r="K896" s="49"/>
      <c r="L896" s="53">
        <f>O896*CFGRECT!$S$10</f>
        <v>0</v>
      </c>
      <c r="M896" s="53">
        <f>P896*CFGRECT!$T$10</f>
        <v>0</v>
      </c>
      <c r="N896" s="26"/>
      <c r="O896" s="227"/>
      <c r="P896" s="227"/>
      <c r="Q896" s="26"/>
      <c r="R896" s="26"/>
      <c r="S896" s="26"/>
      <c r="T896" s="26"/>
    </row>
    <row r="897" spans="6:20">
      <c r="F897" s="49"/>
      <c r="G897" s="49"/>
      <c r="H897" s="51" t="str">
        <f t="shared" si="14"/>
        <v/>
      </c>
      <c r="I897" s="49"/>
      <c r="J897" s="49"/>
      <c r="K897" s="49"/>
      <c r="L897" s="53">
        <f>O897*CFGRECT!$S$10</f>
        <v>0</v>
      </c>
      <c r="M897" s="53">
        <f>P897*CFGRECT!$T$10</f>
        <v>0</v>
      </c>
      <c r="N897" s="26"/>
      <c r="O897" s="227"/>
      <c r="P897" s="227"/>
      <c r="Q897" s="26"/>
      <c r="R897" s="26"/>
      <c r="S897" s="26"/>
      <c r="T897" s="26"/>
    </row>
    <row r="898" spans="6:20">
      <c r="F898" s="49"/>
      <c r="G898" s="49"/>
      <c r="H898" s="51" t="str">
        <f t="shared" si="14"/>
        <v/>
      </c>
      <c r="I898" s="49"/>
      <c r="J898" s="49"/>
      <c r="K898" s="49"/>
      <c r="L898" s="53">
        <f>O898*CFGRECT!$S$10</f>
        <v>0</v>
      </c>
      <c r="M898" s="53">
        <f>P898*CFGRECT!$T$10</f>
        <v>0</v>
      </c>
      <c r="N898" s="26"/>
      <c r="O898" s="227"/>
      <c r="P898" s="227"/>
      <c r="Q898" s="26"/>
      <c r="R898" s="26"/>
      <c r="S898" s="26"/>
      <c r="T898" s="26"/>
    </row>
    <row r="899" spans="6:20">
      <c r="F899" s="49"/>
      <c r="G899" s="49"/>
      <c r="H899" s="51" t="str">
        <f t="shared" si="14"/>
        <v/>
      </c>
      <c r="I899" s="49"/>
      <c r="J899" s="49"/>
      <c r="K899" s="49"/>
      <c r="L899" s="53">
        <f>O899*CFGRECT!$S$10</f>
        <v>0</v>
      </c>
      <c r="M899" s="53">
        <f>P899*CFGRECT!$T$10</f>
        <v>0</v>
      </c>
      <c r="N899" s="26"/>
      <c r="O899" s="227"/>
      <c r="P899" s="227"/>
      <c r="Q899" s="26"/>
      <c r="R899" s="26"/>
      <c r="S899" s="26"/>
      <c r="T899" s="26"/>
    </row>
    <row r="900" spans="6:20">
      <c r="F900" s="49"/>
      <c r="G900" s="49"/>
      <c r="H900" s="51" t="str">
        <f t="shared" si="14"/>
        <v/>
      </c>
      <c r="I900" s="49"/>
      <c r="J900" s="49"/>
      <c r="K900" s="49"/>
      <c r="L900" s="53">
        <f>O900*CFGRECT!$S$10</f>
        <v>0</v>
      </c>
      <c r="M900" s="53">
        <f>P900*CFGRECT!$T$10</f>
        <v>0</v>
      </c>
      <c r="N900" s="26"/>
      <c r="O900" s="227"/>
      <c r="P900" s="227"/>
      <c r="Q900" s="26"/>
      <c r="R900" s="26"/>
      <c r="S900" s="26"/>
      <c r="T900" s="26"/>
    </row>
    <row r="901" spans="6:20">
      <c r="F901" s="49"/>
      <c r="G901" s="49"/>
      <c r="H901" s="51" t="str">
        <f t="shared" si="14"/>
        <v/>
      </c>
      <c r="I901" s="49"/>
      <c r="J901" s="49"/>
      <c r="K901" s="49"/>
      <c r="L901" s="53">
        <f>O901*CFGRECT!$S$10</f>
        <v>0</v>
      </c>
      <c r="M901" s="53">
        <f>P901*CFGRECT!$T$10</f>
        <v>0</v>
      </c>
      <c r="N901" s="26"/>
      <c r="O901" s="227"/>
      <c r="P901" s="227"/>
      <c r="Q901" s="26"/>
      <c r="R901" s="26"/>
      <c r="S901" s="26"/>
      <c r="T901" s="26"/>
    </row>
    <row r="902" spans="6:20">
      <c r="F902" s="49"/>
      <c r="G902" s="49"/>
      <c r="H902" s="51" t="str">
        <f t="shared" si="14"/>
        <v/>
      </c>
      <c r="I902" s="49"/>
      <c r="J902" s="49"/>
      <c r="K902" s="49"/>
      <c r="L902" s="53">
        <f>O902*CFGRECT!$S$10</f>
        <v>0</v>
      </c>
      <c r="M902" s="53">
        <f>P902*CFGRECT!$T$10</f>
        <v>0</v>
      </c>
      <c r="N902" s="26"/>
      <c r="O902" s="227"/>
      <c r="P902" s="227"/>
      <c r="Q902" s="26"/>
      <c r="R902" s="26"/>
      <c r="S902" s="26"/>
      <c r="T902" s="26"/>
    </row>
    <row r="903" spans="6:20">
      <c r="F903" s="49"/>
      <c r="G903" s="49"/>
      <c r="H903" s="51" t="str">
        <f t="shared" si="14"/>
        <v/>
      </c>
      <c r="I903" s="49"/>
      <c r="J903" s="49"/>
      <c r="K903" s="49"/>
      <c r="L903" s="53">
        <f>O903*CFGRECT!$S$10</f>
        <v>0</v>
      </c>
      <c r="M903" s="53">
        <f>P903*CFGRECT!$T$10</f>
        <v>0</v>
      </c>
      <c r="N903" s="26"/>
      <c r="O903" s="227"/>
      <c r="P903" s="227"/>
      <c r="Q903" s="26"/>
      <c r="R903" s="26"/>
      <c r="S903" s="26"/>
      <c r="T903" s="26"/>
    </row>
    <row r="904" spans="6:20">
      <c r="F904" s="49"/>
      <c r="G904" s="49"/>
      <c r="H904" s="51" t="str">
        <f t="shared" si="14"/>
        <v/>
      </c>
      <c r="I904" s="49"/>
      <c r="J904" s="49"/>
      <c r="K904" s="49"/>
      <c r="L904" s="53">
        <f>O904*CFGRECT!$S$10</f>
        <v>0</v>
      </c>
      <c r="M904" s="53">
        <f>P904*CFGRECT!$T$10</f>
        <v>0</v>
      </c>
      <c r="N904" s="26"/>
      <c r="O904" s="227"/>
      <c r="P904" s="227"/>
      <c r="Q904" s="26"/>
      <c r="R904" s="26"/>
      <c r="S904" s="26"/>
      <c r="T904" s="26"/>
    </row>
    <row r="905" spans="6:20">
      <c r="F905" s="49"/>
      <c r="G905" s="49"/>
      <c r="H905" s="51" t="str">
        <f t="shared" si="14"/>
        <v/>
      </c>
      <c r="I905" s="49"/>
      <c r="J905" s="49"/>
      <c r="K905" s="49"/>
      <c r="L905" s="53">
        <f>O905*CFGRECT!$S$10</f>
        <v>0</v>
      </c>
      <c r="M905" s="53">
        <f>P905*CFGRECT!$T$10</f>
        <v>0</v>
      </c>
      <c r="N905" s="26"/>
      <c r="O905" s="227"/>
      <c r="P905" s="227"/>
      <c r="Q905" s="26"/>
      <c r="R905" s="26"/>
      <c r="S905" s="26"/>
      <c r="T905" s="26"/>
    </row>
    <row r="906" spans="6:20">
      <c r="F906" s="49"/>
      <c r="G906" s="49"/>
      <c r="H906" s="51" t="str">
        <f t="shared" si="14"/>
        <v/>
      </c>
      <c r="I906" s="49"/>
      <c r="J906" s="49"/>
      <c r="K906" s="49"/>
      <c r="L906" s="53">
        <f>O906*CFGRECT!$S$10</f>
        <v>0</v>
      </c>
      <c r="M906" s="53">
        <f>P906*CFGRECT!$T$10</f>
        <v>0</v>
      </c>
      <c r="N906" s="26"/>
      <c r="O906" s="227"/>
      <c r="P906" s="227"/>
      <c r="Q906" s="26"/>
      <c r="R906" s="26"/>
      <c r="S906" s="26"/>
      <c r="T906" s="26"/>
    </row>
    <row r="907" spans="6:20">
      <c r="F907" s="49"/>
      <c r="G907" s="49"/>
      <c r="H907" s="51" t="str">
        <f t="shared" si="14"/>
        <v/>
      </c>
      <c r="I907" s="49"/>
      <c r="J907" s="49"/>
      <c r="K907" s="49"/>
      <c r="L907" s="53">
        <f>O907*CFGRECT!$S$10</f>
        <v>0</v>
      </c>
      <c r="M907" s="53">
        <f>P907*CFGRECT!$T$10</f>
        <v>0</v>
      </c>
      <c r="N907" s="26"/>
      <c r="O907" s="227"/>
      <c r="P907" s="227"/>
      <c r="Q907" s="26"/>
      <c r="R907" s="26"/>
      <c r="S907" s="26"/>
      <c r="T907" s="26"/>
    </row>
    <row r="908" spans="6:20">
      <c r="F908" s="49"/>
      <c r="G908" s="49"/>
      <c r="H908" s="51" t="str">
        <f t="shared" si="14"/>
        <v/>
      </c>
      <c r="I908" s="49"/>
      <c r="J908" s="49"/>
      <c r="K908" s="49"/>
      <c r="L908" s="53">
        <f>O908*CFGRECT!$S$10</f>
        <v>0</v>
      </c>
      <c r="M908" s="53">
        <f>P908*CFGRECT!$T$10</f>
        <v>0</v>
      </c>
      <c r="N908" s="26"/>
      <c r="O908" s="227"/>
      <c r="P908" s="227"/>
      <c r="Q908" s="26"/>
      <c r="R908" s="26"/>
      <c r="S908" s="26"/>
      <c r="T908" s="26"/>
    </row>
    <row r="909" spans="6:20">
      <c r="F909" s="49"/>
      <c r="G909" s="49"/>
      <c r="H909" s="51" t="str">
        <f t="shared" si="14"/>
        <v/>
      </c>
      <c r="I909" s="49"/>
      <c r="J909" s="49"/>
      <c r="K909" s="49"/>
      <c r="L909" s="53">
        <f>O909*CFGRECT!$S$10</f>
        <v>0</v>
      </c>
      <c r="M909" s="53">
        <f>P909*CFGRECT!$T$10</f>
        <v>0</v>
      </c>
      <c r="N909" s="26"/>
      <c r="O909" s="227"/>
      <c r="P909" s="227"/>
      <c r="Q909" s="26"/>
      <c r="R909" s="26"/>
      <c r="S909" s="26"/>
      <c r="T909" s="26"/>
    </row>
    <row r="910" spans="6:20">
      <c r="F910" s="49"/>
      <c r="G910" s="49"/>
      <c r="H910" s="51" t="str">
        <f t="shared" si="14"/>
        <v/>
      </c>
      <c r="I910" s="49"/>
      <c r="J910" s="49"/>
      <c r="K910" s="49"/>
      <c r="L910" s="53">
        <f>O910*CFGRECT!$S$10</f>
        <v>0</v>
      </c>
      <c r="M910" s="53">
        <f>P910*CFGRECT!$T$10</f>
        <v>0</v>
      </c>
      <c r="N910" s="26"/>
      <c r="O910" s="227"/>
      <c r="P910" s="227"/>
      <c r="Q910" s="26"/>
      <c r="R910" s="26"/>
      <c r="S910" s="26"/>
      <c r="T910" s="26"/>
    </row>
    <row r="911" spans="6:20">
      <c r="F911" s="49"/>
      <c r="G911" s="49"/>
      <c r="H911" s="51" t="str">
        <f t="shared" si="14"/>
        <v/>
      </c>
      <c r="I911" s="49"/>
      <c r="J911" s="49"/>
      <c r="K911" s="49"/>
      <c r="L911" s="53">
        <f>O911*CFGRECT!$S$10</f>
        <v>0</v>
      </c>
      <c r="M911" s="53">
        <f>P911*CFGRECT!$T$10</f>
        <v>0</v>
      </c>
      <c r="N911" s="26"/>
      <c r="O911" s="227"/>
      <c r="P911" s="227"/>
      <c r="Q911" s="26"/>
      <c r="R911" s="26"/>
      <c r="S911" s="26"/>
      <c r="T911" s="26"/>
    </row>
    <row r="912" spans="6:20">
      <c r="F912" s="49"/>
      <c r="G912" s="49"/>
      <c r="H912" s="51" t="str">
        <f t="shared" si="14"/>
        <v/>
      </c>
      <c r="I912" s="49"/>
      <c r="J912" s="49"/>
      <c r="K912" s="49"/>
      <c r="L912" s="53">
        <f>O912*CFGRECT!$S$10</f>
        <v>0</v>
      </c>
      <c r="M912" s="53">
        <f>P912*CFGRECT!$T$10</f>
        <v>0</v>
      </c>
      <c r="N912" s="26"/>
      <c r="O912" s="227"/>
      <c r="P912" s="227"/>
      <c r="Q912" s="26"/>
      <c r="R912" s="26"/>
      <c r="S912" s="26"/>
      <c r="T912" s="26"/>
    </row>
    <row r="913" spans="6:20">
      <c r="F913" s="49"/>
      <c r="G913" s="49"/>
      <c r="H913" s="51" t="str">
        <f t="shared" ref="H913:H976" si="15">F913&amp;IF(G913="",""," - "&amp;G913)</f>
        <v/>
      </c>
      <c r="I913" s="49"/>
      <c r="J913" s="49"/>
      <c r="K913" s="49"/>
      <c r="L913" s="53">
        <f>O913*CFGRECT!$S$10</f>
        <v>0</v>
      </c>
      <c r="M913" s="53">
        <f>P913*CFGRECT!$T$10</f>
        <v>0</v>
      </c>
      <c r="N913" s="26"/>
      <c r="O913" s="227"/>
      <c r="P913" s="227"/>
      <c r="Q913" s="26"/>
      <c r="R913" s="26"/>
      <c r="S913" s="26"/>
      <c r="T913" s="26"/>
    </row>
    <row r="914" spans="6:20">
      <c r="F914" s="49"/>
      <c r="G914" s="49"/>
      <c r="H914" s="51" t="str">
        <f t="shared" si="15"/>
        <v/>
      </c>
      <c r="I914" s="49"/>
      <c r="J914" s="49"/>
      <c r="K914" s="49"/>
      <c r="L914" s="53">
        <f>O914*CFGRECT!$S$10</f>
        <v>0</v>
      </c>
      <c r="M914" s="53">
        <f>P914*CFGRECT!$T$10</f>
        <v>0</v>
      </c>
      <c r="N914" s="26"/>
      <c r="O914" s="227"/>
      <c r="P914" s="227"/>
      <c r="Q914" s="26"/>
      <c r="R914" s="26"/>
      <c r="S914" s="26"/>
      <c r="T914" s="26"/>
    </row>
    <row r="915" spans="6:20">
      <c r="F915" s="49"/>
      <c r="G915" s="49"/>
      <c r="H915" s="51" t="str">
        <f t="shared" si="15"/>
        <v/>
      </c>
      <c r="I915" s="49"/>
      <c r="J915" s="49"/>
      <c r="K915" s="49"/>
      <c r="L915" s="53">
        <f>O915*CFGRECT!$S$10</f>
        <v>0</v>
      </c>
      <c r="M915" s="53">
        <f>P915*CFGRECT!$T$10</f>
        <v>0</v>
      </c>
      <c r="N915" s="26"/>
      <c r="O915" s="227"/>
      <c r="P915" s="227"/>
      <c r="Q915" s="26"/>
      <c r="R915" s="26"/>
      <c r="S915" s="26"/>
      <c r="T915" s="26"/>
    </row>
    <row r="916" spans="6:20">
      <c r="F916" s="49"/>
      <c r="G916" s="49"/>
      <c r="H916" s="51" t="str">
        <f t="shared" si="15"/>
        <v/>
      </c>
      <c r="I916" s="49"/>
      <c r="J916" s="49"/>
      <c r="K916" s="49"/>
      <c r="L916" s="53">
        <f>O916*CFGRECT!$S$10</f>
        <v>0</v>
      </c>
      <c r="M916" s="53">
        <f>P916*CFGRECT!$T$10</f>
        <v>0</v>
      </c>
      <c r="N916" s="26"/>
      <c r="O916" s="227"/>
      <c r="P916" s="227"/>
      <c r="Q916" s="26"/>
      <c r="R916" s="26"/>
      <c r="S916" s="26"/>
      <c r="T916" s="26"/>
    </row>
    <row r="917" spans="6:20">
      <c r="F917" s="49"/>
      <c r="G917" s="49"/>
      <c r="H917" s="51" t="str">
        <f t="shared" si="15"/>
        <v/>
      </c>
      <c r="I917" s="49"/>
      <c r="J917" s="49"/>
      <c r="K917" s="49"/>
      <c r="L917" s="53">
        <f>O917*CFGRECT!$S$10</f>
        <v>0</v>
      </c>
      <c r="M917" s="53">
        <f>P917*CFGRECT!$T$10</f>
        <v>0</v>
      </c>
      <c r="N917" s="26"/>
      <c r="O917" s="227"/>
      <c r="P917" s="227"/>
      <c r="Q917" s="26"/>
      <c r="R917" s="26"/>
      <c r="S917" s="26"/>
      <c r="T917" s="26"/>
    </row>
    <row r="918" spans="6:20">
      <c r="F918" s="49"/>
      <c r="G918" s="49"/>
      <c r="H918" s="51" t="str">
        <f t="shared" si="15"/>
        <v/>
      </c>
      <c r="I918" s="49"/>
      <c r="J918" s="49"/>
      <c r="K918" s="49"/>
      <c r="L918" s="53">
        <f>O918*CFGRECT!$S$10</f>
        <v>0</v>
      </c>
      <c r="M918" s="53">
        <f>P918*CFGRECT!$T$10</f>
        <v>0</v>
      </c>
      <c r="N918" s="26"/>
      <c r="O918" s="227"/>
      <c r="P918" s="227"/>
      <c r="Q918" s="26"/>
      <c r="R918" s="26"/>
      <c r="S918" s="26"/>
      <c r="T918" s="26"/>
    </row>
    <row r="919" spans="6:20">
      <c r="F919" s="49"/>
      <c r="G919" s="49"/>
      <c r="H919" s="51" t="str">
        <f t="shared" si="15"/>
        <v/>
      </c>
      <c r="I919" s="49"/>
      <c r="J919" s="49"/>
      <c r="K919" s="49"/>
      <c r="L919" s="53">
        <f>O919*CFGRECT!$S$10</f>
        <v>0</v>
      </c>
      <c r="M919" s="53">
        <f>P919*CFGRECT!$T$10</f>
        <v>0</v>
      </c>
      <c r="N919" s="26"/>
      <c r="O919" s="227"/>
      <c r="P919" s="227"/>
      <c r="Q919" s="26"/>
      <c r="R919" s="26"/>
      <c r="S919" s="26"/>
      <c r="T919" s="26"/>
    </row>
    <row r="920" spans="6:20">
      <c r="F920" s="49"/>
      <c r="G920" s="49"/>
      <c r="H920" s="51" t="str">
        <f t="shared" si="15"/>
        <v/>
      </c>
      <c r="I920" s="49"/>
      <c r="J920" s="49"/>
      <c r="K920" s="49"/>
      <c r="L920" s="53">
        <f>O920*CFGRECT!$S$10</f>
        <v>0</v>
      </c>
      <c r="M920" s="53">
        <f>P920*CFGRECT!$T$10</f>
        <v>0</v>
      </c>
      <c r="N920" s="26"/>
      <c r="O920" s="227"/>
      <c r="P920" s="227"/>
      <c r="Q920" s="26"/>
      <c r="R920" s="26"/>
      <c r="S920" s="26"/>
      <c r="T920" s="26"/>
    </row>
    <row r="921" spans="6:20">
      <c r="F921" s="49"/>
      <c r="G921" s="49"/>
      <c r="H921" s="51" t="str">
        <f t="shared" si="15"/>
        <v/>
      </c>
      <c r="I921" s="49"/>
      <c r="J921" s="49"/>
      <c r="K921" s="49"/>
      <c r="L921" s="53">
        <f>O921*CFGRECT!$S$10</f>
        <v>0</v>
      </c>
      <c r="M921" s="53">
        <f>P921*CFGRECT!$T$10</f>
        <v>0</v>
      </c>
      <c r="N921" s="26"/>
      <c r="O921" s="227"/>
      <c r="P921" s="227"/>
      <c r="Q921" s="26"/>
      <c r="R921" s="26"/>
      <c r="S921" s="26"/>
      <c r="T921" s="26"/>
    </row>
    <row r="922" spans="6:20">
      <c r="F922" s="49"/>
      <c r="G922" s="49"/>
      <c r="H922" s="51" t="str">
        <f t="shared" si="15"/>
        <v/>
      </c>
      <c r="I922" s="49"/>
      <c r="J922" s="49"/>
      <c r="K922" s="49"/>
      <c r="L922" s="53">
        <f>O922*CFGRECT!$S$10</f>
        <v>0</v>
      </c>
      <c r="M922" s="53">
        <f>P922*CFGRECT!$T$10</f>
        <v>0</v>
      </c>
      <c r="N922" s="26"/>
      <c r="O922" s="227"/>
      <c r="P922" s="227"/>
      <c r="Q922" s="26"/>
      <c r="R922" s="26"/>
      <c r="S922" s="26"/>
      <c r="T922" s="26"/>
    </row>
    <row r="923" spans="6:20">
      <c r="F923" s="49"/>
      <c r="G923" s="49"/>
      <c r="H923" s="51" t="str">
        <f t="shared" si="15"/>
        <v/>
      </c>
      <c r="I923" s="49"/>
      <c r="J923" s="49"/>
      <c r="K923" s="49"/>
      <c r="L923" s="53">
        <f>O923*CFGRECT!$S$10</f>
        <v>0</v>
      </c>
      <c r="M923" s="53">
        <f>P923*CFGRECT!$T$10</f>
        <v>0</v>
      </c>
      <c r="N923" s="26"/>
      <c r="O923" s="227"/>
      <c r="P923" s="227"/>
      <c r="Q923" s="26"/>
      <c r="R923" s="26"/>
      <c r="S923" s="26"/>
      <c r="T923" s="26"/>
    </row>
    <row r="924" spans="6:20">
      <c r="F924" s="49"/>
      <c r="G924" s="49"/>
      <c r="H924" s="51" t="str">
        <f t="shared" si="15"/>
        <v/>
      </c>
      <c r="I924" s="49"/>
      <c r="J924" s="49"/>
      <c r="K924" s="49"/>
      <c r="L924" s="53">
        <f>O924*CFGRECT!$S$10</f>
        <v>0</v>
      </c>
      <c r="M924" s="53">
        <f>P924*CFGRECT!$T$10</f>
        <v>0</v>
      </c>
      <c r="N924" s="26"/>
      <c r="O924" s="227"/>
      <c r="P924" s="227"/>
      <c r="Q924" s="26"/>
      <c r="R924" s="26"/>
      <c r="S924" s="26"/>
      <c r="T924" s="26"/>
    </row>
    <row r="925" spans="6:20">
      <c r="F925" s="49"/>
      <c r="G925" s="49"/>
      <c r="H925" s="51" t="str">
        <f t="shared" si="15"/>
        <v/>
      </c>
      <c r="I925" s="49"/>
      <c r="J925" s="49"/>
      <c r="K925" s="49"/>
      <c r="L925" s="53">
        <f>O925*CFGRECT!$S$10</f>
        <v>0</v>
      </c>
      <c r="M925" s="53">
        <f>P925*CFGRECT!$T$10</f>
        <v>0</v>
      </c>
      <c r="N925" s="26"/>
      <c r="O925" s="227"/>
      <c r="P925" s="227"/>
      <c r="Q925" s="26"/>
      <c r="R925" s="26"/>
      <c r="S925" s="26"/>
      <c r="T925" s="26"/>
    </row>
    <row r="926" spans="6:20">
      <c r="F926" s="49"/>
      <c r="G926" s="49"/>
      <c r="H926" s="51" t="str">
        <f t="shared" si="15"/>
        <v/>
      </c>
      <c r="I926" s="49"/>
      <c r="J926" s="49"/>
      <c r="K926" s="49"/>
      <c r="L926" s="53">
        <f>O926*CFGRECT!$S$10</f>
        <v>0</v>
      </c>
      <c r="M926" s="53">
        <f>P926*CFGRECT!$T$10</f>
        <v>0</v>
      </c>
      <c r="N926" s="26"/>
      <c r="O926" s="227"/>
      <c r="P926" s="227"/>
      <c r="Q926" s="26"/>
      <c r="R926" s="26"/>
      <c r="S926" s="26"/>
      <c r="T926" s="26"/>
    </row>
    <row r="927" spans="6:20">
      <c r="F927" s="49"/>
      <c r="G927" s="49"/>
      <c r="H927" s="51" t="str">
        <f t="shared" si="15"/>
        <v/>
      </c>
      <c r="I927" s="49"/>
      <c r="J927" s="49"/>
      <c r="K927" s="49"/>
      <c r="L927" s="53">
        <f>O927*CFGRECT!$S$10</f>
        <v>0</v>
      </c>
      <c r="M927" s="53">
        <f>P927*CFGRECT!$T$10</f>
        <v>0</v>
      </c>
      <c r="N927" s="26"/>
      <c r="O927" s="227"/>
      <c r="P927" s="227"/>
      <c r="Q927" s="26"/>
      <c r="R927" s="26"/>
      <c r="S927" s="26"/>
      <c r="T927" s="26"/>
    </row>
    <row r="928" spans="6:20">
      <c r="F928" s="49"/>
      <c r="G928" s="49"/>
      <c r="H928" s="51" t="str">
        <f t="shared" si="15"/>
        <v/>
      </c>
      <c r="I928" s="49"/>
      <c r="J928" s="49"/>
      <c r="K928" s="49"/>
      <c r="L928" s="53">
        <f>O928*CFGRECT!$S$10</f>
        <v>0</v>
      </c>
      <c r="M928" s="53">
        <f>P928*CFGRECT!$T$10</f>
        <v>0</v>
      </c>
      <c r="N928" s="26"/>
      <c r="O928" s="227"/>
      <c r="P928" s="227"/>
      <c r="Q928" s="26"/>
      <c r="R928" s="26"/>
      <c r="S928" s="26"/>
      <c r="T928" s="26"/>
    </row>
    <row r="929" spans="6:20">
      <c r="F929" s="49"/>
      <c r="G929" s="49"/>
      <c r="H929" s="51" t="str">
        <f t="shared" si="15"/>
        <v/>
      </c>
      <c r="I929" s="49"/>
      <c r="J929" s="49"/>
      <c r="K929" s="49"/>
      <c r="L929" s="53">
        <f>O929*CFGRECT!$S$10</f>
        <v>0</v>
      </c>
      <c r="M929" s="53">
        <f>P929*CFGRECT!$T$10</f>
        <v>0</v>
      </c>
      <c r="N929" s="26"/>
      <c r="O929" s="227"/>
      <c r="P929" s="227"/>
      <c r="Q929" s="26"/>
      <c r="R929" s="26"/>
      <c r="S929" s="26"/>
      <c r="T929" s="26"/>
    </row>
    <row r="930" spans="6:20">
      <c r="F930" s="49"/>
      <c r="G930" s="49"/>
      <c r="H930" s="51" t="str">
        <f t="shared" si="15"/>
        <v/>
      </c>
      <c r="I930" s="49"/>
      <c r="J930" s="49"/>
      <c r="K930" s="49"/>
      <c r="L930" s="53">
        <f>O930*CFGRECT!$S$10</f>
        <v>0</v>
      </c>
      <c r="M930" s="53">
        <f>P930*CFGRECT!$T$10</f>
        <v>0</v>
      </c>
      <c r="N930" s="26"/>
      <c r="O930" s="227"/>
      <c r="P930" s="227"/>
      <c r="Q930" s="26"/>
      <c r="R930" s="26"/>
      <c r="S930" s="26"/>
      <c r="T930" s="26"/>
    </row>
    <row r="931" spans="6:20">
      <c r="F931" s="49"/>
      <c r="G931" s="49"/>
      <c r="H931" s="51" t="str">
        <f t="shared" si="15"/>
        <v/>
      </c>
      <c r="I931" s="49"/>
      <c r="J931" s="49"/>
      <c r="K931" s="49"/>
      <c r="L931" s="53">
        <f>O931*CFGRECT!$S$10</f>
        <v>0</v>
      </c>
      <c r="M931" s="53">
        <f>P931*CFGRECT!$T$10</f>
        <v>0</v>
      </c>
      <c r="N931" s="26"/>
      <c r="O931" s="227"/>
      <c r="P931" s="227"/>
      <c r="Q931" s="26"/>
      <c r="R931" s="26"/>
      <c r="S931" s="26"/>
      <c r="T931" s="26"/>
    </row>
    <row r="932" spans="6:20">
      <c r="F932" s="49"/>
      <c r="G932" s="49"/>
      <c r="H932" s="51" t="str">
        <f t="shared" si="15"/>
        <v/>
      </c>
      <c r="I932" s="49"/>
      <c r="J932" s="49"/>
      <c r="K932" s="49"/>
      <c r="L932" s="53">
        <f>O932*CFGRECT!$S$10</f>
        <v>0</v>
      </c>
      <c r="M932" s="53">
        <f>P932*CFGRECT!$T$10</f>
        <v>0</v>
      </c>
      <c r="N932" s="26"/>
      <c r="O932" s="227"/>
      <c r="P932" s="227"/>
      <c r="Q932" s="26"/>
      <c r="R932" s="26"/>
      <c r="S932" s="26"/>
      <c r="T932" s="26"/>
    </row>
    <row r="933" spans="6:20">
      <c r="F933" s="49"/>
      <c r="G933" s="49"/>
      <c r="H933" s="51" t="str">
        <f t="shared" si="15"/>
        <v/>
      </c>
      <c r="I933" s="49"/>
      <c r="J933" s="49"/>
      <c r="K933" s="49"/>
      <c r="L933" s="53">
        <f>O933*CFGRECT!$S$10</f>
        <v>0</v>
      </c>
      <c r="M933" s="53">
        <f>P933*CFGRECT!$T$10</f>
        <v>0</v>
      </c>
      <c r="N933" s="26"/>
      <c r="O933" s="227"/>
      <c r="P933" s="227"/>
      <c r="Q933" s="26"/>
      <c r="R933" s="26"/>
      <c r="S933" s="26"/>
      <c r="T933" s="26"/>
    </row>
    <row r="934" spans="6:20">
      <c r="F934" s="49"/>
      <c r="G934" s="49"/>
      <c r="H934" s="51" t="str">
        <f t="shared" si="15"/>
        <v/>
      </c>
      <c r="I934" s="49"/>
      <c r="J934" s="49"/>
      <c r="K934" s="49"/>
      <c r="L934" s="53">
        <f>O934*CFGRECT!$S$10</f>
        <v>0</v>
      </c>
      <c r="M934" s="53">
        <f>P934*CFGRECT!$T$10</f>
        <v>0</v>
      </c>
      <c r="N934" s="26"/>
      <c r="O934" s="227"/>
      <c r="P934" s="227"/>
      <c r="Q934" s="26"/>
      <c r="R934" s="26"/>
      <c r="S934" s="26"/>
      <c r="T934" s="26"/>
    </row>
    <row r="935" spans="6:20">
      <c r="F935" s="49"/>
      <c r="G935" s="49"/>
      <c r="H935" s="51" t="str">
        <f t="shared" si="15"/>
        <v/>
      </c>
      <c r="I935" s="49"/>
      <c r="J935" s="49"/>
      <c r="K935" s="49"/>
      <c r="L935" s="53">
        <f>O935*CFGRECT!$S$10</f>
        <v>0</v>
      </c>
      <c r="M935" s="53">
        <f>P935*CFGRECT!$T$10</f>
        <v>0</v>
      </c>
      <c r="N935" s="26"/>
      <c r="O935" s="227"/>
      <c r="P935" s="227"/>
      <c r="Q935" s="26"/>
      <c r="R935" s="26"/>
      <c r="S935" s="26"/>
      <c r="T935" s="26"/>
    </row>
    <row r="936" spans="6:20">
      <c r="F936" s="49"/>
      <c r="G936" s="49"/>
      <c r="H936" s="51" t="str">
        <f t="shared" si="15"/>
        <v/>
      </c>
      <c r="I936" s="49"/>
      <c r="J936" s="49"/>
      <c r="K936" s="49"/>
      <c r="L936" s="53">
        <f>O936*CFGRECT!$S$10</f>
        <v>0</v>
      </c>
      <c r="M936" s="53">
        <f>P936*CFGRECT!$T$10</f>
        <v>0</v>
      </c>
      <c r="N936" s="26"/>
      <c r="O936" s="227"/>
      <c r="P936" s="227"/>
      <c r="Q936" s="26"/>
      <c r="R936" s="26"/>
      <c r="S936" s="26"/>
      <c r="T936" s="26"/>
    </row>
    <row r="937" spans="6:20">
      <c r="F937" s="49"/>
      <c r="G937" s="49"/>
      <c r="H937" s="51" t="str">
        <f t="shared" si="15"/>
        <v/>
      </c>
      <c r="I937" s="49"/>
      <c r="J937" s="49"/>
      <c r="K937" s="49"/>
      <c r="L937" s="53">
        <f>O937*CFGRECT!$S$10</f>
        <v>0</v>
      </c>
      <c r="M937" s="53">
        <f>P937*CFGRECT!$T$10</f>
        <v>0</v>
      </c>
      <c r="N937" s="26"/>
      <c r="O937" s="227"/>
      <c r="P937" s="227"/>
      <c r="Q937" s="26"/>
      <c r="R937" s="26"/>
      <c r="S937" s="26"/>
      <c r="T937" s="26"/>
    </row>
    <row r="938" spans="6:20">
      <c r="F938" s="49"/>
      <c r="G938" s="49"/>
      <c r="H938" s="51" t="str">
        <f t="shared" si="15"/>
        <v/>
      </c>
      <c r="I938" s="49"/>
      <c r="J938" s="49"/>
      <c r="K938" s="49"/>
      <c r="L938" s="53">
        <f>O938*CFGRECT!$S$10</f>
        <v>0</v>
      </c>
      <c r="M938" s="53">
        <f>P938*CFGRECT!$T$10</f>
        <v>0</v>
      </c>
      <c r="N938" s="26"/>
      <c r="O938" s="227"/>
      <c r="P938" s="227"/>
      <c r="Q938" s="26"/>
      <c r="R938" s="26"/>
      <c r="S938" s="26"/>
      <c r="T938" s="26"/>
    </row>
    <row r="939" spans="6:20">
      <c r="F939" s="49"/>
      <c r="G939" s="49"/>
      <c r="H939" s="51" t="str">
        <f t="shared" si="15"/>
        <v/>
      </c>
      <c r="I939" s="49"/>
      <c r="J939" s="49"/>
      <c r="K939" s="49"/>
      <c r="L939" s="53">
        <f>O939*CFGRECT!$S$10</f>
        <v>0</v>
      </c>
      <c r="M939" s="53">
        <f>P939*CFGRECT!$T$10</f>
        <v>0</v>
      </c>
      <c r="N939" s="26"/>
      <c r="O939" s="227"/>
      <c r="P939" s="227"/>
      <c r="Q939" s="26"/>
      <c r="R939" s="26"/>
      <c r="S939" s="26"/>
      <c r="T939" s="26"/>
    </row>
    <row r="940" spans="6:20">
      <c r="F940" s="49"/>
      <c r="G940" s="49"/>
      <c r="H940" s="51" t="str">
        <f t="shared" si="15"/>
        <v/>
      </c>
      <c r="I940" s="49"/>
      <c r="J940" s="49"/>
      <c r="K940" s="49"/>
      <c r="L940" s="53">
        <f>O940*CFGRECT!$S$10</f>
        <v>0</v>
      </c>
      <c r="M940" s="53">
        <f>P940*CFGRECT!$T$10</f>
        <v>0</v>
      </c>
      <c r="N940" s="26"/>
      <c r="O940" s="227"/>
      <c r="P940" s="227"/>
      <c r="Q940" s="26"/>
      <c r="R940" s="26"/>
      <c r="S940" s="26"/>
      <c r="T940" s="26"/>
    </row>
    <row r="941" spans="6:20">
      <c r="F941" s="49"/>
      <c r="G941" s="49"/>
      <c r="H941" s="51" t="str">
        <f t="shared" si="15"/>
        <v/>
      </c>
      <c r="I941" s="49"/>
      <c r="J941" s="49"/>
      <c r="K941" s="49"/>
      <c r="L941" s="53">
        <f>O941*CFGRECT!$S$10</f>
        <v>0</v>
      </c>
      <c r="M941" s="53">
        <f>P941*CFGRECT!$T$10</f>
        <v>0</v>
      </c>
      <c r="N941" s="26"/>
      <c r="O941" s="227"/>
      <c r="P941" s="227"/>
      <c r="Q941" s="26"/>
      <c r="R941" s="26"/>
      <c r="S941" s="26"/>
      <c r="T941" s="26"/>
    </row>
    <row r="942" spans="6:20">
      <c r="F942" s="49"/>
      <c r="G942" s="49"/>
      <c r="H942" s="51" t="str">
        <f t="shared" si="15"/>
        <v/>
      </c>
      <c r="I942" s="49"/>
      <c r="J942" s="49"/>
      <c r="K942" s="49"/>
      <c r="L942" s="53">
        <f>O942*CFGRECT!$S$10</f>
        <v>0</v>
      </c>
      <c r="M942" s="53">
        <f>P942*CFGRECT!$T$10</f>
        <v>0</v>
      </c>
      <c r="N942" s="26"/>
      <c r="O942" s="227"/>
      <c r="P942" s="227"/>
      <c r="Q942" s="26"/>
      <c r="R942" s="26"/>
      <c r="S942" s="26"/>
      <c r="T942" s="26"/>
    </row>
    <row r="943" spans="6:20">
      <c r="F943" s="49"/>
      <c r="G943" s="49"/>
      <c r="H943" s="51" t="str">
        <f t="shared" si="15"/>
        <v/>
      </c>
      <c r="I943" s="49"/>
      <c r="J943" s="49"/>
      <c r="K943" s="49"/>
      <c r="L943" s="53">
        <f>O943*CFGRECT!$S$10</f>
        <v>0</v>
      </c>
      <c r="M943" s="53">
        <f>P943*CFGRECT!$T$10</f>
        <v>0</v>
      </c>
      <c r="N943" s="26"/>
      <c r="O943" s="227"/>
      <c r="P943" s="227"/>
      <c r="Q943" s="26"/>
      <c r="R943" s="26"/>
      <c r="S943" s="26"/>
      <c r="T943" s="26"/>
    </row>
    <row r="944" spans="6:20">
      <c r="F944" s="49"/>
      <c r="G944" s="49"/>
      <c r="H944" s="51" t="str">
        <f t="shared" si="15"/>
        <v/>
      </c>
      <c r="I944" s="49"/>
      <c r="J944" s="49"/>
      <c r="K944" s="49"/>
      <c r="L944" s="53">
        <f>O944*CFGRECT!$S$10</f>
        <v>0</v>
      </c>
      <c r="M944" s="53">
        <f>P944*CFGRECT!$T$10</f>
        <v>0</v>
      </c>
      <c r="N944" s="26"/>
      <c r="O944" s="227"/>
      <c r="P944" s="227"/>
      <c r="Q944" s="26"/>
      <c r="R944" s="26"/>
      <c r="S944" s="26"/>
      <c r="T944" s="26"/>
    </row>
    <row r="945" spans="6:20">
      <c r="F945" s="49"/>
      <c r="G945" s="49"/>
      <c r="H945" s="51" t="str">
        <f t="shared" si="15"/>
        <v/>
      </c>
      <c r="I945" s="49"/>
      <c r="J945" s="49"/>
      <c r="K945" s="49"/>
      <c r="L945" s="53">
        <f>O945*CFGRECT!$S$10</f>
        <v>0</v>
      </c>
      <c r="M945" s="53">
        <f>P945*CFGRECT!$T$10</f>
        <v>0</v>
      </c>
      <c r="N945" s="26"/>
      <c r="O945" s="227"/>
      <c r="P945" s="227"/>
      <c r="Q945" s="26"/>
      <c r="R945" s="26"/>
      <c r="S945" s="26"/>
      <c r="T945" s="26"/>
    </row>
    <row r="946" spans="6:20">
      <c r="F946" s="49"/>
      <c r="G946" s="49"/>
      <c r="H946" s="51" t="str">
        <f t="shared" si="15"/>
        <v/>
      </c>
      <c r="I946" s="49"/>
      <c r="J946" s="49"/>
      <c r="K946" s="49"/>
      <c r="L946" s="53">
        <f>O946*CFGRECT!$S$10</f>
        <v>0</v>
      </c>
      <c r="M946" s="53">
        <f>P946*CFGRECT!$T$10</f>
        <v>0</v>
      </c>
      <c r="N946" s="26"/>
      <c r="O946" s="227"/>
      <c r="P946" s="227"/>
      <c r="Q946" s="26"/>
      <c r="R946" s="26"/>
      <c r="S946" s="26"/>
      <c r="T946" s="26"/>
    </row>
    <row r="947" spans="6:20">
      <c r="F947" s="49"/>
      <c r="G947" s="49"/>
      <c r="H947" s="51" t="str">
        <f t="shared" si="15"/>
        <v/>
      </c>
      <c r="I947" s="49"/>
      <c r="J947" s="49"/>
      <c r="K947" s="49"/>
      <c r="L947" s="53">
        <f>O947*CFGRECT!$S$10</f>
        <v>0</v>
      </c>
      <c r="M947" s="53">
        <f>P947*CFGRECT!$T$10</f>
        <v>0</v>
      </c>
      <c r="N947" s="26"/>
      <c r="O947" s="227"/>
      <c r="P947" s="227"/>
      <c r="Q947" s="26"/>
      <c r="R947" s="26"/>
      <c r="S947" s="26"/>
      <c r="T947" s="26"/>
    </row>
    <row r="948" spans="6:20">
      <c r="F948" s="49"/>
      <c r="G948" s="49"/>
      <c r="H948" s="51" t="str">
        <f t="shared" si="15"/>
        <v/>
      </c>
      <c r="I948" s="49"/>
      <c r="J948" s="49"/>
      <c r="K948" s="49"/>
      <c r="L948" s="53">
        <f>O948*CFGRECT!$S$10</f>
        <v>0</v>
      </c>
      <c r="M948" s="53">
        <f>P948*CFGRECT!$T$10</f>
        <v>0</v>
      </c>
      <c r="N948" s="26"/>
      <c r="O948" s="227"/>
      <c r="P948" s="227"/>
      <c r="Q948" s="26"/>
      <c r="R948" s="26"/>
      <c r="S948" s="26"/>
      <c r="T948" s="26"/>
    </row>
    <row r="949" spans="6:20">
      <c r="F949" s="49"/>
      <c r="G949" s="49"/>
      <c r="H949" s="51" t="str">
        <f t="shared" si="15"/>
        <v/>
      </c>
      <c r="I949" s="49"/>
      <c r="J949" s="49"/>
      <c r="K949" s="49"/>
      <c r="L949" s="53">
        <f>O949*CFGRECT!$S$10</f>
        <v>0</v>
      </c>
      <c r="M949" s="53">
        <f>P949*CFGRECT!$T$10</f>
        <v>0</v>
      </c>
      <c r="N949" s="26"/>
      <c r="O949" s="227"/>
      <c r="P949" s="227"/>
      <c r="Q949" s="26"/>
      <c r="R949" s="26"/>
      <c r="S949" s="26"/>
      <c r="T949" s="26"/>
    </row>
    <row r="950" spans="6:20">
      <c r="F950" s="49"/>
      <c r="G950" s="49"/>
      <c r="H950" s="51" t="str">
        <f t="shared" si="15"/>
        <v/>
      </c>
      <c r="I950" s="49"/>
      <c r="J950" s="49"/>
      <c r="K950" s="49"/>
      <c r="L950" s="53">
        <f>O950*CFGRECT!$S$10</f>
        <v>0</v>
      </c>
      <c r="M950" s="53">
        <f>P950*CFGRECT!$T$10</f>
        <v>0</v>
      </c>
      <c r="N950" s="26"/>
      <c r="O950" s="227"/>
      <c r="P950" s="227"/>
      <c r="Q950" s="26"/>
      <c r="R950" s="26"/>
      <c r="S950" s="26"/>
      <c r="T950" s="26"/>
    </row>
    <row r="951" spans="6:20">
      <c r="F951" s="49"/>
      <c r="G951" s="49"/>
      <c r="H951" s="51" t="str">
        <f t="shared" si="15"/>
        <v/>
      </c>
      <c r="I951" s="49"/>
      <c r="J951" s="49"/>
      <c r="K951" s="49"/>
      <c r="L951" s="53">
        <f>O951*CFGRECT!$S$10</f>
        <v>0</v>
      </c>
      <c r="M951" s="53">
        <f>P951*CFGRECT!$T$10</f>
        <v>0</v>
      </c>
      <c r="N951" s="26"/>
      <c r="O951" s="227"/>
      <c r="P951" s="227"/>
      <c r="Q951" s="26"/>
      <c r="R951" s="26"/>
      <c r="S951" s="26"/>
      <c r="T951" s="26"/>
    </row>
    <row r="952" spans="6:20">
      <c r="F952" s="49"/>
      <c r="G952" s="49"/>
      <c r="H952" s="51" t="str">
        <f t="shared" si="15"/>
        <v/>
      </c>
      <c r="I952" s="49"/>
      <c r="J952" s="49"/>
      <c r="K952" s="49"/>
      <c r="L952" s="53">
        <f>O952*CFGRECT!$S$10</f>
        <v>0</v>
      </c>
      <c r="M952" s="53">
        <f>P952*CFGRECT!$T$10</f>
        <v>0</v>
      </c>
      <c r="N952" s="26"/>
      <c r="O952" s="227"/>
      <c r="P952" s="227"/>
      <c r="Q952" s="26"/>
      <c r="R952" s="26"/>
      <c r="S952" s="26"/>
      <c r="T952" s="26"/>
    </row>
    <row r="953" spans="6:20">
      <c r="F953" s="49"/>
      <c r="G953" s="49"/>
      <c r="H953" s="51" t="str">
        <f t="shared" si="15"/>
        <v/>
      </c>
      <c r="I953" s="49"/>
      <c r="J953" s="49"/>
      <c r="K953" s="49"/>
      <c r="L953" s="53">
        <f>O953*CFGRECT!$S$10</f>
        <v>0</v>
      </c>
      <c r="M953" s="53">
        <f>P953*CFGRECT!$T$10</f>
        <v>0</v>
      </c>
      <c r="N953" s="26"/>
      <c r="O953" s="227"/>
      <c r="P953" s="227"/>
      <c r="Q953" s="26"/>
      <c r="R953" s="26"/>
      <c r="S953" s="26"/>
      <c r="T953" s="26"/>
    </row>
    <row r="954" spans="6:20">
      <c r="F954" s="49"/>
      <c r="G954" s="49"/>
      <c r="H954" s="51" t="str">
        <f t="shared" si="15"/>
        <v/>
      </c>
      <c r="I954" s="49"/>
      <c r="J954" s="49"/>
      <c r="K954" s="49"/>
      <c r="L954" s="53">
        <f>O954*CFGRECT!$S$10</f>
        <v>0</v>
      </c>
      <c r="M954" s="53">
        <f>P954*CFGRECT!$T$10</f>
        <v>0</v>
      </c>
      <c r="N954" s="26"/>
      <c r="O954" s="227"/>
      <c r="P954" s="227"/>
      <c r="Q954" s="26"/>
      <c r="R954" s="26"/>
      <c r="S954" s="26"/>
      <c r="T954" s="26"/>
    </row>
    <row r="955" spans="6:20">
      <c r="F955" s="49"/>
      <c r="G955" s="49"/>
      <c r="H955" s="51" t="str">
        <f t="shared" si="15"/>
        <v/>
      </c>
      <c r="I955" s="49"/>
      <c r="J955" s="49"/>
      <c r="K955" s="49"/>
      <c r="L955" s="53">
        <f>O955*CFGRECT!$S$10</f>
        <v>0</v>
      </c>
      <c r="M955" s="53">
        <f>P955*CFGRECT!$T$10</f>
        <v>0</v>
      </c>
      <c r="N955" s="26"/>
      <c r="O955" s="227"/>
      <c r="P955" s="227"/>
      <c r="Q955" s="26"/>
      <c r="R955" s="26"/>
      <c r="S955" s="26"/>
      <c r="T955" s="26"/>
    </row>
    <row r="956" spans="6:20">
      <c r="F956" s="49"/>
      <c r="G956" s="49"/>
      <c r="H956" s="51" t="str">
        <f t="shared" si="15"/>
        <v/>
      </c>
      <c r="I956" s="49"/>
      <c r="J956" s="49"/>
      <c r="K956" s="49"/>
      <c r="L956" s="53">
        <f>O956*CFGRECT!$S$10</f>
        <v>0</v>
      </c>
      <c r="M956" s="53">
        <f>P956*CFGRECT!$T$10</f>
        <v>0</v>
      </c>
      <c r="N956" s="26"/>
      <c r="O956" s="227"/>
      <c r="P956" s="227"/>
      <c r="Q956" s="26"/>
      <c r="R956" s="26"/>
      <c r="S956" s="26"/>
      <c r="T956" s="26"/>
    </row>
    <row r="957" spans="6:20">
      <c r="F957" s="49"/>
      <c r="G957" s="49"/>
      <c r="H957" s="51" t="str">
        <f t="shared" si="15"/>
        <v/>
      </c>
      <c r="I957" s="49"/>
      <c r="J957" s="49"/>
      <c r="K957" s="49"/>
      <c r="L957" s="53">
        <f>O957*CFGRECT!$S$10</f>
        <v>0</v>
      </c>
      <c r="M957" s="53">
        <f>P957*CFGRECT!$T$10</f>
        <v>0</v>
      </c>
      <c r="N957" s="26"/>
      <c r="O957" s="227"/>
      <c r="P957" s="227"/>
      <c r="Q957" s="26"/>
      <c r="R957" s="26"/>
      <c r="S957" s="26"/>
      <c r="T957" s="26"/>
    </row>
    <row r="958" spans="6:20">
      <c r="F958" s="49"/>
      <c r="G958" s="49"/>
      <c r="H958" s="51" t="str">
        <f t="shared" si="15"/>
        <v/>
      </c>
      <c r="I958" s="49"/>
      <c r="J958" s="49"/>
      <c r="K958" s="49"/>
      <c r="L958" s="53">
        <f>O958*CFGRECT!$S$10</f>
        <v>0</v>
      </c>
      <c r="M958" s="53">
        <f>P958*CFGRECT!$T$10</f>
        <v>0</v>
      </c>
      <c r="N958" s="26"/>
      <c r="O958" s="227"/>
      <c r="P958" s="227"/>
      <c r="Q958" s="26"/>
      <c r="R958" s="26"/>
      <c r="S958" s="26"/>
      <c r="T958" s="26"/>
    </row>
    <row r="959" spans="6:20">
      <c r="F959" s="49"/>
      <c r="G959" s="49"/>
      <c r="H959" s="51" t="str">
        <f t="shared" si="15"/>
        <v/>
      </c>
      <c r="I959" s="49"/>
      <c r="J959" s="49"/>
      <c r="K959" s="49"/>
      <c r="L959" s="53">
        <f>O959*CFGRECT!$S$10</f>
        <v>0</v>
      </c>
      <c r="M959" s="53">
        <f>P959*CFGRECT!$T$10</f>
        <v>0</v>
      </c>
      <c r="N959" s="26"/>
      <c r="O959" s="227"/>
      <c r="P959" s="227"/>
      <c r="Q959" s="26"/>
      <c r="R959" s="26"/>
      <c r="S959" s="26"/>
      <c r="T959" s="26"/>
    </row>
    <row r="960" spans="6:20">
      <c r="F960" s="49"/>
      <c r="G960" s="49"/>
      <c r="H960" s="51" t="str">
        <f t="shared" si="15"/>
        <v/>
      </c>
      <c r="I960" s="49"/>
      <c r="J960" s="49"/>
      <c r="K960" s="49"/>
      <c r="L960" s="53">
        <f>O960*CFGRECT!$S$10</f>
        <v>0</v>
      </c>
      <c r="M960" s="53">
        <f>P960*CFGRECT!$T$10</f>
        <v>0</v>
      </c>
      <c r="N960" s="26"/>
      <c r="O960" s="227"/>
      <c r="P960" s="227"/>
      <c r="Q960" s="26"/>
      <c r="R960" s="26"/>
      <c r="S960" s="26"/>
      <c r="T960" s="26"/>
    </row>
    <row r="961" spans="6:20">
      <c r="F961" s="49"/>
      <c r="G961" s="49"/>
      <c r="H961" s="51" t="str">
        <f t="shared" si="15"/>
        <v/>
      </c>
      <c r="I961" s="49"/>
      <c r="J961" s="49"/>
      <c r="K961" s="49"/>
      <c r="L961" s="53">
        <f>O961*CFGRECT!$S$10</f>
        <v>0</v>
      </c>
      <c r="M961" s="53">
        <f>P961*CFGRECT!$T$10</f>
        <v>0</v>
      </c>
      <c r="N961" s="26"/>
      <c r="O961" s="227"/>
      <c r="P961" s="227"/>
      <c r="Q961" s="26"/>
      <c r="R961" s="26"/>
      <c r="S961" s="26"/>
      <c r="T961" s="26"/>
    </row>
    <row r="962" spans="6:20">
      <c r="F962" s="49"/>
      <c r="G962" s="49"/>
      <c r="H962" s="51" t="str">
        <f t="shared" si="15"/>
        <v/>
      </c>
      <c r="I962" s="49"/>
      <c r="J962" s="49"/>
      <c r="K962" s="49"/>
      <c r="L962" s="53">
        <f>O962*CFGRECT!$S$10</f>
        <v>0</v>
      </c>
      <c r="M962" s="53">
        <f>P962*CFGRECT!$T$10</f>
        <v>0</v>
      </c>
      <c r="N962" s="26"/>
      <c r="O962" s="227"/>
      <c r="P962" s="227"/>
      <c r="Q962" s="26"/>
      <c r="R962" s="26"/>
      <c r="S962" s="26"/>
      <c r="T962" s="26"/>
    </row>
    <row r="963" spans="6:20">
      <c r="F963" s="49"/>
      <c r="G963" s="49"/>
      <c r="H963" s="51" t="str">
        <f t="shared" si="15"/>
        <v/>
      </c>
      <c r="I963" s="49"/>
      <c r="J963" s="49"/>
      <c r="K963" s="49"/>
      <c r="L963" s="53">
        <f>O963*CFGRECT!$S$10</f>
        <v>0</v>
      </c>
      <c r="M963" s="53">
        <f>P963*CFGRECT!$T$10</f>
        <v>0</v>
      </c>
      <c r="N963" s="26"/>
      <c r="O963" s="227"/>
      <c r="P963" s="227"/>
      <c r="Q963" s="26"/>
      <c r="R963" s="26"/>
      <c r="S963" s="26"/>
      <c r="T963" s="26"/>
    </row>
    <row r="964" spans="6:20">
      <c r="F964" s="49"/>
      <c r="G964" s="49"/>
      <c r="H964" s="51" t="str">
        <f t="shared" si="15"/>
        <v/>
      </c>
      <c r="I964" s="49"/>
      <c r="J964" s="49"/>
      <c r="K964" s="49"/>
      <c r="L964" s="53">
        <f>O964*CFGRECT!$S$10</f>
        <v>0</v>
      </c>
      <c r="M964" s="53">
        <f>P964*CFGRECT!$T$10</f>
        <v>0</v>
      </c>
      <c r="N964" s="26"/>
      <c r="O964" s="227"/>
      <c r="P964" s="227"/>
      <c r="Q964" s="26"/>
      <c r="R964" s="26"/>
      <c r="S964" s="26"/>
      <c r="T964" s="26"/>
    </row>
    <row r="965" spans="6:20">
      <c r="F965" s="49"/>
      <c r="G965" s="49"/>
      <c r="H965" s="51" t="str">
        <f t="shared" si="15"/>
        <v/>
      </c>
      <c r="I965" s="49"/>
      <c r="J965" s="49"/>
      <c r="K965" s="49"/>
      <c r="L965" s="53">
        <f>O965*CFGRECT!$S$10</f>
        <v>0</v>
      </c>
      <c r="M965" s="53">
        <f>P965*CFGRECT!$T$10</f>
        <v>0</v>
      </c>
      <c r="N965" s="26"/>
      <c r="O965" s="227"/>
      <c r="P965" s="227"/>
      <c r="Q965" s="26"/>
      <c r="R965" s="26"/>
      <c r="S965" s="26"/>
      <c r="T965" s="26"/>
    </row>
    <row r="966" spans="6:20">
      <c r="F966" s="49"/>
      <c r="G966" s="49"/>
      <c r="H966" s="51" t="str">
        <f t="shared" si="15"/>
        <v/>
      </c>
      <c r="I966" s="49"/>
      <c r="J966" s="49"/>
      <c r="K966" s="49"/>
      <c r="L966" s="53">
        <f>O966*CFGRECT!$S$10</f>
        <v>0</v>
      </c>
      <c r="M966" s="53">
        <f>P966*CFGRECT!$T$10</f>
        <v>0</v>
      </c>
      <c r="N966" s="26"/>
      <c r="O966" s="227"/>
      <c r="P966" s="227"/>
      <c r="Q966" s="26"/>
      <c r="R966" s="26"/>
      <c r="S966" s="26"/>
      <c r="T966" s="26"/>
    </row>
    <row r="967" spans="6:20">
      <c r="F967" s="49"/>
      <c r="G967" s="49"/>
      <c r="H967" s="51" t="str">
        <f t="shared" si="15"/>
        <v/>
      </c>
      <c r="I967" s="49"/>
      <c r="J967" s="49"/>
      <c r="K967" s="49"/>
      <c r="L967" s="53">
        <f>O967*CFGRECT!$S$10</f>
        <v>0</v>
      </c>
      <c r="M967" s="53">
        <f>P967*CFGRECT!$T$10</f>
        <v>0</v>
      </c>
      <c r="N967" s="26"/>
      <c r="O967" s="227"/>
      <c r="P967" s="227"/>
      <c r="Q967" s="26"/>
      <c r="R967" s="26"/>
      <c r="S967" s="26"/>
      <c r="T967" s="26"/>
    </row>
    <row r="968" spans="6:20">
      <c r="F968" s="49"/>
      <c r="G968" s="49"/>
      <c r="H968" s="51" t="str">
        <f t="shared" si="15"/>
        <v/>
      </c>
      <c r="I968" s="49"/>
      <c r="J968" s="49"/>
      <c r="K968" s="49"/>
      <c r="L968" s="53">
        <f>O968*CFGRECT!$S$10</f>
        <v>0</v>
      </c>
      <c r="M968" s="53">
        <f>P968*CFGRECT!$T$10</f>
        <v>0</v>
      </c>
      <c r="N968" s="26"/>
      <c r="O968" s="227"/>
      <c r="P968" s="227"/>
      <c r="Q968" s="26"/>
      <c r="R968" s="26"/>
      <c r="S968" s="26"/>
      <c r="T968" s="26"/>
    </row>
    <row r="969" spans="6:20">
      <c r="F969" s="49"/>
      <c r="G969" s="49"/>
      <c r="H969" s="51" t="str">
        <f t="shared" si="15"/>
        <v/>
      </c>
      <c r="I969" s="49"/>
      <c r="J969" s="49"/>
      <c r="K969" s="49"/>
      <c r="L969" s="53">
        <f>O969*CFGRECT!$S$10</f>
        <v>0</v>
      </c>
      <c r="M969" s="53">
        <f>P969*CFGRECT!$T$10</f>
        <v>0</v>
      </c>
      <c r="N969" s="26"/>
      <c r="O969" s="227"/>
      <c r="P969" s="227"/>
      <c r="Q969" s="26"/>
      <c r="R969" s="26"/>
      <c r="S969" s="26"/>
      <c r="T969" s="26"/>
    </row>
    <row r="970" spans="6:20">
      <c r="F970" s="49"/>
      <c r="G970" s="49"/>
      <c r="H970" s="51" t="str">
        <f t="shared" si="15"/>
        <v/>
      </c>
      <c r="I970" s="49"/>
      <c r="J970" s="49"/>
      <c r="K970" s="49"/>
      <c r="L970" s="53">
        <f>O970*CFGRECT!$S$10</f>
        <v>0</v>
      </c>
      <c r="M970" s="53">
        <f>P970*CFGRECT!$T$10</f>
        <v>0</v>
      </c>
      <c r="N970" s="26"/>
      <c r="O970" s="227"/>
      <c r="P970" s="227"/>
      <c r="Q970" s="26"/>
      <c r="R970" s="26"/>
      <c r="S970" s="26"/>
      <c r="T970" s="26"/>
    </row>
    <row r="971" spans="6:20">
      <c r="F971" s="49"/>
      <c r="G971" s="49"/>
      <c r="H971" s="51" t="str">
        <f t="shared" si="15"/>
        <v/>
      </c>
      <c r="I971" s="49"/>
      <c r="J971" s="49"/>
      <c r="K971" s="49"/>
      <c r="L971" s="53">
        <f>O971*CFGRECT!$S$10</f>
        <v>0</v>
      </c>
      <c r="M971" s="53">
        <f>P971*CFGRECT!$T$10</f>
        <v>0</v>
      </c>
      <c r="N971" s="26"/>
      <c r="O971" s="227"/>
      <c r="P971" s="227"/>
      <c r="Q971" s="26"/>
      <c r="R971" s="26"/>
      <c r="S971" s="26"/>
      <c r="T971" s="26"/>
    </row>
    <row r="972" spans="6:20">
      <c r="F972" s="49"/>
      <c r="G972" s="49"/>
      <c r="H972" s="51" t="str">
        <f t="shared" si="15"/>
        <v/>
      </c>
      <c r="I972" s="49"/>
      <c r="J972" s="49"/>
      <c r="K972" s="49"/>
      <c r="L972" s="53">
        <f>O972*CFGRECT!$S$10</f>
        <v>0</v>
      </c>
      <c r="M972" s="53">
        <f>P972*CFGRECT!$T$10</f>
        <v>0</v>
      </c>
      <c r="N972" s="26"/>
      <c r="O972" s="227"/>
      <c r="P972" s="227"/>
      <c r="Q972" s="26"/>
      <c r="R972" s="26"/>
      <c r="S972" s="26"/>
      <c r="T972" s="26"/>
    </row>
    <row r="973" spans="6:20">
      <c r="F973" s="49"/>
      <c r="G973" s="49"/>
      <c r="H973" s="51" t="str">
        <f t="shared" si="15"/>
        <v/>
      </c>
      <c r="I973" s="49"/>
      <c r="J973" s="49"/>
      <c r="K973" s="49"/>
      <c r="L973" s="53">
        <f>O973*CFGRECT!$S$10</f>
        <v>0</v>
      </c>
      <c r="M973" s="53">
        <f>P973*CFGRECT!$T$10</f>
        <v>0</v>
      </c>
      <c r="N973" s="26"/>
      <c r="O973" s="227"/>
      <c r="P973" s="227"/>
      <c r="Q973" s="26"/>
      <c r="R973" s="26"/>
      <c r="S973" s="26"/>
      <c r="T973" s="26"/>
    </row>
    <row r="974" spans="6:20">
      <c r="F974" s="49"/>
      <c r="G974" s="49"/>
      <c r="H974" s="51" t="str">
        <f t="shared" si="15"/>
        <v/>
      </c>
      <c r="I974" s="49"/>
      <c r="J974" s="49"/>
      <c r="K974" s="49"/>
      <c r="L974" s="53">
        <f>O974*CFGRECT!$S$10</f>
        <v>0</v>
      </c>
      <c r="M974" s="53">
        <f>P974*CFGRECT!$T$10</f>
        <v>0</v>
      </c>
      <c r="N974" s="26"/>
      <c r="O974" s="227"/>
      <c r="P974" s="227"/>
      <c r="Q974" s="26"/>
      <c r="R974" s="26"/>
      <c r="S974" s="26"/>
      <c r="T974" s="26"/>
    </row>
    <row r="975" spans="6:20">
      <c r="F975" s="49"/>
      <c r="G975" s="49"/>
      <c r="H975" s="51" t="str">
        <f t="shared" si="15"/>
        <v/>
      </c>
      <c r="I975" s="49"/>
      <c r="J975" s="49"/>
      <c r="K975" s="49"/>
      <c r="L975" s="53">
        <f>O975*CFGRECT!$S$10</f>
        <v>0</v>
      </c>
      <c r="M975" s="53">
        <f>P975*CFGRECT!$T$10</f>
        <v>0</v>
      </c>
      <c r="N975" s="26"/>
      <c r="O975" s="227"/>
      <c r="P975" s="227"/>
      <c r="Q975" s="26"/>
      <c r="R975" s="26"/>
      <c r="S975" s="26"/>
      <c r="T975" s="26"/>
    </row>
    <row r="976" spans="6:20">
      <c r="F976" s="49"/>
      <c r="G976" s="49"/>
      <c r="H976" s="51" t="str">
        <f t="shared" si="15"/>
        <v/>
      </c>
      <c r="I976" s="49"/>
      <c r="J976" s="49"/>
      <c r="K976" s="49"/>
      <c r="L976" s="53">
        <f>O976*CFGRECT!$S$10</f>
        <v>0</v>
      </c>
      <c r="M976" s="53">
        <f>P976*CFGRECT!$T$10</f>
        <v>0</v>
      </c>
      <c r="N976" s="26"/>
      <c r="O976" s="227"/>
      <c r="P976" s="227"/>
      <c r="Q976" s="26"/>
      <c r="R976" s="26"/>
      <c r="S976" s="26"/>
      <c r="T976" s="26"/>
    </row>
    <row r="977" spans="6:20">
      <c r="F977" s="49"/>
      <c r="G977" s="49"/>
      <c r="H977" s="51" t="str">
        <f t="shared" ref="H977:H1000" si="16">F977&amp;IF(G977="",""," - "&amp;G977)</f>
        <v/>
      </c>
      <c r="I977" s="49"/>
      <c r="J977" s="49"/>
      <c r="K977" s="49"/>
      <c r="L977" s="53">
        <f>O977*CFGRECT!$S$10</f>
        <v>0</v>
      </c>
      <c r="M977" s="53">
        <f>P977*CFGRECT!$T$10</f>
        <v>0</v>
      </c>
      <c r="N977" s="26"/>
      <c r="O977" s="227"/>
      <c r="P977" s="227"/>
      <c r="Q977" s="26"/>
      <c r="R977" s="26"/>
      <c r="S977" s="26"/>
      <c r="T977" s="26"/>
    </row>
    <row r="978" spans="6:20">
      <c r="F978" s="49"/>
      <c r="G978" s="49"/>
      <c r="H978" s="51" t="str">
        <f t="shared" si="16"/>
        <v/>
      </c>
      <c r="I978" s="49"/>
      <c r="J978" s="49"/>
      <c r="K978" s="49"/>
      <c r="L978" s="53">
        <f>O978*CFGRECT!$S$10</f>
        <v>0</v>
      </c>
      <c r="M978" s="53">
        <f>P978*CFGRECT!$T$10</f>
        <v>0</v>
      </c>
      <c r="N978" s="26"/>
      <c r="O978" s="227"/>
      <c r="P978" s="227"/>
      <c r="Q978" s="26"/>
      <c r="R978" s="26"/>
      <c r="S978" s="26"/>
      <c r="T978" s="26"/>
    </row>
    <row r="979" spans="6:20">
      <c r="F979" s="49"/>
      <c r="G979" s="49"/>
      <c r="H979" s="51" t="str">
        <f t="shared" si="16"/>
        <v/>
      </c>
      <c r="I979" s="49"/>
      <c r="J979" s="49"/>
      <c r="K979" s="49"/>
      <c r="L979" s="53">
        <f>O979*CFGRECT!$S$10</f>
        <v>0</v>
      </c>
      <c r="M979" s="53">
        <f>P979*CFGRECT!$T$10</f>
        <v>0</v>
      </c>
      <c r="N979" s="26"/>
      <c r="O979" s="227"/>
      <c r="P979" s="227"/>
      <c r="Q979" s="26"/>
      <c r="R979" s="26"/>
      <c r="S979" s="26"/>
      <c r="T979" s="26"/>
    </row>
    <row r="980" spans="6:20">
      <c r="F980" s="49"/>
      <c r="G980" s="49"/>
      <c r="H980" s="51" t="str">
        <f t="shared" si="16"/>
        <v/>
      </c>
      <c r="I980" s="49"/>
      <c r="J980" s="49"/>
      <c r="K980" s="49"/>
      <c r="L980" s="53">
        <f>O980*CFGRECT!$S$10</f>
        <v>0</v>
      </c>
      <c r="M980" s="53">
        <f>P980*CFGRECT!$T$10</f>
        <v>0</v>
      </c>
      <c r="N980" s="26"/>
      <c r="O980" s="227"/>
      <c r="P980" s="227"/>
      <c r="Q980" s="26"/>
      <c r="R980" s="26"/>
      <c r="S980" s="26"/>
      <c r="T980" s="26"/>
    </row>
    <row r="981" spans="6:20">
      <c r="F981" s="49"/>
      <c r="G981" s="49"/>
      <c r="H981" s="51" t="str">
        <f t="shared" si="16"/>
        <v/>
      </c>
      <c r="I981" s="49"/>
      <c r="J981" s="49"/>
      <c r="K981" s="49"/>
      <c r="L981" s="53">
        <f>O981*CFGRECT!$S$10</f>
        <v>0</v>
      </c>
      <c r="M981" s="53">
        <f>P981*CFGRECT!$T$10</f>
        <v>0</v>
      </c>
      <c r="N981" s="26"/>
      <c r="O981" s="227"/>
      <c r="P981" s="227"/>
      <c r="Q981" s="26"/>
      <c r="R981" s="26"/>
      <c r="S981" s="26"/>
      <c r="T981" s="26"/>
    </row>
    <row r="982" spans="6:20">
      <c r="F982" s="49"/>
      <c r="G982" s="49"/>
      <c r="H982" s="51" t="str">
        <f t="shared" si="16"/>
        <v/>
      </c>
      <c r="I982" s="49"/>
      <c r="J982" s="49"/>
      <c r="K982" s="49"/>
      <c r="L982" s="53">
        <f>O982*CFGRECT!$S$10</f>
        <v>0</v>
      </c>
      <c r="M982" s="53">
        <f>P982*CFGRECT!$T$10</f>
        <v>0</v>
      </c>
      <c r="N982" s="26"/>
      <c r="O982" s="227"/>
      <c r="P982" s="227"/>
      <c r="Q982" s="26"/>
      <c r="R982" s="26"/>
      <c r="S982" s="26"/>
      <c r="T982" s="26"/>
    </row>
    <row r="983" spans="6:20">
      <c r="F983" s="49"/>
      <c r="G983" s="49"/>
      <c r="H983" s="51" t="str">
        <f t="shared" si="16"/>
        <v/>
      </c>
      <c r="I983" s="49"/>
      <c r="J983" s="49"/>
      <c r="K983" s="49"/>
      <c r="L983" s="53">
        <f>O983*CFGRECT!$S$10</f>
        <v>0</v>
      </c>
      <c r="M983" s="53">
        <f>P983*CFGRECT!$T$10</f>
        <v>0</v>
      </c>
      <c r="N983" s="26"/>
      <c r="O983" s="227"/>
      <c r="P983" s="227"/>
      <c r="Q983" s="26"/>
      <c r="R983" s="26"/>
      <c r="S983" s="26"/>
      <c r="T983" s="26"/>
    </row>
    <row r="984" spans="6:20">
      <c r="F984" s="49"/>
      <c r="G984" s="49"/>
      <c r="H984" s="51" t="str">
        <f t="shared" si="16"/>
        <v/>
      </c>
      <c r="I984" s="49"/>
      <c r="J984" s="49"/>
      <c r="K984" s="49"/>
      <c r="L984" s="53">
        <f>O984*CFGRECT!$S$10</f>
        <v>0</v>
      </c>
      <c r="M984" s="53">
        <f>P984*CFGRECT!$T$10</f>
        <v>0</v>
      </c>
      <c r="N984" s="26"/>
      <c r="O984" s="227"/>
      <c r="P984" s="227"/>
      <c r="Q984" s="26"/>
      <c r="R984" s="26"/>
      <c r="S984" s="26"/>
      <c r="T984" s="26"/>
    </row>
    <row r="985" spans="6:20">
      <c r="F985" s="49"/>
      <c r="G985" s="49"/>
      <c r="H985" s="51" t="str">
        <f t="shared" si="16"/>
        <v/>
      </c>
      <c r="I985" s="49"/>
      <c r="J985" s="49"/>
      <c r="K985" s="49"/>
      <c r="L985" s="53">
        <f>O985*CFGRECT!$S$10</f>
        <v>0</v>
      </c>
      <c r="M985" s="53">
        <f>P985*CFGRECT!$T$10</f>
        <v>0</v>
      </c>
      <c r="N985" s="26"/>
      <c r="O985" s="227"/>
      <c r="P985" s="227"/>
      <c r="Q985" s="26"/>
      <c r="R985" s="26"/>
      <c r="S985" s="26"/>
      <c r="T985" s="26"/>
    </row>
    <row r="986" spans="6:20">
      <c r="F986" s="49"/>
      <c r="G986" s="49"/>
      <c r="H986" s="51" t="str">
        <f t="shared" si="16"/>
        <v/>
      </c>
      <c r="I986" s="49"/>
      <c r="J986" s="49"/>
      <c r="K986" s="49"/>
      <c r="L986" s="53">
        <f>O986*CFGRECT!$S$10</f>
        <v>0</v>
      </c>
      <c r="M986" s="53">
        <f>P986*CFGRECT!$T$10</f>
        <v>0</v>
      </c>
      <c r="N986" s="26"/>
      <c r="O986" s="227"/>
      <c r="P986" s="227"/>
      <c r="Q986" s="26"/>
      <c r="R986" s="26"/>
      <c r="S986" s="26"/>
      <c r="T986" s="26"/>
    </row>
    <row r="987" spans="6:20">
      <c r="F987" s="49"/>
      <c r="G987" s="49"/>
      <c r="H987" s="51" t="str">
        <f t="shared" si="16"/>
        <v/>
      </c>
      <c r="I987" s="49"/>
      <c r="J987" s="49"/>
      <c r="K987" s="49"/>
      <c r="L987" s="53">
        <f>O987*CFGRECT!$S$10</f>
        <v>0</v>
      </c>
      <c r="M987" s="53">
        <f>P987*CFGRECT!$T$10</f>
        <v>0</v>
      </c>
      <c r="N987" s="26"/>
      <c r="O987" s="227"/>
      <c r="P987" s="227"/>
      <c r="Q987" s="26"/>
      <c r="R987" s="26"/>
      <c r="S987" s="26"/>
      <c r="T987" s="26"/>
    </row>
    <row r="988" spans="6:20">
      <c r="F988" s="49"/>
      <c r="G988" s="49"/>
      <c r="H988" s="51" t="str">
        <f t="shared" si="16"/>
        <v/>
      </c>
      <c r="I988" s="49"/>
      <c r="J988" s="49"/>
      <c r="K988" s="49"/>
      <c r="L988" s="53">
        <f>O988*CFGRECT!$S$10</f>
        <v>0</v>
      </c>
      <c r="M988" s="53">
        <f>P988*CFGRECT!$T$10</f>
        <v>0</v>
      </c>
      <c r="N988" s="26"/>
      <c r="O988" s="227"/>
      <c r="P988" s="227"/>
      <c r="Q988" s="26"/>
      <c r="R988" s="26"/>
      <c r="S988" s="26"/>
      <c r="T988" s="26"/>
    </row>
    <row r="989" spans="6:20">
      <c r="F989" s="49"/>
      <c r="G989" s="49"/>
      <c r="H989" s="51" t="str">
        <f t="shared" si="16"/>
        <v/>
      </c>
      <c r="I989" s="49"/>
      <c r="J989" s="49"/>
      <c r="K989" s="49"/>
      <c r="L989" s="53">
        <f>O989*CFGRECT!$S$10</f>
        <v>0</v>
      </c>
      <c r="M989" s="53">
        <f>P989*CFGRECT!$T$10</f>
        <v>0</v>
      </c>
      <c r="N989" s="26"/>
      <c r="O989" s="227"/>
      <c r="P989" s="227"/>
      <c r="Q989" s="26"/>
      <c r="R989" s="26"/>
      <c r="S989" s="26"/>
      <c r="T989" s="26"/>
    </row>
    <row r="990" spans="6:20">
      <c r="F990" s="49"/>
      <c r="G990" s="49"/>
      <c r="H990" s="51" t="str">
        <f t="shared" si="16"/>
        <v/>
      </c>
      <c r="I990" s="49"/>
      <c r="J990" s="49"/>
      <c r="K990" s="49"/>
      <c r="L990" s="53">
        <f>O990*CFGRECT!$S$10</f>
        <v>0</v>
      </c>
      <c r="M990" s="53">
        <f>P990*CFGRECT!$T$10</f>
        <v>0</v>
      </c>
      <c r="N990" s="26"/>
      <c r="O990" s="227"/>
      <c r="P990" s="227"/>
      <c r="Q990" s="26"/>
      <c r="R990" s="26"/>
      <c r="S990" s="26"/>
      <c r="T990" s="26"/>
    </row>
    <row r="991" spans="6:20">
      <c r="F991" s="49"/>
      <c r="G991" s="49"/>
      <c r="H991" s="51" t="str">
        <f t="shared" si="16"/>
        <v/>
      </c>
      <c r="I991" s="49"/>
      <c r="J991" s="49"/>
      <c r="K991" s="49"/>
      <c r="L991" s="53">
        <f>O991*CFGRECT!$S$10</f>
        <v>0</v>
      </c>
      <c r="M991" s="53">
        <f>P991*CFGRECT!$T$10</f>
        <v>0</v>
      </c>
      <c r="N991" s="26"/>
      <c r="O991" s="227"/>
      <c r="P991" s="227"/>
      <c r="Q991" s="26"/>
      <c r="R991" s="26"/>
      <c r="S991" s="26"/>
      <c r="T991" s="26"/>
    </row>
    <row r="992" spans="6:20">
      <c r="F992" s="49"/>
      <c r="G992" s="49"/>
      <c r="H992" s="51" t="str">
        <f t="shared" si="16"/>
        <v/>
      </c>
      <c r="I992" s="49"/>
      <c r="J992" s="49"/>
      <c r="K992" s="49"/>
      <c r="L992" s="53">
        <f>O992*CFGRECT!$S$10</f>
        <v>0</v>
      </c>
      <c r="M992" s="53">
        <f>P992*CFGRECT!$T$10</f>
        <v>0</v>
      </c>
      <c r="N992" s="26"/>
      <c r="O992" s="227"/>
      <c r="P992" s="227"/>
      <c r="Q992" s="26"/>
      <c r="R992" s="26"/>
      <c r="S992" s="26"/>
      <c r="T992" s="26"/>
    </row>
    <row r="993" spans="6:20">
      <c r="F993" s="49"/>
      <c r="G993" s="49"/>
      <c r="H993" s="51" t="str">
        <f t="shared" si="16"/>
        <v/>
      </c>
      <c r="I993" s="49"/>
      <c r="J993" s="49"/>
      <c r="K993" s="49"/>
      <c r="L993" s="53">
        <f>O993*CFGRECT!$S$10</f>
        <v>0</v>
      </c>
      <c r="M993" s="53">
        <f>P993*CFGRECT!$T$10</f>
        <v>0</v>
      </c>
      <c r="N993" s="26"/>
      <c r="O993" s="227"/>
      <c r="P993" s="227"/>
      <c r="Q993" s="26"/>
      <c r="R993" s="26"/>
      <c r="S993" s="26"/>
      <c r="T993" s="26"/>
    </row>
    <row r="994" spans="6:20">
      <c r="F994" s="49"/>
      <c r="G994" s="49"/>
      <c r="H994" s="51" t="str">
        <f t="shared" si="16"/>
        <v/>
      </c>
      <c r="I994" s="49"/>
      <c r="J994" s="49"/>
      <c r="K994" s="49"/>
      <c r="L994" s="53">
        <f>O994*CFGRECT!$S$10</f>
        <v>0</v>
      </c>
      <c r="M994" s="53">
        <f>P994*CFGRECT!$T$10</f>
        <v>0</v>
      </c>
      <c r="N994" s="26"/>
      <c r="O994" s="227"/>
      <c r="P994" s="227"/>
      <c r="Q994" s="26"/>
      <c r="R994" s="26"/>
      <c r="S994" s="26"/>
      <c r="T994" s="26"/>
    </row>
    <row r="995" spans="6:20">
      <c r="F995" s="49"/>
      <c r="G995" s="49"/>
      <c r="H995" s="51" t="str">
        <f t="shared" si="16"/>
        <v/>
      </c>
      <c r="I995" s="49"/>
      <c r="J995" s="49"/>
      <c r="K995" s="49"/>
      <c r="L995" s="53">
        <f>O995*CFGRECT!$S$10</f>
        <v>0</v>
      </c>
      <c r="M995" s="53">
        <f>P995*CFGRECT!$T$10</f>
        <v>0</v>
      </c>
      <c r="N995" s="26"/>
      <c r="O995" s="227"/>
      <c r="P995" s="227"/>
      <c r="Q995" s="26"/>
      <c r="R995" s="26"/>
      <c r="S995" s="26"/>
      <c r="T995" s="26"/>
    </row>
    <row r="996" spans="6:20">
      <c r="F996" s="49"/>
      <c r="G996" s="49"/>
      <c r="H996" s="51" t="str">
        <f t="shared" si="16"/>
        <v/>
      </c>
      <c r="I996" s="49"/>
      <c r="J996" s="49"/>
      <c r="K996" s="49"/>
      <c r="L996" s="53">
        <f>O996*CFGRECT!$S$10</f>
        <v>0</v>
      </c>
      <c r="M996" s="53">
        <f>P996*CFGRECT!$T$10</f>
        <v>0</v>
      </c>
      <c r="N996" s="26"/>
      <c r="O996" s="227"/>
      <c r="P996" s="227"/>
      <c r="Q996" s="26"/>
      <c r="R996" s="26"/>
      <c r="S996" s="26"/>
      <c r="T996" s="26"/>
    </row>
    <row r="997" spans="6:20">
      <c r="F997" s="49"/>
      <c r="G997" s="49"/>
      <c r="H997" s="51" t="str">
        <f t="shared" si="16"/>
        <v/>
      </c>
      <c r="I997" s="49"/>
      <c r="J997" s="49"/>
      <c r="K997" s="49"/>
      <c r="L997" s="53">
        <f>O997*CFGRECT!$S$10</f>
        <v>0</v>
      </c>
      <c r="M997" s="53">
        <f>P997*CFGRECT!$T$10</f>
        <v>0</v>
      </c>
      <c r="N997" s="26"/>
      <c r="O997" s="227"/>
      <c r="P997" s="227"/>
      <c r="Q997" s="26"/>
      <c r="R997" s="26"/>
      <c r="S997" s="26"/>
      <c r="T997" s="26"/>
    </row>
    <row r="998" spans="6:20">
      <c r="F998" s="49"/>
      <c r="G998" s="49"/>
      <c r="H998" s="51" t="str">
        <f t="shared" si="16"/>
        <v/>
      </c>
      <c r="I998" s="49"/>
      <c r="J998" s="49"/>
      <c r="K998" s="49"/>
      <c r="L998" s="53">
        <f>O998*CFGRECT!$S$10</f>
        <v>0</v>
      </c>
      <c r="M998" s="53">
        <f>P998*CFGRECT!$T$10</f>
        <v>0</v>
      </c>
      <c r="N998" s="26"/>
      <c r="O998" s="227"/>
      <c r="P998" s="227"/>
      <c r="Q998" s="26"/>
      <c r="R998" s="26"/>
      <c r="S998" s="26"/>
      <c r="T998" s="26"/>
    </row>
    <row r="999" spans="6:20">
      <c r="F999" s="49"/>
      <c r="G999" s="49"/>
      <c r="H999" s="51" t="str">
        <f t="shared" si="16"/>
        <v/>
      </c>
      <c r="I999" s="49"/>
      <c r="J999" s="49"/>
      <c r="K999" s="49"/>
      <c r="L999" s="53">
        <f>O999*CFGRECT!$S$10</f>
        <v>0</v>
      </c>
      <c r="M999" s="53">
        <f>P999*CFGRECT!$T$10</f>
        <v>0</v>
      </c>
      <c r="N999" s="26"/>
      <c r="O999" s="227"/>
      <c r="P999" s="227"/>
      <c r="Q999" s="26"/>
      <c r="R999" s="26"/>
      <c r="S999" s="26"/>
      <c r="T999" s="26"/>
    </row>
    <row r="1000" spans="6:20">
      <c r="F1000" s="49"/>
      <c r="G1000" s="49"/>
      <c r="H1000" s="51" t="str">
        <f t="shared" si="16"/>
        <v/>
      </c>
      <c r="I1000" s="49"/>
      <c r="J1000" s="49"/>
      <c r="K1000" s="49"/>
      <c r="L1000" s="53">
        <f>O1000*CFGRECT!$S$10</f>
        <v>0</v>
      </c>
      <c r="M1000" s="53">
        <f>P1000*CFGRECT!$T$10</f>
        <v>0</v>
      </c>
      <c r="N1000" s="26"/>
      <c r="O1000" s="227"/>
      <c r="P1000" s="227"/>
      <c r="Q1000" s="26"/>
      <c r="R1000" s="26"/>
      <c r="S1000" s="26"/>
      <c r="T1000" s="26"/>
    </row>
  </sheetData>
  <mergeCells count="40">
    <mergeCell ref="U8:U9"/>
    <mergeCell ref="S8:S9"/>
    <mergeCell ref="T8:T9"/>
    <mergeCell ref="M8:M9"/>
    <mergeCell ref="N8:N9"/>
    <mergeCell ref="O8:O9"/>
    <mergeCell ref="P8:P9"/>
    <mergeCell ref="Q8:Q9"/>
    <mergeCell ref="R8:R9"/>
    <mergeCell ref="B46:D46"/>
    <mergeCell ref="B47:D47"/>
    <mergeCell ref="B48:D48"/>
    <mergeCell ref="F8:F9"/>
    <mergeCell ref="G8:G9"/>
    <mergeCell ref="B44:D44"/>
    <mergeCell ref="B45:D45"/>
    <mergeCell ref="B33:D33"/>
    <mergeCell ref="B28:D28"/>
    <mergeCell ref="B29:D29"/>
    <mergeCell ref="B30:D30"/>
    <mergeCell ref="B31:D31"/>
    <mergeCell ref="B32:D32"/>
    <mergeCell ref="B40:D40"/>
    <mergeCell ref="B41:D41"/>
    <mergeCell ref="B42:D42"/>
    <mergeCell ref="B43:D43"/>
    <mergeCell ref="B34:D34"/>
    <mergeCell ref="B35:D35"/>
    <mergeCell ref="B36:D36"/>
    <mergeCell ref="B37:D37"/>
    <mergeCell ref="B38:D38"/>
    <mergeCell ref="B39:D39"/>
    <mergeCell ref="F2:N4"/>
    <mergeCell ref="B26:D26"/>
    <mergeCell ref="B27:D27"/>
    <mergeCell ref="I8:I9"/>
    <mergeCell ref="J8:J9"/>
    <mergeCell ref="K8:K9"/>
    <mergeCell ref="L8:L9"/>
    <mergeCell ref="H8:H9"/>
  </mergeCells>
  <phoneticPr fontId="10" type="noConversion"/>
  <hyperlinks>
    <hyperlink ref="B10" location="'DASH'!A1" display="DASHBOARD" xr:uid="{7AFBDEC7-916E-439D-BC25-32580190F02C}"/>
    <hyperlink ref="B11" location="'DES-GL'!A1" display="DESIGN GUIDELINES" xr:uid="{5C40CD79-D8C9-4C18-B366-0B1CD0A9953D}"/>
    <hyperlink ref="B13" location="'EXT-MAINS-DT'!A1" display="EXISTING POWER DESIGN" xr:uid="{5B987519-7E60-4C67-A005-9E41538C7798}"/>
    <hyperlink ref="B14" location="'EXT-CALC'!A1" display="EXISTING DEMAND" xr:uid="{3D33DD57-D1B0-45FA-929C-FDEA0A450F84}"/>
    <hyperlink ref="B16" location="'CALC'!A1" display="POWER CALCULATOR" xr:uid="{AA1D6D52-E82F-4014-B4F1-716DFCF63D1D}"/>
    <hyperlink ref="B17" location="'PLBC-CALC'!A1" display="PLBC CALCULATOR" xr:uid="{58DC69F7-C896-4B81-82CA-B5F1D7725D9B}"/>
    <hyperlink ref="B18" location="'VDC'!A1" display="VD CALCULATOR" xr:uid="{16BC162B-05F4-4F84-A8D1-D1FE7A030F8A}"/>
    <hyperlink ref="B20" location="'PRP-SOL'!A1" display="PROPOSED POWER DESIGN" xr:uid="{8A892192-E05E-4B83-B579-0F61F0D63DDF}"/>
    <hyperlink ref="B25" location="'DC'!A1" display="DOCUMENT CONTROL" xr:uid="{4D84B966-2D16-4A0D-B96E-4D1C51A0FA93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B832-6584-4CC2-834F-2378B1D41D0F}">
  <sheetPr codeName="Sheet27"/>
  <dimension ref="B1:V54"/>
  <sheetViews>
    <sheetView showGridLines="0" topLeftCell="E2" zoomScale="115" zoomScaleNormal="115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9.5703125" customWidth="1"/>
    <col min="7" max="7" width="20.28515625" customWidth="1"/>
    <col min="8" max="8" width="36.28515625" style="17" customWidth="1"/>
    <col min="9" max="9" width="9.28515625" customWidth="1"/>
    <col min="10" max="10" width="14.7109375" customWidth="1"/>
    <col min="11" max="11" width="30.28515625" customWidth="1"/>
    <col min="12" max="12" width="62.7109375" customWidth="1"/>
    <col min="13" max="13" width="18.28515625" customWidth="1"/>
    <col min="14" max="14" width="25.28515625" customWidth="1"/>
    <col min="15" max="15" width="32.28515625" customWidth="1"/>
    <col min="16" max="16" width="23" customWidth="1"/>
    <col min="17" max="17" width="21" customWidth="1"/>
    <col min="18" max="18" width="15.28515625" customWidth="1"/>
    <col min="19" max="19" width="20.28515625" customWidth="1"/>
    <col min="20" max="20" width="20.7109375" customWidth="1"/>
    <col min="21" max="21" width="16.28515625" customWidth="1"/>
    <col min="22" max="22" width="12.7109375" customWidth="1"/>
    <col min="23" max="23" width="13" customWidth="1"/>
    <col min="24" max="24" width="3" customWidth="1"/>
    <col min="25" max="25" width="38.7109375" customWidth="1"/>
  </cols>
  <sheetData>
    <row r="1" spans="2:22" ht="15" hidden="1" customHeight="1"/>
    <row r="2" spans="2:22" ht="15" customHeight="1">
      <c r="F2" s="287" t="s">
        <v>575</v>
      </c>
      <c r="G2" s="287"/>
      <c r="H2" s="287"/>
      <c r="I2" s="287"/>
      <c r="J2" s="287"/>
      <c r="K2" s="287"/>
      <c r="L2" s="287"/>
      <c r="M2" s="287"/>
      <c r="N2" s="287"/>
      <c r="O2" s="287"/>
    </row>
    <row r="3" spans="2:22" ht="15" customHeight="1">
      <c r="F3" s="287"/>
      <c r="G3" s="287"/>
      <c r="H3" s="287"/>
      <c r="I3" s="287"/>
      <c r="J3" s="287"/>
      <c r="K3" s="287"/>
      <c r="L3" s="287"/>
      <c r="M3" s="287"/>
      <c r="N3" s="287"/>
      <c r="O3" s="287"/>
    </row>
    <row r="4" spans="2:22" ht="15" customHeight="1">
      <c r="F4" s="288"/>
      <c r="G4" s="288"/>
      <c r="H4" s="288"/>
      <c r="I4" s="288"/>
      <c r="J4" s="288"/>
      <c r="K4" s="288"/>
      <c r="L4" s="288"/>
      <c r="M4" s="288"/>
      <c r="N4" s="288"/>
      <c r="O4" s="288"/>
    </row>
    <row r="5" spans="2:22">
      <c r="F5" t="s">
        <v>576</v>
      </c>
    </row>
    <row r="7" spans="2:22">
      <c r="C7" s="2" t="s">
        <v>152</v>
      </c>
      <c r="D7" s="12">
        <f>DCVer</f>
        <v>12.7</v>
      </c>
    </row>
    <row r="8" spans="2:22" ht="15" customHeight="1">
      <c r="F8" s="51"/>
      <c r="G8" s="51"/>
      <c r="H8" s="51"/>
      <c r="I8" s="53"/>
      <c r="J8" s="53"/>
      <c r="K8" s="53"/>
      <c r="L8" s="53"/>
      <c r="M8" s="53"/>
      <c r="N8" s="53"/>
      <c r="O8" s="53"/>
      <c r="P8" s="53"/>
      <c r="Q8" s="53"/>
      <c r="R8" s="484" t="s">
        <v>866</v>
      </c>
      <c r="S8" s="484"/>
      <c r="T8" s="484"/>
      <c r="U8" s="484"/>
      <c r="V8" s="484"/>
    </row>
    <row r="9" spans="2:22">
      <c r="B9" s="18"/>
      <c r="C9" s="18"/>
      <c r="D9" s="18"/>
      <c r="F9" s="51" t="s">
        <v>1375</v>
      </c>
      <c r="G9" s="51" t="s">
        <v>781</v>
      </c>
      <c r="H9" s="51" t="s">
        <v>779</v>
      </c>
      <c r="I9" s="51" t="s">
        <v>1376</v>
      </c>
      <c r="J9" s="51" t="s">
        <v>591</v>
      </c>
      <c r="K9" s="51" t="s">
        <v>1377</v>
      </c>
      <c r="L9" s="51" t="s">
        <v>556</v>
      </c>
      <c r="M9" s="53" t="s">
        <v>1378</v>
      </c>
      <c r="N9" s="53" t="s">
        <v>1379</v>
      </c>
      <c r="O9" s="53" t="s">
        <v>1380</v>
      </c>
      <c r="P9" s="53" t="s">
        <v>1381</v>
      </c>
      <c r="Q9" s="53" t="s">
        <v>1382</v>
      </c>
      <c r="R9" s="50"/>
      <c r="S9" s="50"/>
      <c r="T9" s="50"/>
      <c r="U9" s="50"/>
      <c r="V9" s="50"/>
    </row>
    <row r="10" spans="2:22">
      <c r="B10" s="18" t="s">
        <v>151</v>
      </c>
      <c r="C10" s="18"/>
      <c r="D10" s="18"/>
      <c r="F10" s="51"/>
      <c r="G10" s="53" t="s">
        <v>879</v>
      </c>
      <c r="H10" s="87" t="s">
        <v>1383</v>
      </c>
      <c r="I10" s="87" t="s">
        <v>459</v>
      </c>
      <c r="J10" s="53" t="s">
        <v>1384</v>
      </c>
      <c r="K10" s="53" t="s">
        <v>1385</v>
      </c>
      <c r="L10" s="59"/>
      <c r="M10" s="87"/>
      <c r="N10" s="53">
        <v>5430</v>
      </c>
      <c r="O10" s="53"/>
      <c r="P10" s="87">
        <v>1920</v>
      </c>
      <c r="Q10" s="51">
        <v>2760</v>
      </c>
      <c r="R10" s="51"/>
      <c r="S10" s="51"/>
      <c r="T10" s="51"/>
      <c r="U10" s="51"/>
      <c r="V10" s="51"/>
    </row>
    <row r="11" spans="2:22">
      <c r="B11" s="18" t="s">
        <v>155</v>
      </c>
      <c r="C11" s="18"/>
      <c r="D11" s="18"/>
      <c r="F11" s="51"/>
      <c r="G11" s="53" t="s">
        <v>1386</v>
      </c>
      <c r="H11" s="87" t="s">
        <v>1387</v>
      </c>
      <c r="I11" s="87" t="s">
        <v>459</v>
      </c>
      <c r="J11" s="53" t="s">
        <v>1384</v>
      </c>
      <c r="K11" s="53" t="s">
        <v>1385</v>
      </c>
      <c r="L11" s="59"/>
      <c r="M11" s="87"/>
      <c r="N11" s="53">
        <v>4350</v>
      </c>
      <c r="O11" s="53"/>
      <c r="P11" s="87">
        <v>3000</v>
      </c>
      <c r="Q11" s="51">
        <v>3450</v>
      </c>
      <c r="R11" s="51"/>
      <c r="S11" s="51"/>
      <c r="T11" s="51"/>
      <c r="U11" s="51"/>
      <c r="V11" s="51"/>
    </row>
    <row r="12" spans="2:22">
      <c r="B12" s="18"/>
      <c r="C12" s="18"/>
      <c r="D12" s="18"/>
      <c r="F12" s="51"/>
      <c r="G12" s="53" t="s">
        <v>1386</v>
      </c>
      <c r="H12" s="87" t="s">
        <v>1388</v>
      </c>
      <c r="I12" s="87" t="s">
        <v>459</v>
      </c>
      <c r="J12" s="53" t="s">
        <v>1384</v>
      </c>
      <c r="K12" s="53" t="s">
        <v>1385</v>
      </c>
      <c r="L12" s="53"/>
      <c r="M12" s="87"/>
      <c r="N12" s="53">
        <v>3750</v>
      </c>
      <c r="O12" s="53"/>
      <c r="P12" s="87">
        <v>2587</v>
      </c>
      <c r="Q12" s="51">
        <v>3450</v>
      </c>
      <c r="R12" s="53"/>
      <c r="S12" s="53"/>
      <c r="T12" s="53"/>
      <c r="U12" s="53"/>
      <c r="V12" s="53"/>
    </row>
    <row r="13" spans="2:22">
      <c r="B13" s="18" t="s">
        <v>159</v>
      </c>
      <c r="C13" s="18"/>
      <c r="D13" s="18"/>
      <c r="F13" s="51"/>
      <c r="G13" s="53" t="s">
        <v>1389</v>
      </c>
      <c r="H13" s="87" t="s">
        <v>1390</v>
      </c>
      <c r="I13" s="87" t="s">
        <v>459</v>
      </c>
      <c r="J13" s="53" t="s">
        <v>1384</v>
      </c>
      <c r="K13" s="53" t="s">
        <v>1391</v>
      </c>
      <c r="L13" s="53"/>
      <c r="M13" s="87"/>
      <c r="N13" s="51">
        <v>4700</v>
      </c>
      <c r="O13" s="53"/>
      <c r="P13" s="87">
        <v>1840</v>
      </c>
      <c r="Q13" s="50">
        <v>3910</v>
      </c>
      <c r="R13" s="51"/>
      <c r="S13" s="51"/>
      <c r="T13" s="51"/>
      <c r="U13" s="51"/>
      <c r="V13" s="51"/>
    </row>
    <row r="14" spans="2:22">
      <c r="B14" s="18" t="s">
        <v>162</v>
      </c>
      <c r="C14" s="18"/>
      <c r="D14" s="18"/>
      <c r="F14" s="51"/>
      <c r="G14" s="53" t="s">
        <v>1389</v>
      </c>
      <c r="H14" s="87" t="s">
        <v>1392</v>
      </c>
      <c r="I14" s="87" t="s">
        <v>459</v>
      </c>
      <c r="J14" s="53" t="s">
        <v>1384</v>
      </c>
      <c r="K14" s="53" t="s">
        <v>1391</v>
      </c>
      <c r="L14" s="53"/>
      <c r="M14" s="87"/>
      <c r="N14" s="51">
        <v>5100</v>
      </c>
      <c r="O14" s="53"/>
      <c r="P14" s="87">
        <v>2231</v>
      </c>
      <c r="Q14" s="50">
        <v>3910</v>
      </c>
      <c r="R14" s="51"/>
      <c r="S14" s="51"/>
      <c r="T14" s="51"/>
      <c r="U14" s="51"/>
      <c r="V14" s="51"/>
    </row>
    <row r="15" spans="2:22">
      <c r="B15" s="18"/>
      <c r="C15" s="18"/>
      <c r="D15" s="18"/>
      <c r="F15" s="51"/>
      <c r="G15" s="53" t="s">
        <v>1389</v>
      </c>
      <c r="H15" s="87" t="s">
        <v>1393</v>
      </c>
      <c r="I15" s="87" t="s">
        <v>459</v>
      </c>
      <c r="J15" s="53" t="s">
        <v>1384</v>
      </c>
      <c r="K15" s="53" t="s">
        <v>1391</v>
      </c>
      <c r="L15" s="53"/>
      <c r="M15" s="87"/>
      <c r="N15" s="51">
        <v>5700</v>
      </c>
      <c r="O15" s="53"/>
      <c r="P15" s="87">
        <v>2415</v>
      </c>
      <c r="Q15" s="50">
        <v>3910</v>
      </c>
      <c r="R15" s="51"/>
      <c r="S15" s="51"/>
      <c r="T15" s="51"/>
      <c r="U15" s="51"/>
      <c r="V15" s="51"/>
    </row>
    <row r="16" spans="2:22">
      <c r="B16" s="18" t="s">
        <v>167</v>
      </c>
      <c r="C16" s="18"/>
      <c r="D16" s="18"/>
      <c r="F16" s="51"/>
      <c r="G16" s="53" t="s">
        <v>1386</v>
      </c>
      <c r="H16" s="87" t="s">
        <v>1394</v>
      </c>
      <c r="I16" s="87" t="s">
        <v>459</v>
      </c>
      <c r="J16" s="53" t="s">
        <v>1384</v>
      </c>
      <c r="K16" s="53" t="s">
        <v>1385</v>
      </c>
      <c r="L16" s="53"/>
      <c r="M16" s="87"/>
      <c r="N16" s="51">
        <v>3832</v>
      </c>
      <c r="O16" s="53"/>
      <c r="P16" s="87">
        <v>4790</v>
      </c>
      <c r="Q16" s="50" t="s">
        <v>329</v>
      </c>
      <c r="R16" s="51"/>
      <c r="S16" s="51"/>
      <c r="T16" s="51"/>
      <c r="U16" s="51"/>
      <c r="V16" s="51"/>
    </row>
    <row r="17" spans="2:22">
      <c r="B17" s="18" t="s">
        <v>170</v>
      </c>
      <c r="C17" s="18"/>
      <c r="D17" s="18"/>
      <c r="F17" s="51"/>
      <c r="G17" s="53" t="s">
        <v>1386</v>
      </c>
      <c r="H17" s="87" t="s">
        <v>1395</v>
      </c>
      <c r="I17" s="87" t="s">
        <v>459</v>
      </c>
      <c r="J17" s="53" t="s">
        <v>1384</v>
      </c>
      <c r="K17" s="53" t="s">
        <v>1385</v>
      </c>
      <c r="L17" s="53"/>
      <c r="M17" s="87"/>
      <c r="N17" s="51">
        <v>5280</v>
      </c>
      <c r="O17" s="53"/>
      <c r="P17" s="87">
        <v>6600</v>
      </c>
      <c r="Q17" s="50" t="s">
        <v>329</v>
      </c>
      <c r="R17" s="51"/>
      <c r="S17" s="51"/>
      <c r="T17" s="51"/>
      <c r="U17" s="51"/>
      <c r="V17" s="51"/>
    </row>
    <row r="18" spans="2:22">
      <c r="B18" s="18" t="s">
        <v>173</v>
      </c>
      <c r="C18" s="18"/>
      <c r="D18" s="18"/>
      <c r="F18" s="51"/>
      <c r="G18" s="53" t="s">
        <v>1396</v>
      </c>
      <c r="H18" s="87" t="s">
        <v>1397</v>
      </c>
      <c r="I18" s="87" t="s">
        <v>459</v>
      </c>
      <c r="J18" s="53" t="s">
        <v>1384</v>
      </c>
      <c r="K18" s="53" t="s">
        <v>1391</v>
      </c>
      <c r="L18" s="53"/>
      <c r="M18" s="87"/>
      <c r="N18" s="51">
        <v>5520</v>
      </c>
      <c r="O18" s="53"/>
      <c r="P18" s="87">
        <v>3480</v>
      </c>
      <c r="Q18" s="50" t="s">
        <v>329</v>
      </c>
      <c r="R18" s="51"/>
      <c r="S18" s="51"/>
      <c r="T18" s="51"/>
      <c r="U18" s="51"/>
      <c r="V18" s="51"/>
    </row>
    <row r="19" spans="2:22">
      <c r="B19" s="18"/>
      <c r="C19" s="18"/>
      <c r="D19" s="18"/>
      <c r="F19" s="51"/>
      <c r="G19" s="53" t="s">
        <v>1398</v>
      </c>
      <c r="H19" s="87" t="s">
        <v>1399</v>
      </c>
      <c r="I19" s="87" t="s">
        <v>459</v>
      </c>
      <c r="J19" s="53" t="s">
        <v>1384</v>
      </c>
      <c r="K19" s="53" t="s">
        <v>1391</v>
      </c>
      <c r="L19" s="53"/>
      <c r="M19" s="87"/>
      <c r="N19" s="51">
        <v>4880</v>
      </c>
      <c r="O19" s="53"/>
      <c r="P19" s="87">
        <v>2664</v>
      </c>
      <c r="Q19" s="50" t="s">
        <v>329</v>
      </c>
      <c r="R19" s="51"/>
      <c r="S19" s="51"/>
      <c r="T19" s="51"/>
      <c r="U19" s="51"/>
      <c r="V19" s="51"/>
    </row>
    <row r="20" spans="2:22">
      <c r="B20" s="18" t="s">
        <v>176</v>
      </c>
      <c r="C20" s="18"/>
      <c r="D20" s="18"/>
      <c r="F20" s="51"/>
      <c r="G20" s="53" t="s">
        <v>1400</v>
      </c>
      <c r="H20" s="87" t="s">
        <v>1401</v>
      </c>
      <c r="I20" s="87" t="s">
        <v>459</v>
      </c>
      <c r="J20" s="53" t="s">
        <v>1384</v>
      </c>
      <c r="K20" s="53" t="s">
        <v>1391</v>
      </c>
      <c r="L20" s="53"/>
      <c r="M20" s="87"/>
      <c r="N20" s="53">
        <v>6365</v>
      </c>
      <c r="O20" s="53"/>
      <c r="P20" s="87">
        <v>3103</v>
      </c>
      <c r="Q20" s="50">
        <v>3910</v>
      </c>
      <c r="R20" s="53"/>
      <c r="S20" s="53"/>
      <c r="T20" s="53"/>
      <c r="U20" s="53"/>
      <c r="V20" s="53"/>
    </row>
    <row r="21" spans="2:22">
      <c r="B21" s="18"/>
      <c r="C21" s="18"/>
      <c r="D21" s="18"/>
      <c r="F21" s="51"/>
      <c r="G21" s="53" t="s">
        <v>1402</v>
      </c>
      <c r="H21" s="72" t="s">
        <v>1403</v>
      </c>
      <c r="I21" s="87" t="s">
        <v>459</v>
      </c>
      <c r="J21" s="53" t="s">
        <v>1384</v>
      </c>
      <c r="K21" s="53" t="s">
        <v>1404</v>
      </c>
      <c r="L21" s="53"/>
      <c r="M21" s="72"/>
      <c r="N21" s="53">
        <v>2000</v>
      </c>
      <c r="O21" s="53"/>
      <c r="P21" s="72">
        <v>1010</v>
      </c>
      <c r="Q21" s="50">
        <v>1010</v>
      </c>
      <c r="R21" s="53"/>
      <c r="S21" s="53"/>
      <c r="T21" s="53"/>
      <c r="U21" s="53"/>
      <c r="V21" s="53"/>
    </row>
    <row r="22" spans="2:22">
      <c r="B22" s="18"/>
      <c r="C22" s="18"/>
      <c r="D22" s="18"/>
      <c r="F22" s="51"/>
      <c r="G22" s="53" t="s">
        <v>1402</v>
      </c>
      <c r="H22" s="72" t="s">
        <v>1405</v>
      </c>
      <c r="I22" s="50" t="s">
        <v>459</v>
      </c>
      <c r="J22" s="53" t="s">
        <v>1384</v>
      </c>
      <c r="K22" s="53" t="s">
        <v>1404</v>
      </c>
      <c r="L22" s="53"/>
      <c r="M22" s="72"/>
      <c r="N22" s="51">
        <v>1200</v>
      </c>
      <c r="O22" s="53"/>
      <c r="P22" s="72">
        <v>570</v>
      </c>
      <c r="Q22" s="50">
        <v>570</v>
      </c>
      <c r="R22" s="51"/>
      <c r="S22" s="51"/>
      <c r="T22" s="51"/>
      <c r="U22" s="51"/>
      <c r="V22" s="51"/>
    </row>
    <row r="23" spans="2:22">
      <c r="B23" s="18"/>
      <c r="C23" s="18"/>
      <c r="D23" s="18"/>
      <c r="F23" s="51"/>
      <c r="G23" s="53" t="s">
        <v>1402</v>
      </c>
      <c r="H23" s="72" t="s">
        <v>1406</v>
      </c>
      <c r="I23" s="50" t="s">
        <v>1407</v>
      </c>
      <c r="J23" s="53" t="s">
        <v>1384</v>
      </c>
      <c r="K23" s="53" t="s">
        <v>1408</v>
      </c>
      <c r="L23" s="53"/>
      <c r="M23" s="72"/>
      <c r="N23" s="51">
        <v>3625</v>
      </c>
      <c r="O23" s="53"/>
      <c r="P23" s="72">
        <v>1390</v>
      </c>
      <c r="Q23" s="51">
        <v>0</v>
      </c>
      <c r="R23" s="51"/>
      <c r="S23" s="51"/>
      <c r="T23" s="51"/>
      <c r="U23" s="51"/>
      <c r="V23" s="51"/>
    </row>
    <row r="24" spans="2:22">
      <c r="B24" s="18"/>
      <c r="C24" s="18"/>
      <c r="D24" s="18"/>
      <c r="F24" s="51"/>
      <c r="G24" s="53" t="s">
        <v>1402</v>
      </c>
      <c r="H24" s="51" t="s">
        <v>1409</v>
      </c>
      <c r="I24" s="51" t="s">
        <v>1407</v>
      </c>
      <c r="J24" s="53" t="s">
        <v>1384</v>
      </c>
      <c r="K24" s="53" t="s">
        <v>1391</v>
      </c>
      <c r="L24" s="53"/>
      <c r="M24" s="51"/>
      <c r="N24" s="71">
        <v>4330</v>
      </c>
      <c r="O24" s="53"/>
      <c r="P24" s="51">
        <v>1041</v>
      </c>
      <c r="Q24" s="51">
        <v>0</v>
      </c>
      <c r="R24" s="51"/>
      <c r="S24" s="51"/>
      <c r="T24" s="51"/>
      <c r="U24" s="51"/>
      <c r="V24" s="51"/>
    </row>
    <row r="25" spans="2:22">
      <c r="B25" s="18" t="s">
        <v>182</v>
      </c>
      <c r="C25" s="18"/>
      <c r="D25" s="18"/>
      <c r="F25" s="51"/>
      <c r="G25" s="53" t="s">
        <v>1402</v>
      </c>
      <c r="H25" s="71" t="s">
        <v>1410</v>
      </c>
      <c r="I25" s="53" t="s">
        <v>1407</v>
      </c>
      <c r="J25" s="53" t="s">
        <v>922</v>
      </c>
      <c r="K25" s="53" t="s">
        <v>1385</v>
      </c>
      <c r="L25" s="53"/>
      <c r="M25" s="71"/>
      <c r="N25" s="71">
        <v>3200</v>
      </c>
      <c r="O25" s="53"/>
      <c r="P25" s="71">
        <v>220</v>
      </c>
      <c r="Q25" s="53">
        <v>220</v>
      </c>
      <c r="R25" s="51"/>
      <c r="S25" s="51"/>
      <c r="T25" s="51"/>
      <c r="U25" s="51"/>
      <c r="V25" s="51"/>
    </row>
    <row r="26" spans="2:22">
      <c r="B26" s="285"/>
      <c r="C26" s="285"/>
      <c r="D26" s="285"/>
      <c r="F26" s="51"/>
      <c r="G26" s="53" t="s">
        <v>1402</v>
      </c>
      <c r="H26" s="51" t="s">
        <v>1411</v>
      </c>
      <c r="I26" s="51" t="s">
        <v>459</v>
      </c>
      <c r="J26" s="51" t="s">
        <v>922</v>
      </c>
      <c r="K26" s="51" t="s">
        <v>1385</v>
      </c>
      <c r="L26" s="51"/>
      <c r="M26" s="51"/>
      <c r="N26" s="51">
        <v>3200</v>
      </c>
      <c r="O26" s="51"/>
      <c r="P26" s="51">
        <v>163</v>
      </c>
      <c r="Q26" s="51">
        <v>163</v>
      </c>
      <c r="R26" s="51"/>
      <c r="S26" s="51"/>
      <c r="T26" s="51"/>
      <c r="U26" s="51"/>
      <c r="V26" s="51"/>
    </row>
    <row r="27" spans="2:22">
      <c r="B27" s="285"/>
      <c r="C27" s="285"/>
      <c r="D27" s="285"/>
      <c r="F27" s="51"/>
      <c r="G27" s="53" t="s">
        <v>1402</v>
      </c>
      <c r="H27" s="51" t="s">
        <v>1412</v>
      </c>
      <c r="I27" s="51" t="s">
        <v>459</v>
      </c>
      <c r="J27" s="51" t="s">
        <v>922</v>
      </c>
      <c r="K27" s="51" t="s">
        <v>1385</v>
      </c>
      <c r="L27" s="51"/>
      <c r="M27" s="51"/>
      <c r="N27" s="51">
        <v>3200</v>
      </c>
      <c r="O27" s="51"/>
      <c r="P27" s="51">
        <v>138</v>
      </c>
      <c r="Q27" s="51">
        <v>138</v>
      </c>
      <c r="R27" s="51"/>
      <c r="S27" s="51"/>
      <c r="T27" s="51"/>
      <c r="U27" s="51"/>
      <c r="V27" s="51"/>
    </row>
    <row r="28" spans="2:22">
      <c r="B28" s="293"/>
      <c r="C28" s="293"/>
      <c r="D28" s="293"/>
      <c r="F28" s="51"/>
      <c r="G28" s="51" t="s">
        <v>1402</v>
      </c>
      <c r="H28" s="51" t="s">
        <v>1413</v>
      </c>
      <c r="I28" s="51" t="s">
        <v>1407</v>
      </c>
      <c r="J28" s="51" t="s">
        <v>922</v>
      </c>
      <c r="K28" s="51" t="s">
        <v>432</v>
      </c>
      <c r="L28" s="51"/>
      <c r="M28" s="51"/>
      <c r="N28" s="51">
        <v>1508</v>
      </c>
      <c r="O28" s="51"/>
      <c r="P28" s="51">
        <v>129.6</v>
      </c>
      <c r="Q28" s="51">
        <v>129.6</v>
      </c>
      <c r="R28" s="51"/>
      <c r="S28" s="51"/>
      <c r="T28" s="51"/>
      <c r="U28" s="51"/>
      <c r="V28" s="51"/>
    </row>
    <row r="29" spans="2:22">
      <c r="B29" s="293"/>
      <c r="C29" s="293"/>
      <c r="D29" s="293"/>
      <c r="F29" s="51"/>
      <c r="G29" s="51" t="s">
        <v>879</v>
      </c>
      <c r="H29" s="51" t="s">
        <v>1414</v>
      </c>
      <c r="I29" s="51" t="s">
        <v>1407</v>
      </c>
      <c r="J29" s="51" t="s">
        <v>922</v>
      </c>
      <c r="K29" s="51" t="s">
        <v>1415</v>
      </c>
      <c r="L29" s="51"/>
      <c r="M29" s="51"/>
      <c r="N29" s="51">
        <v>1508</v>
      </c>
      <c r="O29" s="51"/>
      <c r="P29" s="51">
        <v>129.6</v>
      </c>
      <c r="Q29" s="51">
        <v>129.6</v>
      </c>
      <c r="R29" s="51"/>
      <c r="S29" s="51"/>
      <c r="T29" s="51"/>
      <c r="U29" s="51"/>
      <c r="V29" s="51"/>
    </row>
    <row r="30" spans="2:22">
      <c r="B30" s="293"/>
      <c r="C30" s="293"/>
      <c r="D30" s="293"/>
      <c r="F30" s="51"/>
      <c r="G30" s="51" t="s">
        <v>1389</v>
      </c>
      <c r="H30" s="51" t="s">
        <v>1416</v>
      </c>
      <c r="I30" s="51" t="s">
        <v>459</v>
      </c>
      <c r="J30" s="51" t="s">
        <v>1384</v>
      </c>
      <c r="K30" s="51" t="s">
        <v>1385</v>
      </c>
      <c r="L30" s="51"/>
      <c r="M30" s="51"/>
      <c r="N30" s="51">
        <v>2250</v>
      </c>
      <c r="O30" s="51"/>
      <c r="P30" s="51">
        <v>550</v>
      </c>
      <c r="Q30" s="51">
        <v>1224</v>
      </c>
      <c r="R30" s="51"/>
      <c r="S30" s="51"/>
      <c r="T30" s="51"/>
      <c r="U30" s="51"/>
      <c r="V30" s="51"/>
    </row>
    <row r="31" spans="2:22">
      <c r="B31" s="293"/>
      <c r="C31" s="293"/>
      <c r="D31" s="293"/>
      <c r="F31" s="51"/>
      <c r="G31" s="51" t="s">
        <v>1389</v>
      </c>
      <c r="H31" s="51" t="s">
        <v>1417</v>
      </c>
      <c r="I31" s="51" t="s">
        <v>459</v>
      </c>
      <c r="J31" s="51" t="s">
        <v>1384</v>
      </c>
      <c r="K31" s="51" t="s">
        <v>1385</v>
      </c>
      <c r="L31" s="51"/>
      <c r="M31" s="51"/>
      <c r="N31" s="51">
        <v>3150</v>
      </c>
      <c r="O31" s="51"/>
      <c r="P31" s="51">
        <v>850</v>
      </c>
      <c r="Q31" s="51">
        <v>1842</v>
      </c>
      <c r="R31" s="51"/>
      <c r="S31" s="51"/>
      <c r="T31" s="51"/>
      <c r="U31" s="51"/>
      <c r="V31" s="51"/>
    </row>
    <row r="32" spans="2:22">
      <c r="B32" s="289"/>
      <c r="C32" s="289"/>
      <c r="D32" s="289"/>
      <c r="F32" s="51"/>
      <c r="G32" s="51" t="s">
        <v>1418</v>
      </c>
      <c r="H32" s="51" t="s">
        <v>1419</v>
      </c>
      <c r="I32" s="51" t="s">
        <v>1407</v>
      </c>
      <c r="J32" s="51" t="s">
        <v>1384</v>
      </c>
      <c r="K32" s="51" t="s">
        <v>1385</v>
      </c>
      <c r="L32" s="51"/>
      <c r="M32" s="51"/>
      <c r="N32" s="51">
        <v>3150</v>
      </c>
      <c r="O32" s="51"/>
      <c r="P32" s="51">
        <v>1020</v>
      </c>
      <c r="Q32" s="51">
        <v>0</v>
      </c>
      <c r="R32" s="51"/>
      <c r="S32" s="51"/>
      <c r="T32" s="51"/>
      <c r="U32" s="51"/>
      <c r="V32" s="51"/>
    </row>
    <row r="33" spans="2:22">
      <c r="B33" s="289"/>
      <c r="C33" s="289"/>
      <c r="D33" s="289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</row>
    <row r="34" spans="2:22">
      <c r="B34" s="289"/>
      <c r="C34" s="289"/>
      <c r="D34" s="289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</row>
    <row r="35" spans="2:22">
      <c r="B35" s="289"/>
      <c r="C35" s="289"/>
      <c r="D35" s="289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</row>
    <row r="36" spans="2:22">
      <c r="B36" s="289"/>
      <c r="C36" s="289"/>
      <c r="D36" s="289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</row>
    <row r="37" spans="2:22">
      <c r="B37" s="289"/>
      <c r="C37" s="289"/>
      <c r="D37" s="289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</row>
    <row r="38" spans="2:22">
      <c r="B38" s="289"/>
      <c r="C38" s="289"/>
      <c r="D38" s="289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</row>
    <row r="39" spans="2:22">
      <c r="B39" s="289"/>
      <c r="C39" s="289"/>
      <c r="D39" s="289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2:22">
      <c r="B40" s="289"/>
      <c r="C40" s="289"/>
      <c r="D40" s="289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</row>
    <row r="41" spans="2:22">
      <c r="B41" s="289"/>
      <c r="C41" s="289"/>
      <c r="D41" s="289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</row>
    <row r="42" spans="2:22">
      <c r="B42" s="289"/>
      <c r="C42" s="289"/>
      <c r="D42" s="289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2:22">
      <c r="B43" s="289"/>
      <c r="C43" s="289"/>
      <c r="D43" s="289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</row>
    <row r="44" spans="2:22">
      <c r="B44" s="289"/>
      <c r="C44" s="289"/>
      <c r="D44" s="289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</row>
    <row r="45" spans="2:22">
      <c r="B45" s="289"/>
      <c r="C45" s="289"/>
      <c r="D45" s="289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</row>
    <row r="46" spans="2:22">
      <c r="B46" s="289"/>
      <c r="C46" s="289"/>
      <c r="D46" s="289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</row>
    <row r="47" spans="2:22">
      <c r="B47" s="289"/>
      <c r="C47" s="289"/>
      <c r="D47" s="289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</row>
    <row r="48" spans="2:22">
      <c r="B48" s="289"/>
      <c r="C48" s="289"/>
      <c r="D48" s="289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</row>
    <row r="49" spans="6:22"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</row>
    <row r="50" spans="6:22"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</row>
    <row r="51" spans="6:22"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</row>
    <row r="52" spans="6:22"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</row>
    <row r="53" spans="6:22"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</row>
    <row r="54" spans="6:22"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</row>
  </sheetData>
  <mergeCells count="25">
    <mergeCell ref="B29:D29"/>
    <mergeCell ref="F2:O4"/>
    <mergeCell ref="R8:V8"/>
    <mergeCell ref="B26:D26"/>
    <mergeCell ref="B27:D27"/>
    <mergeCell ref="B28:D28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B48:D48"/>
    <mergeCell ref="B42:D42"/>
    <mergeCell ref="B43:D43"/>
    <mergeCell ref="B44:D44"/>
    <mergeCell ref="B45:D45"/>
    <mergeCell ref="B46:D46"/>
    <mergeCell ref="B47:D47"/>
  </mergeCells>
  <hyperlinks>
    <hyperlink ref="B10" location="'DASH'!A1" display="DASHBOARD" xr:uid="{CB444A61-6A7C-4A75-B015-5B2763D4BF4E}"/>
    <hyperlink ref="B11" location="'DES-GL'!A1" display="DESIGN GUIDELINES" xr:uid="{D58B174F-57E7-4A52-8B35-FF511C0A1427}"/>
    <hyperlink ref="B13" location="'EXT-MAINS-DT'!A1" display="EXISTING POWER DESIGN" xr:uid="{4CEDC92A-F3C8-484C-95E0-03951CE3CF76}"/>
    <hyperlink ref="B14" location="'EXT-CALC'!A1" display="EXISTING DEMAND" xr:uid="{21691EA2-D7B7-4C5D-9239-F35B389777EB}"/>
    <hyperlink ref="B16" location="'CALC'!A1" display="POWER CALCULATOR" xr:uid="{9DB7B212-F396-4923-B460-EABDAE5DDBC1}"/>
    <hyperlink ref="B17" location="'PLBC-CALC'!A1" display="PLBC CALCULATOR" xr:uid="{DD0DEAFA-4C97-4E3E-8B16-261593845DFC}"/>
    <hyperlink ref="B18" location="'VDC'!A1" display="VD CALCULATOR" xr:uid="{9CB3C6B0-F59A-4B04-812F-18617D0141A4}"/>
    <hyperlink ref="B20" location="'PRP-SOL'!A1" display="PROPOSED POWER DESIGN" xr:uid="{885B1AC2-4185-4D15-AAEB-791147B82E4A}"/>
    <hyperlink ref="B25" location="'DC'!A1" display="DOCUMENT CONTROL" xr:uid="{67F38966-AAEC-41F9-8970-904B44578702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C4AA-0440-415C-8674-E3E07DECEC4F}">
  <sheetPr codeName="Sheet32"/>
  <dimension ref="B1:U48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3.7109375" customWidth="1"/>
    <col min="7" max="7" width="13.28515625" customWidth="1"/>
    <col min="8" max="8" width="18.28515625" customWidth="1"/>
    <col min="9" max="9" width="9.28515625" customWidth="1"/>
    <col min="10" max="10" width="14.7109375" customWidth="1"/>
    <col min="11" max="11" width="30.28515625" customWidth="1"/>
    <col min="12" max="12" width="18.28515625" customWidth="1"/>
    <col min="13" max="13" width="22.28515625" customWidth="1"/>
    <col min="14" max="14" width="27.28515625" customWidth="1"/>
    <col min="15" max="15" width="23" customWidth="1"/>
    <col min="16" max="16" width="21" customWidth="1"/>
    <col min="17" max="17" width="15.28515625" customWidth="1"/>
    <col min="18" max="18" width="20.28515625" customWidth="1"/>
    <col min="19" max="19" width="20.7109375" customWidth="1"/>
    <col min="20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21" ht="15" hidden="1" customHeight="1"/>
    <row r="2" spans="2:21" ht="15" customHeight="1">
      <c r="F2" s="287" t="s">
        <v>577</v>
      </c>
      <c r="G2" s="287"/>
      <c r="H2" s="287"/>
      <c r="I2" s="287"/>
      <c r="J2" s="287"/>
      <c r="K2" s="287"/>
      <c r="L2" s="287"/>
      <c r="M2" s="287"/>
      <c r="N2" s="287"/>
    </row>
    <row r="3" spans="2:21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21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21">
      <c r="F5" t="s">
        <v>578</v>
      </c>
    </row>
    <row r="7" spans="2:21">
      <c r="C7" s="2" t="s">
        <v>152</v>
      </c>
      <c r="D7" s="12">
        <f>DCVer</f>
        <v>12.7</v>
      </c>
    </row>
    <row r="8" spans="2:21" ht="15" customHeight="1">
      <c r="F8" s="69"/>
      <c r="G8" s="69"/>
      <c r="H8" s="69"/>
      <c r="I8" s="70"/>
      <c r="J8" s="70"/>
      <c r="K8" s="70"/>
      <c r="L8" s="70"/>
      <c r="M8" s="70"/>
      <c r="N8" s="70"/>
      <c r="O8" s="70"/>
      <c r="P8" s="53"/>
      <c r="Q8" s="484"/>
      <c r="R8" s="484"/>
      <c r="S8" s="484"/>
      <c r="T8" s="484"/>
      <c r="U8" s="484"/>
    </row>
    <row r="9" spans="2:21">
      <c r="B9" s="18"/>
      <c r="C9" s="18"/>
      <c r="D9" s="18"/>
      <c r="F9" s="51" t="s">
        <v>555</v>
      </c>
      <c r="G9" s="51" t="s">
        <v>778</v>
      </c>
      <c r="H9" s="51" t="s">
        <v>779</v>
      </c>
      <c r="I9" s="51" t="s">
        <v>780</v>
      </c>
      <c r="J9" s="51" t="s">
        <v>781</v>
      </c>
      <c r="K9" s="51" t="s">
        <v>556</v>
      </c>
      <c r="L9" s="53" t="s">
        <v>867</v>
      </c>
      <c r="M9" s="53" t="s">
        <v>868</v>
      </c>
      <c r="N9" s="53" t="s">
        <v>869</v>
      </c>
      <c r="O9" s="53" t="s">
        <v>870</v>
      </c>
      <c r="P9" s="53" t="s">
        <v>871</v>
      </c>
      <c r="Q9" s="50"/>
      <c r="R9" s="50"/>
      <c r="S9" s="50"/>
      <c r="T9" s="50"/>
      <c r="U9" s="50"/>
    </row>
    <row r="10" spans="2:21">
      <c r="B10" s="18" t="s">
        <v>151</v>
      </c>
      <c r="C10" s="18"/>
      <c r="D10" s="18"/>
      <c r="F10" s="51"/>
      <c r="G10" s="51"/>
      <c r="H10" s="51" t="s">
        <v>1420</v>
      </c>
      <c r="I10" s="53" t="s">
        <v>887</v>
      </c>
      <c r="J10" s="53" t="s">
        <v>1421</v>
      </c>
      <c r="K10" s="59"/>
      <c r="L10" s="53" t="s">
        <v>329</v>
      </c>
      <c r="M10" s="53" t="s">
        <v>329</v>
      </c>
      <c r="N10" s="53" t="s">
        <v>329</v>
      </c>
      <c r="O10" s="53"/>
      <c r="P10" s="53" t="s">
        <v>1422</v>
      </c>
      <c r="Q10" s="51"/>
      <c r="R10" s="51"/>
      <c r="S10" s="51"/>
      <c r="T10" s="51"/>
      <c r="U10" s="51"/>
    </row>
    <row r="11" spans="2:21">
      <c r="B11" s="18" t="s">
        <v>155</v>
      </c>
      <c r="C11" s="18"/>
      <c r="D11" s="18"/>
      <c r="F11" s="51"/>
      <c r="G11" s="51"/>
      <c r="H11" s="51" t="s">
        <v>1423</v>
      </c>
      <c r="I11" s="53" t="s">
        <v>887</v>
      </c>
      <c r="J11" s="53" t="s">
        <v>879</v>
      </c>
      <c r="K11" s="59"/>
      <c r="L11" s="53">
        <v>1</v>
      </c>
      <c r="M11" s="53"/>
      <c r="N11" s="53"/>
      <c r="O11" s="53"/>
      <c r="P11" s="53" t="s">
        <v>883</v>
      </c>
      <c r="Q11" s="51"/>
      <c r="R11" s="51"/>
      <c r="S11" s="51"/>
      <c r="T11" s="51"/>
      <c r="U11" s="51"/>
    </row>
    <row r="12" spans="2:21">
      <c r="B12" s="18"/>
      <c r="C12" s="18"/>
      <c r="D12" s="18"/>
      <c r="F12" s="51"/>
      <c r="G12" s="51"/>
      <c r="H12" s="51" t="s">
        <v>329</v>
      </c>
      <c r="I12" s="53" t="s">
        <v>329</v>
      </c>
      <c r="J12" s="53" t="s">
        <v>329</v>
      </c>
      <c r="K12" s="53" t="s">
        <v>329</v>
      </c>
      <c r="L12" s="51" t="s">
        <v>329</v>
      </c>
      <c r="M12" s="51" t="s">
        <v>329</v>
      </c>
      <c r="N12" s="53" t="s">
        <v>329</v>
      </c>
      <c r="O12" s="51" t="s">
        <v>329</v>
      </c>
      <c r="P12" s="53" t="s">
        <v>329</v>
      </c>
      <c r="Q12" s="53"/>
      <c r="R12" s="53"/>
      <c r="S12" s="53"/>
      <c r="T12" s="53"/>
      <c r="U12" s="53"/>
    </row>
    <row r="13" spans="2:21">
      <c r="B13" s="18" t="s">
        <v>159</v>
      </c>
      <c r="C13" s="18"/>
      <c r="D13" s="18"/>
      <c r="F13" s="51"/>
      <c r="G13" s="51"/>
      <c r="H13" s="51"/>
      <c r="I13" s="53"/>
      <c r="J13" s="53"/>
      <c r="K13" s="53"/>
      <c r="L13" s="51"/>
      <c r="M13" s="51"/>
      <c r="N13" s="53"/>
      <c r="O13" s="51"/>
      <c r="P13" s="53"/>
      <c r="Q13" s="51"/>
      <c r="R13" s="51"/>
      <c r="S13" s="51"/>
      <c r="T13" s="51"/>
      <c r="U13" s="51"/>
    </row>
    <row r="14" spans="2:21">
      <c r="B14" s="18" t="s">
        <v>162</v>
      </c>
      <c r="C14" s="18"/>
      <c r="D14" s="18"/>
      <c r="F14" s="69"/>
      <c r="G14" s="69"/>
      <c r="H14" s="51"/>
      <c r="I14" s="53"/>
      <c r="J14" s="70"/>
      <c r="K14" s="70"/>
      <c r="L14" s="51"/>
      <c r="M14" s="51"/>
      <c r="N14" s="53"/>
      <c r="O14" s="51"/>
      <c r="P14" s="53"/>
      <c r="Q14" s="51"/>
      <c r="R14" s="51"/>
      <c r="S14" s="51"/>
      <c r="T14" s="51"/>
      <c r="U14" s="51"/>
    </row>
    <row r="15" spans="2:21">
      <c r="B15" s="18"/>
      <c r="C15" s="18"/>
      <c r="D15" s="18"/>
      <c r="F15" s="69"/>
      <c r="G15" s="69"/>
      <c r="H15" s="51"/>
      <c r="I15" s="53"/>
      <c r="J15" s="70"/>
      <c r="K15" s="70"/>
      <c r="L15" s="51"/>
      <c r="M15" s="51"/>
      <c r="N15" s="53"/>
      <c r="O15" s="51"/>
      <c r="P15" s="53"/>
      <c r="Q15" s="51"/>
      <c r="R15" s="51"/>
      <c r="S15" s="51"/>
      <c r="T15" s="51"/>
      <c r="U15" s="51"/>
    </row>
    <row r="16" spans="2:21">
      <c r="B16" s="18" t="s">
        <v>167</v>
      </c>
      <c r="C16" s="18"/>
      <c r="D16" s="18"/>
      <c r="F16" s="51"/>
      <c r="G16" s="51"/>
      <c r="H16" s="51"/>
      <c r="I16" s="53"/>
      <c r="J16" s="53"/>
      <c r="K16" s="53"/>
      <c r="L16" s="51"/>
      <c r="M16" s="51"/>
      <c r="N16" s="53"/>
      <c r="O16" s="51"/>
      <c r="P16" s="53"/>
      <c r="Q16" s="51"/>
      <c r="R16" s="51"/>
      <c r="S16" s="51"/>
      <c r="T16" s="51"/>
      <c r="U16" s="51"/>
    </row>
    <row r="17" spans="2:21">
      <c r="B17" s="18" t="s">
        <v>170</v>
      </c>
      <c r="C17" s="18"/>
      <c r="D17" s="18"/>
      <c r="F17" s="51"/>
      <c r="G17" s="51"/>
      <c r="H17" s="51"/>
      <c r="I17" s="53"/>
      <c r="J17" s="53"/>
      <c r="K17" s="53"/>
      <c r="L17" s="51"/>
      <c r="M17" s="51"/>
      <c r="N17" s="53"/>
      <c r="O17" s="51"/>
      <c r="P17" s="53"/>
      <c r="Q17" s="51"/>
      <c r="R17" s="51"/>
      <c r="S17" s="51"/>
      <c r="T17" s="51"/>
      <c r="U17" s="51"/>
    </row>
    <row r="18" spans="2:21">
      <c r="B18" s="18" t="s">
        <v>173</v>
      </c>
      <c r="C18" s="18"/>
      <c r="D18" s="18"/>
      <c r="F18" s="69"/>
      <c r="G18" s="69"/>
      <c r="H18" s="51"/>
      <c r="I18" s="53"/>
      <c r="J18" s="70"/>
      <c r="K18" s="70"/>
      <c r="L18" s="51"/>
      <c r="M18" s="51"/>
      <c r="N18" s="53"/>
      <c r="O18" s="51"/>
      <c r="P18" s="53"/>
      <c r="Q18" s="51"/>
      <c r="R18" s="51"/>
      <c r="S18" s="51"/>
      <c r="T18" s="51"/>
      <c r="U18" s="51"/>
    </row>
    <row r="19" spans="2:21">
      <c r="B19" s="18"/>
      <c r="C19" s="18"/>
      <c r="D19" s="18"/>
      <c r="F19" s="51"/>
      <c r="G19" s="51"/>
      <c r="H19" s="51"/>
      <c r="I19" s="53"/>
      <c r="J19" s="53"/>
      <c r="K19" s="53"/>
      <c r="L19" s="51"/>
      <c r="M19" s="51"/>
      <c r="N19" s="53"/>
      <c r="O19" s="51"/>
      <c r="P19" s="53"/>
      <c r="Q19" s="51"/>
      <c r="R19" s="51"/>
      <c r="S19" s="51"/>
      <c r="T19" s="51"/>
      <c r="U19" s="51"/>
    </row>
    <row r="20" spans="2:21">
      <c r="B20" s="18" t="s">
        <v>176</v>
      </c>
      <c r="C20" s="18"/>
      <c r="D20" s="18"/>
      <c r="F20" s="26"/>
      <c r="G20" s="26"/>
      <c r="H20" s="51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</row>
    <row r="21" spans="2:21">
      <c r="B21" s="18"/>
      <c r="C21" s="18"/>
      <c r="D21" s="18"/>
      <c r="F21" s="69"/>
      <c r="G21" s="69"/>
      <c r="H21" s="51"/>
      <c r="I21" s="53"/>
      <c r="J21" s="70"/>
      <c r="K21" s="70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2:21">
      <c r="B22" s="18"/>
      <c r="C22" s="18"/>
      <c r="D22" s="18"/>
      <c r="F22" s="69"/>
      <c r="G22" s="69"/>
      <c r="H22" s="51"/>
      <c r="I22" s="53"/>
      <c r="J22" s="70"/>
      <c r="K22" s="70"/>
      <c r="L22" s="51"/>
      <c r="M22" s="51"/>
      <c r="N22" s="53"/>
      <c r="O22" s="51"/>
      <c r="P22" s="53"/>
      <c r="Q22" s="51"/>
      <c r="R22" s="51"/>
      <c r="S22" s="51"/>
      <c r="T22" s="51"/>
      <c r="U22" s="51"/>
    </row>
    <row r="23" spans="2:21">
      <c r="B23" s="18"/>
      <c r="C23" s="18"/>
      <c r="D23" s="18"/>
      <c r="F23" s="51"/>
      <c r="G23" s="69"/>
      <c r="H23" s="51"/>
      <c r="I23" s="53"/>
      <c r="J23" s="70"/>
      <c r="K23" s="70"/>
      <c r="L23" s="51"/>
      <c r="M23" s="51"/>
      <c r="N23" s="53"/>
      <c r="O23" s="51"/>
      <c r="P23" s="53"/>
      <c r="Q23" s="51"/>
      <c r="R23" s="51"/>
      <c r="S23" s="51"/>
      <c r="T23" s="51"/>
      <c r="U23" s="51"/>
    </row>
    <row r="24" spans="2:21">
      <c r="B24" s="18"/>
      <c r="C24" s="18"/>
      <c r="D24" s="18"/>
      <c r="F24" s="51"/>
      <c r="G24" s="69"/>
      <c r="H24" s="71"/>
      <c r="I24" s="53"/>
      <c r="J24" s="70"/>
      <c r="K24" s="70"/>
      <c r="L24" s="71"/>
      <c r="M24" s="71"/>
      <c r="N24" s="53"/>
      <c r="O24" s="71"/>
      <c r="P24" s="53"/>
      <c r="Q24" s="51"/>
      <c r="R24" s="51"/>
      <c r="S24" s="51"/>
      <c r="T24" s="51"/>
      <c r="U24" s="51"/>
    </row>
    <row r="25" spans="2:21">
      <c r="B25" s="18" t="s">
        <v>182</v>
      </c>
      <c r="C25" s="18"/>
      <c r="D25" s="18"/>
      <c r="F25" s="69"/>
      <c r="G25" s="69"/>
      <c r="H25" s="71"/>
      <c r="I25" s="70"/>
      <c r="J25" s="70"/>
      <c r="K25" s="70"/>
      <c r="L25" s="71"/>
      <c r="M25" s="71"/>
      <c r="N25" s="53"/>
      <c r="O25" s="71"/>
      <c r="P25" s="53"/>
      <c r="Q25" s="51"/>
      <c r="R25" s="51"/>
      <c r="S25" s="51"/>
      <c r="T25" s="51"/>
      <c r="U25" s="51"/>
    </row>
    <row r="26" spans="2:21">
      <c r="B26" s="285"/>
      <c r="C26" s="285"/>
      <c r="D26" s="285"/>
      <c r="F26" s="26"/>
      <c r="G26" s="26"/>
      <c r="H26" s="51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2:21">
      <c r="B27" s="285"/>
      <c r="C27" s="285"/>
      <c r="D27" s="285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</row>
    <row r="28" spans="2:21">
      <c r="B28" s="293"/>
      <c r="C28" s="293"/>
      <c r="D28" s="293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</row>
    <row r="29" spans="2:21">
      <c r="B29" s="293"/>
      <c r="C29" s="293"/>
      <c r="D29" s="293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</row>
    <row r="30" spans="2:21">
      <c r="B30" s="293"/>
      <c r="C30" s="293"/>
      <c r="D30" s="293"/>
    </row>
    <row r="31" spans="2:21">
      <c r="B31" s="293"/>
      <c r="C31" s="293"/>
      <c r="D31" s="293"/>
    </row>
    <row r="32" spans="2:21">
      <c r="B32" s="289"/>
      <c r="C32" s="289"/>
      <c r="D32" s="289"/>
    </row>
    <row r="33" spans="2:4">
      <c r="B33" s="289"/>
      <c r="C33" s="289"/>
      <c r="D33" s="289"/>
    </row>
    <row r="34" spans="2:4">
      <c r="B34" s="289"/>
      <c r="C34" s="289"/>
      <c r="D34" s="289"/>
    </row>
    <row r="35" spans="2:4">
      <c r="B35" s="289"/>
      <c r="C35" s="289"/>
      <c r="D35" s="289"/>
    </row>
    <row r="36" spans="2:4">
      <c r="B36" s="289"/>
      <c r="C36" s="289"/>
      <c r="D36" s="289"/>
    </row>
    <row r="37" spans="2:4">
      <c r="B37" s="289"/>
      <c r="C37" s="289"/>
      <c r="D37" s="289"/>
    </row>
    <row r="38" spans="2:4">
      <c r="B38" s="289"/>
      <c r="C38" s="289"/>
      <c r="D38" s="289"/>
    </row>
    <row r="39" spans="2:4">
      <c r="B39" s="289"/>
      <c r="C39" s="289"/>
      <c r="D39" s="289"/>
    </row>
    <row r="40" spans="2:4">
      <c r="B40" s="289"/>
      <c r="C40" s="289"/>
      <c r="D40" s="289"/>
    </row>
    <row r="41" spans="2:4">
      <c r="B41" s="289"/>
      <c r="C41" s="289"/>
      <c r="D41" s="289"/>
    </row>
    <row r="42" spans="2:4">
      <c r="B42" s="289"/>
      <c r="C42" s="289"/>
      <c r="D42" s="289"/>
    </row>
    <row r="43" spans="2:4">
      <c r="B43" s="289"/>
      <c r="C43" s="289"/>
      <c r="D43" s="289"/>
    </row>
    <row r="44" spans="2:4">
      <c r="B44" s="289"/>
      <c r="C44" s="289"/>
      <c r="D44" s="289"/>
    </row>
    <row r="45" spans="2:4">
      <c r="B45" s="289"/>
      <c r="C45" s="289"/>
      <c r="D45" s="289"/>
    </row>
    <row r="46" spans="2:4">
      <c r="B46" s="289"/>
      <c r="C46" s="289"/>
      <c r="D46" s="289"/>
    </row>
    <row r="47" spans="2:4">
      <c r="B47" s="289"/>
      <c r="C47" s="289"/>
      <c r="D47" s="289"/>
    </row>
    <row r="48" spans="2:4">
      <c r="B48" s="289"/>
      <c r="C48" s="289"/>
      <c r="D48" s="289"/>
    </row>
  </sheetData>
  <mergeCells count="25">
    <mergeCell ref="B29:D29"/>
    <mergeCell ref="F2:N4"/>
    <mergeCell ref="Q8:U8"/>
    <mergeCell ref="B26:D26"/>
    <mergeCell ref="B27:D27"/>
    <mergeCell ref="B28:D28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B48:D48"/>
    <mergeCell ref="B42:D42"/>
    <mergeCell ref="B43:D43"/>
    <mergeCell ref="B44:D44"/>
    <mergeCell ref="B45:D45"/>
    <mergeCell ref="B46:D46"/>
    <mergeCell ref="B47:D47"/>
  </mergeCells>
  <hyperlinks>
    <hyperlink ref="B10" location="'DASH'!A1" display="DASHBOARD" xr:uid="{9A9EC851-2887-4721-B6EE-5D0AF1D11A93}"/>
    <hyperlink ref="B11" location="'DES-GL'!A1" display="DESIGN GUIDELINES" xr:uid="{AA5B7AC3-F4AF-45A4-A1BE-D6778633DFAD}"/>
    <hyperlink ref="B13" location="'EXT-MAINS-DT'!A1" display="EXISTING POWER DESIGN" xr:uid="{255BD09D-63CA-4E55-826A-FD5812083C40}"/>
    <hyperlink ref="B14" location="'EXT-CALC'!A1" display="EXISTING DEMAND" xr:uid="{00B5EBA4-A98B-4BB8-B553-CFE2D33D3777}"/>
    <hyperlink ref="B16" location="'CALC'!A1" display="POWER CALCULATOR" xr:uid="{A640C861-7F2D-4D4F-AB20-366726E50E2D}"/>
    <hyperlink ref="B17" location="'PLBC-CALC'!A1" display="PLBC CALCULATOR" xr:uid="{49CD6A43-44E3-45AA-A42A-CE9B3A9174F5}"/>
    <hyperlink ref="B18" location="'VDC'!A1" display="VD CALCULATOR" xr:uid="{BB63D7A0-B22C-4C08-93DB-E6AD3FE91857}"/>
    <hyperlink ref="B20" location="'PRP-SOL'!A1" display="PROPOSED POWER DESIGN" xr:uid="{8C3ED611-6459-4464-B304-16D69606E441}"/>
    <hyperlink ref="B25" location="'DC'!A1" display="DOCUMENT CONTROL" xr:uid="{9BEFAEA6-4E19-4F5B-85D2-7B91FDDFC622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71873-92BB-4D45-A536-55E52ADFC071}">
  <sheetPr codeName="Sheet34"/>
  <dimension ref="B1:Q48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3.7109375" style="17" customWidth="1"/>
    <col min="7" max="17" width="9.28515625" style="17" customWidth="1"/>
    <col min="18" max="18" width="20.28515625" customWidth="1"/>
    <col min="19" max="19" width="20.7109375" customWidth="1"/>
    <col min="20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7" ht="15" hidden="1" customHeight="1"/>
    <row r="2" spans="2:17" ht="15" customHeight="1">
      <c r="F2" s="287" t="s">
        <v>579</v>
      </c>
      <c r="G2" s="287"/>
      <c r="H2" s="287"/>
      <c r="I2" s="287"/>
      <c r="J2" s="287"/>
      <c r="K2" s="287"/>
      <c r="L2" s="287"/>
      <c r="M2" s="287"/>
      <c r="N2" s="287"/>
    </row>
    <row r="3" spans="2:17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7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7">
      <c r="F5" s="89" t="s">
        <v>579</v>
      </c>
    </row>
    <row r="7" spans="2:17">
      <c r="C7" s="2" t="s">
        <v>152</v>
      </c>
      <c r="D7" s="12">
        <f>DCVer</f>
        <v>12.7</v>
      </c>
    </row>
    <row r="8" spans="2:17" ht="15" customHeight="1">
      <c r="F8" s="51">
        <v>1</v>
      </c>
      <c r="G8" s="51">
        <v>2</v>
      </c>
      <c r="H8" s="51">
        <v>3</v>
      </c>
      <c r="I8" s="53">
        <v>4</v>
      </c>
      <c r="J8" s="53">
        <v>5</v>
      </c>
      <c r="K8" s="53">
        <v>6</v>
      </c>
      <c r="L8" s="53">
        <v>7</v>
      </c>
      <c r="M8" s="53">
        <v>8</v>
      </c>
      <c r="N8" s="53">
        <v>9</v>
      </c>
      <c r="O8" s="53">
        <v>10</v>
      </c>
      <c r="P8" s="53">
        <v>11</v>
      </c>
      <c r="Q8" s="53">
        <v>12</v>
      </c>
    </row>
    <row r="9" spans="2:17">
      <c r="B9" s="18"/>
      <c r="C9" s="18"/>
      <c r="D9" s="18"/>
      <c r="F9" s="395" t="s">
        <v>1424</v>
      </c>
      <c r="G9" s="491" t="s">
        <v>1425</v>
      </c>
      <c r="H9" s="492"/>
      <c r="I9" s="492"/>
      <c r="J9" s="492"/>
      <c r="K9" s="492"/>
      <c r="L9" s="492"/>
      <c r="M9" s="492"/>
      <c r="N9" s="492"/>
      <c r="O9" s="492"/>
      <c r="P9" s="492"/>
      <c r="Q9" s="493"/>
    </row>
    <row r="10" spans="2:17">
      <c r="B10" s="18" t="s">
        <v>151</v>
      </c>
      <c r="C10" s="18"/>
      <c r="D10" s="18"/>
      <c r="F10" s="490"/>
      <c r="G10" s="491" t="s">
        <v>1426</v>
      </c>
      <c r="H10" s="492"/>
      <c r="I10" s="492"/>
      <c r="J10" s="492"/>
      <c r="K10" s="492"/>
      <c r="L10" s="493"/>
      <c r="M10" s="494" t="s">
        <v>1427</v>
      </c>
      <c r="N10" s="495"/>
      <c r="O10" s="495"/>
      <c r="P10" s="495"/>
      <c r="Q10" s="496"/>
    </row>
    <row r="11" spans="2:17">
      <c r="B11" s="18" t="s">
        <v>155</v>
      </c>
      <c r="C11" s="18"/>
      <c r="D11" s="18"/>
      <c r="F11" s="396"/>
      <c r="G11" s="491" t="s">
        <v>1428</v>
      </c>
      <c r="H11" s="492"/>
      <c r="I11" s="493"/>
      <c r="J11" s="494" t="s">
        <v>1429</v>
      </c>
      <c r="K11" s="495"/>
      <c r="L11" s="496"/>
      <c r="M11" s="494" t="s">
        <v>1430</v>
      </c>
      <c r="N11" s="495"/>
      <c r="O11" s="496"/>
      <c r="P11" s="494" t="s">
        <v>1431</v>
      </c>
      <c r="Q11" s="496"/>
    </row>
    <row r="12" spans="2:17">
      <c r="B12" s="18"/>
      <c r="C12" s="18"/>
      <c r="D12" s="18"/>
      <c r="F12" s="51" t="s">
        <v>1432</v>
      </c>
      <c r="G12" s="51" t="s">
        <v>1433</v>
      </c>
      <c r="H12" s="51" t="s">
        <v>1434</v>
      </c>
      <c r="I12" s="53" t="s">
        <v>1435</v>
      </c>
      <c r="J12" s="53" t="s">
        <v>1433</v>
      </c>
      <c r="K12" s="53" t="s">
        <v>1434</v>
      </c>
      <c r="L12" s="51" t="s">
        <v>1435</v>
      </c>
      <c r="M12" s="51" t="s">
        <v>1433</v>
      </c>
      <c r="N12" s="53" t="s">
        <v>1434</v>
      </c>
      <c r="O12" s="51" t="s">
        <v>1435</v>
      </c>
      <c r="P12" s="53" t="s">
        <v>1434</v>
      </c>
      <c r="Q12" s="53" t="s">
        <v>1435</v>
      </c>
    </row>
    <row r="13" spans="2:17">
      <c r="B13" s="18" t="s">
        <v>159</v>
      </c>
      <c r="C13" s="18"/>
      <c r="D13" s="18"/>
      <c r="F13" s="51">
        <v>1</v>
      </c>
      <c r="G13" s="51"/>
      <c r="H13" s="51"/>
      <c r="I13" s="53"/>
      <c r="J13" s="53"/>
      <c r="K13" s="53"/>
      <c r="L13" s="51"/>
      <c r="M13" s="171">
        <v>0.13900000000000001</v>
      </c>
      <c r="N13" s="171">
        <v>0.11899999999999999</v>
      </c>
      <c r="O13" s="171">
        <v>0.114</v>
      </c>
      <c r="P13" s="53" t="s">
        <v>1436</v>
      </c>
      <c r="Q13" s="51" t="s">
        <v>1436</v>
      </c>
    </row>
    <row r="14" spans="2:17">
      <c r="B14" s="18" t="s">
        <v>162</v>
      </c>
      <c r="C14" s="18"/>
      <c r="D14" s="18"/>
      <c r="F14" s="51">
        <v>1.5</v>
      </c>
      <c r="G14" s="51"/>
      <c r="H14" s="51"/>
      <c r="I14" s="53"/>
      <c r="J14" s="53"/>
      <c r="K14" s="53"/>
      <c r="L14" s="51"/>
      <c r="M14" s="171">
        <v>0.129</v>
      </c>
      <c r="N14" s="171">
        <v>0.111</v>
      </c>
      <c r="O14" s="171">
        <v>0.107</v>
      </c>
      <c r="P14" s="53" t="s">
        <v>1436</v>
      </c>
      <c r="Q14" s="51" t="s">
        <v>1436</v>
      </c>
    </row>
    <row r="15" spans="2:17">
      <c r="B15" s="18"/>
      <c r="C15" s="18"/>
      <c r="D15" s="18"/>
      <c r="F15" s="51">
        <v>2.5</v>
      </c>
      <c r="G15" s="51"/>
      <c r="H15" s="51"/>
      <c r="I15" s="53"/>
      <c r="J15" s="53"/>
      <c r="K15" s="53"/>
      <c r="L15" s="51"/>
      <c r="M15" s="171">
        <v>0.11799999999999999</v>
      </c>
      <c r="N15" s="171">
        <v>0.10199999999999999</v>
      </c>
      <c r="O15" s="171">
        <v>9.8799999999999999E-2</v>
      </c>
      <c r="P15" s="53" t="s">
        <v>1436</v>
      </c>
      <c r="Q15" s="51" t="s">
        <v>1436</v>
      </c>
    </row>
    <row r="16" spans="2:17">
      <c r="B16" s="18" t="s">
        <v>167</v>
      </c>
      <c r="C16" s="18"/>
      <c r="D16" s="18"/>
      <c r="F16" s="51">
        <v>4</v>
      </c>
      <c r="G16" s="51"/>
      <c r="H16" s="51"/>
      <c r="I16" s="53"/>
      <c r="J16" s="53"/>
      <c r="K16" s="53"/>
      <c r="L16" s="51"/>
      <c r="M16" s="171">
        <v>0.11</v>
      </c>
      <c r="N16" s="171">
        <v>0.10199999999999999</v>
      </c>
      <c r="O16" s="171">
        <v>9.2999999999999999E-2</v>
      </c>
      <c r="P16" s="53" t="s">
        <v>1436</v>
      </c>
      <c r="Q16" s="51" t="s">
        <v>1436</v>
      </c>
    </row>
    <row r="17" spans="2:17">
      <c r="B17" s="18" t="s">
        <v>170</v>
      </c>
      <c r="C17" s="18"/>
      <c r="D17" s="18"/>
      <c r="F17" s="51">
        <v>6</v>
      </c>
      <c r="G17" s="51"/>
      <c r="H17" s="51"/>
      <c r="I17" s="53"/>
      <c r="J17" s="53"/>
      <c r="K17" s="53"/>
      <c r="L17" s="51"/>
      <c r="M17" s="172">
        <v>0.104</v>
      </c>
      <c r="N17" s="172">
        <v>9.6699999999999994E-2</v>
      </c>
      <c r="O17" s="172">
        <v>8.8700000000000001E-2</v>
      </c>
      <c r="P17" s="53" t="s">
        <v>1436</v>
      </c>
      <c r="Q17" s="51" t="s">
        <v>1436</v>
      </c>
    </row>
    <row r="18" spans="2:17">
      <c r="B18" s="18" t="s">
        <v>173</v>
      </c>
      <c r="C18" s="18"/>
      <c r="D18" s="18"/>
      <c r="F18" s="51">
        <v>8</v>
      </c>
      <c r="G18" s="51"/>
      <c r="H18" s="51"/>
      <c r="I18" s="53"/>
      <c r="J18" s="53"/>
      <c r="K18" s="53"/>
      <c r="L18" s="162"/>
      <c r="M18" s="175">
        <f>AVERAGE(M32:M33)</f>
        <v>0.10034999999999999</v>
      </c>
      <c r="N18" s="175">
        <f>AVERAGE(N32:N33)</f>
        <v>9.3649999999999997E-2</v>
      </c>
      <c r="O18" s="175">
        <f>AVERAGE(O32:O33)</f>
        <v>8.635000000000001E-2</v>
      </c>
      <c r="P18" s="166"/>
      <c r="Q18" s="51"/>
    </row>
    <row r="19" spans="2:17">
      <c r="B19" s="18"/>
      <c r="C19" s="18"/>
      <c r="D19" s="18"/>
      <c r="F19" s="51">
        <v>10</v>
      </c>
      <c r="G19" s="51"/>
      <c r="H19" s="51"/>
      <c r="I19" s="53"/>
      <c r="J19" s="53"/>
      <c r="K19" s="53"/>
      <c r="L19" s="51"/>
      <c r="M19" s="173">
        <v>9.6699999999999994E-2</v>
      </c>
      <c r="N19" s="173">
        <v>9.06E-2</v>
      </c>
      <c r="O19" s="173">
        <v>8.4000000000000005E-2</v>
      </c>
      <c r="P19" s="53" t="s">
        <v>1436</v>
      </c>
      <c r="Q19" s="51" t="s">
        <v>1436</v>
      </c>
    </row>
    <row r="20" spans="2:17">
      <c r="B20" s="18" t="s">
        <v>176</v>
      </c>
      <c r="C20" s="18"/>
      <c r="D20" s="18"/>
      <c r="F20" s="51">
        <v>16</v>
      </c>
      <c r="G20" s="51"/>
      <c r="H20" s="51"/>
      <c r="I20" s="53"/>
      <c r="J20" s="53"/>
      <c r="K20" s="53"/>
      <c r="L20" s="53"/>
      <c r="M20" s="171">
        <v>9.1300000000000006E-2</v>
      </c>
      <c r="N20" s="171">
        <v>8.6099999999999996E-2</v>
      </c>
      <c r="O20" s="171">
        <v>8.0500000000000002E-2</v>
      </c>
      <c r="P20" s="53"/>
      <c r="Q20" s="53"/>
    </row>
    <row r="21" spans="2:17">
      <c r="B21" s="18"/>
      <c r="C21" s="18"/>
      <c r="D21" s="18"/>
      <c r="F21" s="51">
        <v>25</v>
      </c>
      <c r="G21" s="51"/>
      <c r="H21" s="51"/>
      <c r="I21" s="53"/>
      <c r="J21" s="53"/>
      <c r="K21" s="53"/>
      <c r="L21" s="53"/>
      <c r="M21" s="171">
        <v>8.9499999999999996E-2</v>
      </c>
      <c r="N21" s="171">
        <v>8.5300000000000001E-2</v>
      </c>
      <c r="O21" s="171">
        <v>8.0799999999999997E-2</v>
      </c>
      <c r="P21" s="53"/>
      <c r="Q21" s="53"/>
    </row>
    <row r="22" spans="2:17">
      <c r="B22" s="18"/>
      <c r="C22" s="18"/>
      <c r="D22" s="18"/>
      <c r="F22" s="51">
        <v>35</v>
      </c>
      <c r="G22" s="51"/>
      <c r="H22" s="51"/>
      <c r="I22" s="53"/>
      <c r="J22" s="53"/>
      <c r="K22" s="53"/>
      <c r="L22" s="51"/>
      <c r="M22" s="171">
        <v>8.6300000000000002E-2</v>
      </c>
      <c r="N22" s="171">
        <v>8.2600000000000007E-2</v>
      </c>
      <c r="O22" s="171">
        <v>7.8600000000000003E-2</v>
      </c>
      <c r="P22" s="53"/>
      <c r="Q22" s="51"/>
    </row>
    <row r="23" spans="2:17">
      <c r="B23" s="18"/>
      <c r="C23" s="18"/>
      <c r="D23" s="18"/>
      <c r="F23" s="51">
        <v>50</v>
      </c>
      <c r="G23" s="51"/>
      <c r="H23" s="51"/>
      <c r="I23" s="53"/>
      <c r="J23" s="53"/>
      <c r="K23" s="53"/>
      <c r="L23" s="51"/>
      <c r="M23" s="171">
        <v>8.2900000000000001E-2</v>
      </c>
      <c r="N23" s="171">
        <v>7.9699999999999993E-2</v>
      </c>
      <c r="O23" s="171">
        <v>7.51E-2</v>
      </c>
      <c r="P23" s="53"/>
      <c r="Q23" s="51"/>
    </row>
    <row r="24" spans="2:17">
      <c r="B24" s="18"/>
      <c r="C24" s="18"/>
      <c r="D24" s="18"/>
      <c r="F24" s="51">
        <v>70</v>
      </c>
      <c r="G24" s="51"/>
      <c r="H24" s="71"/>
      <c r="I24" s="53"/>
      <c r="J24" s="53"/>
      <c r="K24" s="53"/>
      <c r="L24" s="71"/>
      <c r="M24" s="174">
        <v>7.9799999999999996E-2</v>
      </c>
      <c r="N24" s="171">
        <v>7.6999999999999999E-2</v>
      </c>
      <c r="O24" s="174">
        <v>7.4099999999999999E-2</v>
      </c>
      <c r="P24" s="53"/>
      <c r="Q24" s="51"/>
    </row>
    <row r="25" spans="2:17">
      <c r="B25" s="18" t="s">
        <v>182</v>
      </c>
      <c r="C25" s="18"/>
      <c r="D25" s="18"/>
      <c r="F25" s="51">
        <v>95</v>
      </c>
      <c r="G25" s="51"/>
      <c r="H25" s="71"/>
      <c r="I25" s="53"/>
      <c r="J25" s="53"/>
      <c r="K25" s="53"/>
      <c r="L25" s="71"/>
      <c r="M25" s="174">
        <v>7.9000000000000001E-2</v>
      </c>
      <c r="N25" s="171">
        <v>7.6600000000000001E-2</v>
      </c>
      <c r="O25" s="174">
        <v>7.2499999999999995E-2</v>
      </c>
      <c r="P25" s="53"/>
      <c r="Q25" s="51"/>
    </row>
    <row r="26" spans="2:17">
      <c r="B26" s="285"/>
      <c r="C26" s="285"/>
      <c r="D26" s="285"/>
      <c r="F26" s="51">
        <v>120</v>
      </c>
      <c r="G26" s="51"/>
      <c r="H26" s="51"/>
      <c r="I26" s="51"/>
      <c r="J26" s="51"/>
      <c r="K26" s="51"/>
      <c r="L26" s="51"/>
      <c r="M26" s="171">
        <v>7.6499999999999999E-2</v>
      </c>
      <c r="N26" s="171">
        <v>7.51E-2</v>
      </c>
      <c r="O26" s="171">
        <v>7.1300000000000002E-2</v>
      </c>
      <c r="P26" s="51"/>
      <c r="Q26" s="51"/>
    </row>
    <row r="27" spans="2:17">
      <c r="B27" s="285"/>
      <c r="C27" s="285"/>
      <c r="D27" s="285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</row>
    <row r="28" spans="2:17">
      <c r="B28" s="293"/>
      <c r="C28" s="293"/>
      <c r="D28" s="293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</row>
    <row r="29" spans="2:17">
      <c r="B29" s="293"/>
      <c r="C29" s="293"/>
      <c r="D29" s="293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</row>
    <row r="30" spans="2:17">
      <c r="B30" s="293"/>
      <c r="C30" s="293"/>
      <c r="D30" s="293"/>
    </row>
    <row r="31" spans="2:17">
      <c r="B31" s="293"/>
      <c r="C31" s="293"/>
      <c r="D31" s="293"/>
    </row>
    <row r="32" spans="2:17">
      <c r="B32" s="289"/>
      <c r="C32" s="289"/>
      <c r="D32" s="289"/>
      <c r="J32"/>
      <c r="M32" s="164">
        <v>0.104</v>
      </c>
      <c r="N32" s="164">
        <v>9.6699999999999994E-2</v>
      </c>
      <c r="O32" s="164">
        <v>8.8700000000000001E-2</v>
      </c>
      <c r="P32"/>
    </row>
    <row r="33" spans="2:16">
      <c r="B33" s="289"/>
      <c r="C33" s="289"/>
      <c r="D33" s="289"/>
      <c r="J33"/>
      <c r="M33" s="164">
        <v>9.6699999999999994E-2</v>
      </c>
      <c r="N33" s="164">
        <v>9.06E-2</v>
      </c>
      <c r="O33" s="164">
        <v>8.4000000000000005E-2</v>
      </c>
      <c r="P33"/>
    </row>
    <row r="34" spans="2:16">
      <c r="B34" s="289"/>
      <c r="C34" s="289"/>
      <c r="D34" s="289"/>
      <c r="J34"/>
      <c r="M34" s="165" t="s">
        <v>1437</v>
      </c>
      <c r="N34"/>
      <c r="O34"/>
      <c r="P34"/>
    </row>
    <row r="35" spans="2:16">
      <c r="B35" s="289"/>
      <c r="C35" s="289"/>
      <c r="D35" s="289"/>
      <c r="M35" s="165" t="s">
        <v>1438</v>
      </c>
    </row>
    <row r="36" spans="2:16">
      <c r="B36" s="289"/>
      <c r="C36" s="289"/>
      <c r="D36" s="289"/>
    </row>
    <row r="37" spans="2:16">
      <c r="B37" s="289"/>
      <c r="C37" s="289"/>
      <c r="D37" s="289"/>
    </row>
    <row r="38" spans="2:16">
      <c r="B38" s="289"/>
      <c r="C38" s="289"/>
      <c r="D38" s="289"/>
    </row>
    <row r="39" spans="2:16">
      <c r="B39" s="289"/>
      <c r="C39" s="289"/>
      <c r="D39" s="289"/>
      <c r="F39" s="176" t="s">
        <v>1439</v>
      </c>
    </row>
    <row r="40" spans="2:16">
      <c r="B40" s="289"/>
      <c r="C40" s="289"/>
      <c r="D40" s="289"/>
      <c r="F40" s="176" t="s">
        <v>1440</v>
      </c>
    </row>
    <row r="41" spans="2:16">
      <c r="B41" s="289"/>
      <c r="C41" s="289"/>
      <c r="D41" s="289"/>
      <c r="F41" s="176" t="s">
        <v>1441</v>
      </c>
    </row>
    <row r="42" spans="2:16">
      <c r="B42" s="289"/>
      <c r="C42" s="289"/>
      <c r="D42" s="289"/>
      <c r="F42" s="176" t="s">
        <v>1442</v>
      </c>
    </row>
    <row r="43" spans="2:16">
      <c r="B43" s="289"/>
      <c r="C43" s="289"/>
      <c r="D43" s="289"/>
      <c r="F43" s="176"/>
    </row>
    <row r="44" spans="2:16">
      <c r="B44" s="289"/>
      <c r="C44" s="289"/>
      <c r="D44" s="289"/>
      <c r="F44" s="115" t="s">
        <v>1443</v>
      </c>
    </row>
    <row r="45" spans="2:16">
      <c r="B45" s="289"/>
      <c r="C45" s="289"/>
      <c r="D45" s="289"/>
      <c r="F45" s="115" t="s">
        <v>1444</v>
      </c>
    </row>
    <row r="46" spans="2:16">
      <c r="B46" s="289"/>
      <c r="C46" s="289"/>
      <c r="D46" s="289"/>
    </row>
    <row r="47" spans="2:16">
      <c r="B47" s="289"/>
      <c r="C47" s="289"/>
      <c r="D47" s="289"/>
    </row>
    <row r="48" spans="2:16">
      <c r="B48" s="289"/>
      <c r="C48" s="289"/>
      <c r="D48" s="289"/>
    </row>
  </sheetData>
  <mergeCells count="32">
    <mergeCell ref="B48:D48"/>
    <mergeCell ref="B42:D42"/>
    <mergeCell ref="B43:D43"/>
    <mergeCell ref="B44:D44"/>
    <mergeCell ref="B45:D45"/>
    <mergeCell ref="B46:D46"/>
    <mergeCell ref="B47:D47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F2:N4"/>
    <mergeCell ref="B26:D26"/>
    <mergeCell ref="B27:D27"/>
    <mergeCell ref="B28:D28"/>
    <mergeCell ref="M11:O11"/>
    <mergeCell ref="M10:Q10"/>
    <mergeCell ref="B29:D29"/>
    <mergeCell ref="F9:F11"/>
    <mergeCell ref="G11:I11"/>
    <mergeCell ref="J11:L11"/>
    <mergeCell ref="G10:L10"/>
    <mergeCell ref="G9:Q9"/>
    <mergeCell ref="P11:Q11"/>
  </mergeCells>
  <hyperlinks>
    <hyperlink ref="B10" location="'DASH'!A1" display="DASHBOARD" xr:uid="{12FB7352-A085-47CE-8447-560873AE7DB9}"/>
    <hyperlink ref="B11" location="'DES-GL'!A1" display="DESIGN GUIDELINES" xr:uid="{BCFD4F3C-472B-47B6-B430-CDA9FA0CFA69}"/>
    <hyperlink ref="B13" location="'EXT-MAINS-DT'!A1" display="EXISTING POWER DESIGN" xr:uid="{B223AFEB-DA40-4E76-859A-8DE768868BE7}"/>
    <hyperlink ref="B14" location="'EXT-CALC'!A1" display="EXISTING DEMAND" xr:uid="{DFFD390C-F884-4AB7-992D-3C4424F97B86}"/>
    <hyperlink ref="B16" location="'CALC'!A1" display="POWER CALCULATOR" xr:uid="{D5AD6300-2032-4381-AFF6-21B74FF5D6A8}"/>
    <hyperlink ref="B17" location="'PLBC-CALC'!A1" display="PLBC CALCULATOR" xr:uid="{EA735D74-5691-4BCB-976F-2FB146C73FE9}"/>
    <hyperlink ref="B18" location="'VDC'!A1" display="VD CALCULATOR" xr:uid="{18D7ECEB-F199-4F2A-B12B-39F416EF60E1}"/>
    <hyperlink ref="B20" location="'PRP-SOL'!A1" display="PROPOSED POWER DESIGN" xr:uid="{56CAC709-2CE8-43AE-BF18-4D86CEC63AF0}"/>
    <hyperlink ref="B25" location="'DC'!A1" display="DOCUMENT CONTROL" xr:uid="{50DA8377-5FB9-4797-81BC-B0B93057CEA9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58BA8-4AD5-4244-8930-43E21161E17E}">
  <sheetPr codeName="Sheet33"/>
  <dimension ref="B1:O48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3.7109375" customWidth="1"/>
    <col min="7" max="15" width="9.28515625" customWidth="1"/>
    <col min="16" max="16" width="20.28515625" customWidth="1"/>
    <col min="17" max="17" width="20.7109375" customWidth="1"/>
    <col min="18" max="18" width="16.28515625" customWidth="1"/>
    <col min="19" max="19" width="12.7109375" customWidth="1"/>
    <col min="20" max="20" width="13" customWidth="1"/>
    <col min="21" max="21" width="3" customWidth="1"/>
    <col min="22" max="22" width="38.7109375" customWidth="1"/>
  </cols>
  <sheetData>
    <row r="1" spans="2:15" ht="15" hidden="1" customHeight="1"/>
    <row r="2" spans="2:15" ht="15" customHeight="1">
      <c r="F2" s="287" t="s">
        <v>580</v>
      </c>
      <c r="G2" s="287"/>
      <c r="H2" s="287"/>
      <c r="I2" s="287"/>
      <c r="J2" s="287"/>
      <c r="K2" s="287"/>
      <c r="L2" s="287"/>
      <c r="M2" s="287"/>
      <c r="N2" s="287"/>
    </row>
    <row r="3" spans="2:15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5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5">
      <c r="F5" t="s">
        <v>580</v>
      </c>
    </row>
    <row r="7" spans="2:15">
      <c r="C7" s="2" t="s">
        <v>152</v>
      </c>
      <c r="D7" s="12">
        <f>DCVer</f>
        <v>12.7</v>
      </c>
    </row>
    <row r="8" spans="2:15" ht="15" customHeight="1">
      <c r="F8" s="51">
        <v>1</v>
      </c>
      <c r="G8" s="51">
        <v>2</v>
      </c>
      <c r="H8" s="51">
        <v>3</v>
      </c>
      <c r="I8" s="53">
        <v>4</v>
      </c>
      <c r="J8" s="53">
        <v>5</v>
      </c>
      <c r="K8" s="53">
        <v>6</v>
      </c>
      <c r="L8" s="53">
        <v>7</v>
      </c>
      <c r="M8" s="53">
        <v>8</v>
      </c>
      <c r="N8" s="53">
        <v>9</v>
      </c>
      <c r="O8" s="53">
        <v>10</v>
      </c>
    </row>
    <row r="9" spans="2:15">
      <c r="B9" s="18"/>
      <c r="C9" s="18"/>
      <c r="D9" s="18"/>
      <c r="F9" s="395" t="s">
        <v>1424</v>
      </c>
      <c r="G9" s="320" t="s">
        <v>1445</v>
      </c>
      <c r="H9" s="320"/>
      <c r="I9" s="320"/>
      <c r="J9" s="320"/>
      <c r="K9" s="320"/>
      <c r="L9" s="320"/>
      <c r="M9" s="320"/>
      <c r="N9" s="320"/>
      <c r="O9" s="320"/>
    </row>
    <row r="10" spans="2:15">
      <c r="B10" s="18" t="s">
        <v>151</v>
      </c>
      <c r="C10" s="18"/>
      <c r="D10" s="18"/>
      <c r="F10" s="490"/>
      <c r="G10" s="320" t="s">
        <v>1446</v>
      </c>
      <c r="H10" s="320"/>
      <c r="I10" s="320"/>
      <c r="J10" s="320"/>
      <c r="K10" s="320"/>
      <c r="L10" s="320" t="s">
        <v>1447</v>
      </c>
      <c r="M10" s="320"/>
      <c r="N10" s="320"/>
      <c r="O10" s="320"/>
    </row>
    <row r="11" spans="2:15">
      <c r="B11" s="18" t="s">
        <v>155</v>
      </c>
      <c r="C11" s="18"/>
      <c r="D11" s="18"/>
      <c r="F11" s="396"/>
      <c r="G11" s="320" t="s">
        <v>1448</v>
      </c>
      <c r="H11" s="320"/>
      <c r="I11" s="320"/>
      <c r="J11" s="320"/>
      <c r="K11" s="320"/>
      <c r="L11" s="484" t="s">
        <v>1448</v>
      </c>
      <c r="M11" s="484"/>
      <c r="N11" s="484"/>
      <c r="O11" s="484"/>
    </row>
    <row r="12" spans="2:15">
      <c r="B12" s="18"/>
      <c r="C12" s="18"/>
      <c r="D12" s="18"/>
      <c r="F12" s="51" t="s">
        <v>1432</v>
      </c>
      <c r="G12" s="51">
        <v>45</v>
      </c>
      <c r="H12" s="51">
        <v>60</v>
      </c>
      <c r="I12" s="53">
        <v>75</v>
      </c>
      <c r="J12" s="53">
        <v>90</v>
      </c>
      <c r="K12" s="53">
        <v>110</v>
      </c>
      <c r="L12" s="51">
        <v>45</v>
      </c>
      <c r="M12" s="51">
        <v>60</v>
      </c>
      <c r="N12" s="53">
        <v>75</v>
      </c>
      <c r="O12" s="51">
        <v>90</v>
      </c>
    </row>
    <row r="13" spans="2:15">
      <c r="B13" s="18" t="s">
        <v>159</v>
      </c>
      <c r="C13" s="18"/>
      <c r="D13" s="18"/>
      <c r="F13" s="51">
        <v>1</v>
      </c>
      <c r="G13" s="51">
        <v>23.3</v>
      </c>
      <c r="H13" s="51">
        <v>24.5</v>
      </c>
      <c r="I13" s="53">
        <v>25.8</v>
      </c>
      <c r="J13" s="53">
        <v>27</v>
      </c>
      <c r="K13" s="53">
        <v>28.7</v>
      </c>
      <c r="L13" s="51" t="s">
        <v>1436</v>
      </c>
      <c r="M13" s="171" t="s">
        <v>1436</v>
      </c>
      <c r="N13" s="171" t="s">
        <v>1436</v>
      </c>
      <c r="O13" s="171" t="s">
        <v>1436</v>
      </c>
    </row>
    <row r="14" spans="2:15">
      <c r="B14" s="18" t="s">
        <v>162</v>
      </c>
      <c r="C14" s="18"/>
      <c r="D14" s="18"/>
      <c r="F14" s="51">
        <v>1.5</v>
      </c>
      <c r="G14" s="51">
        <v>14.9</v>
      </c>
      <c r="H14" s="51">
        <v>15.7</v>
      </c>
      <c r="I14" s="53">
        <v>16.5</v>
      </c>
      <c r="J14" s="53">
        <v>17.3</v>
      </c>
      <c r="K14" s="53">
        <v>18.399999999999999</v>
      </c>
      <c r="L14" s="51" t="s">
        <v>1436</v>
      </c>
      <c r="M14" s="171" t="s">
        <v>1436</v>
      </c>
      <c r="N14" s="171" t="s">
        <v>1436</v>
      </c>
      <c r="O14" s="171" t="s">
        <v>1436</v>
      </c>
    </row>
    <row r="15" spans="2:15">
      <c r="B15" s="18"/>
      <c r="C15" s="18"/>
      <c r="D15" s="18"/>
      <c r="F15" s="51">
        <v>2.5</v>
      </c>
      <c r="G15" s="51">
        <v>8.14</v>
      </c>
      <c r="H15" s="51">
        <v>8.57</v>
      </c>
      <c r="I15" s="53">
        <v>9.01</v>
      </c>
      <c r="J15" s="53">
        <v>9.4499999999999993</v>
      </c>
      <c r="K15" s="53">
        <v>10</v>
      </c>
      <c r="L15" s="51" t="s">
        <v>1436</v>
      </c>
      <c r="M15" s="171" t="s">
        <v>1436</v>
      </c>
      <c r="N15" s="171" t="s">
        <v>1436</v>
      </c>
      <c r="O15" s="171" t="s">
        <v>1436</v>
      </c>
    </row>
    <row r="16" spans="2:15">
      <c r="B16" s="18" t="s">
        <v>167</v>
      </c>
      <c r="C16" s="18"/>
      <c r="D16" s="18"/>
      <c r="F16" s="51">
        <v>4</v>
      </c>
      <c r="G16" s="51">
        <v>5.0599999999999996</v>
      </c>
      <c r="H16" s="51">
        <v>5.33</v>
      </c>
      <c r="I16" s="53">
        <v>5.61</v>
      </c>
      <c r="J16" s="53">
        <v>5.88</v>
      </c>
      <c r="K16" s="53">
        <v>6.24</v>
      </c>
      <c r="L16" s="51" t="s">
        <v>1436</v>
      </c>
      <c r="M16" s="171" t="s">
        <v>1436</v>
      </c>
      <c r="N16" s="171" t="s">
        <v>1436</v>
      </c>
      <c r="O16" s="171" t="s">
        <v>1436</v>
      </c>
    </row>
    <row r="17" spans="2:15">
      <c r="B17" s="18" t="s">
        <v>170</v>
      </c>
      <c r="C17" s="18"/>
      <c r="D17" s="18"/>
      <c r="F17" s="51">
        <v>6</v>
      </c>
      <c r="G17" s="167">
        <v>3.38</v>
      </c>
      <c r="H17" s="167">
        <v>3.56</v>
      </c>
      <c r="I17" s="168">
        <v>3.75</v>
      </c>
      <c r="J17" s="168">
        <v>3.93</v>
      </c>
      <c r="K17" s="168">
        <v>4.17</v>
      </c>
      <c r="L17" s="51" t="s">
        <v>1436</v>
      </c>
      <c r="M17" s="172" t="s">
        <v>1436</v>
      </c>
      <c r="N17" s="172" t="s">
        <v>1436</v>
      </c>
      <c r="O17" s="172" t="s">
        <v>1436</v>
      </c>
    </row>
    <row r="18" spans="2:15">
      <c r="B18" s="18" t="s">
        <v>173</v>
      </c>
      <c r="C18" s="18"/>
      <c r="D18" s="18"/>
      <c r="F18" s="162">
        <v>8</v>
      </c>
      <c r="G18" s="60">
        <f>AVERAGE(G32:G33)</f>
        <v>2.6949999999999998</v>
      </c>
      <c r="H18" s="60">
        <f>AVERAGE(H32:H33)</f>
        <v>2.84</v>
      </c>
      <c r="I18" s="60">
        <f>AVERAGE(I32:I33)</f>
        <v>2.99</v>
      </c>
      <c r="J18" s="60">
        <f>AVERAGE(J32:J33)</f>
        <v>3.13</v>
      </c>
      <c r="K18" s="60">
        <f>AVERAGE(K32:K33)</f>
        <v>3.3250000000000002</v>
      </c>
      <c r="L18" s="163" t="s">
        <v>1436</v>
      </c>
      <c r="M18" s="171" t="s">
        <v>1436</v>
      </c>
      <c r="N18" s="171" t="s">
        <v>1436</v>
      </c>
      <c r="O18" s="171" t="s">
        <v>1436</v>
      </c>
    </row>
    <row r="19" spans="2:15">
      <c r="B19" s="18"/>
      <c r="C19" s="18"/>
      <c r="D19" s="18"/>
      <c r="F19" s="51">
        <v>10</v>
      </c>
      <c r="G19" s="169">
        <v>2.0099999999999998</v>
      </c>
      <c r="H19" s="169">
        <v>2.12</v>
      </c>
      <c r="I19" s="170">
        <v>2.23</v>
      </c>
      <c r="J19" s="170">
        <v>2.33</v>
      </c>
      <c r="K19" s="170">
        <v>2.48</v>
      </c>
      <c r="L19" s="51" t="s">
        <v>1436</v>
      </c>
      <c r="M19" s="171" t="s">
        <v>1436</v>
      </c>
      <c r="N19" s="171" t="s">
        <v>1436</v>
      </c>
      <c r="O19" s="171" t="s">
        <v>1436</v>
      </c>
    </row>
    <row r="20" spans="2:15">
      <c r="B20" s="18" t="s">
        <v>176</v>
      </c>
      <c r="C20" s="18"/>
      <c r="D20" s="18"/>
      <c r="F20" s="51">
        <v>16</v>
      </c>
      <c r="G20" s="51">
        <v>1.26</v>
      </c>
      <c r="H20" s="51">
        <v>1.33</v>
      </c>
      <c r="I20" s="53">
        <v>1.4</v>
      </c>
      <c r="J20" s="53">
        <v>1.47</v>
      </c>
      <c r="K20" s="53">
        <v>1.56</v>
      </c>
      <c r="L20" s="53">
        <v>2.1</v>
      </c>
      <c r="M20" s="171">
        <v>2.2200000000000002</v>
      </c>
      <c r="N20" s="171">
        <v>2.33</v>
      </c>
      <c r="O20" s="171">
        <v>2.4500000000000002</v>
      </c>
    </row>
    <row r="21" spans="2:15">
      <c r="B21" s="18"/>
      <c r="C21" s="18"/>
      <c r="D21" s="18"/>
      <c r="F21" s="51">
        <v>25</v>
      </c>
      <c r="G21" s="51">
        <v>0.79900000000000004</v>
      </c>
      <c r="H21" s="51">
        <v>0.84199999999999997</v>
      </c>
      <c r="I21" s="53">
        <v>0.88400000000000001</v>
      </c>
      <c r="J21" s="53">
        <v>0.92700000000000005</v>
      </c>
      <c r="K21" s="53">
        <v>0.98399999999999999</v>
      </c>
      <c r="L21" s="53">
        <v>1.32</v>
      </c>
      <c r="M21" s="171">
        <v>1.39</v>
      </c>
      <c r="N21" s="171">
        <v>1.47</v>
      </c>
      <c r="O21" s="171">
        <v>1.54</v>
      </c>
    </row>
    <row r="22" spans="2:15">
      <c r="B22" s="18"/>
      <c r="C22" s="18"/>
      <c r="D22" s="18"/>
      <c r="F22" s="51">
        <v>35</v>
      </c>
      <c r="G22" s="51">
        <v>0.57599999999999996</v>
      </c>
      <c r="H22" s="51">
        <v>0.60699999999999998</v>
      </c>
      <c r="I22" s="53">
        <v>0.63800000000000001</v>
      </c>
      <c r="J22" s="53">
        <v>0.66900000000000004</v>
      </c>
      <c r="K22" s="53">
        <v>0.71</v>
      </c>
      <c r="L22" s="51">
        <v>0.95599999999999996</v>
      </c>
      <c r="M22" s="171">
        <v>1.01</v>
      </c>
      <c r="N22" s="171">
        <v>1.06</v>
      </c>
      <c r="O22" s="171">
        <v>1.1100000000000001</v>
      </c>
    </row>
    <row r="23" spans="2:15">
      <c r="B23" s="18"/>
      <c r="C23" s="18"/>
      <c r="D23" s="18"/>
      <c r="F23" s="51">
        <v>50</v>
      </c>
      <c r="G23" s="51">
        <v>0.42599999999999999</v>
      </c>
      <c r="H23" s="51">
        <v>0.44900000000000001</v>
      </c>
      <c r="I23" s="53">
        <v>0.47099999999999997</v>
      </c>
      <c r="J23" s="53">
        <v>0.49399999999999999</v>
      </c>
      <c r="K23" s="53">
        <v>0.52400000000000002</v>
      </c>
      <c r="L23" s="51">
        <v>0.70599999999999996</v>
      </c>
      <c r="M23" s="171">
        <v>0.745</v>
      </c>
      <c r="N23" s="171">
        <v>0.78400000000000003</v>
      </c>
      <c r="O23" s="171">
        <v>0.82199999999999995</v>
      </c>
    </row>
    <row r="24" spans="2:15">
      <c r="B24" s="18"/>
      <c r="C24" s="18"/>
      <c r="D24" s="18"/>
      <c r="F24" s="51">
        <v>70</v>
      </c>
      <c r="G24" s="51">
        <v>0.29499999999999998</v>
      </c>
      <c r="H24" s="71">
        <v>0.311</v>
      </c>
      <c r="I24" s="53">
        <v>0.32700000000000001</v>
      </c>
      <c r="J24" s="53">
        <v>0.34300000000000003</v>
      </c>
      <c r="K24" s="53">
        <v>0.36399999999999999</v>
      </c>
      <c r="L24" s="71">
        <v>0.48799999999999999</v>
      </c>
      <c r="M24" s="174">
        <v>0.51500000000000001</v>
      </c>
      <c r="N24" s="171">
        <v>0.54200000000000004</v>
      </c>
      <c r="O24" s="174">
        <v>0.56899999999999995</v>
      </c>
    </row>
    <row r="25" spans="2:15">
      <c r="B25" s="18" t="s">
        <v>182</v>
      </c>
      <c r="C25" s="18"/>
      <c r="D25" s="18"/>
      <c r="F25" s="51">
        <v>95</v>
      </c>
      <c r="G25" s="51">
        <v>0.214</v>
      </c>
      <c r="H25" s="71">
        <v>0.22500000000000001</v>
      </c>
      <c r="I25" s="53">
        <v>0.23599999999999999</v>
      </c>
      <c r="J25" s="53">
        <v>0.248</v>
      </c>
      <c r="K25" s="53">
        <v>0.26200000000000001</v>
      </c>
      <c r="L25" s="71">
        <v>0.35299999999999998</v>
      </c>
      <c r="M25" s="174">
        <v>0.373</v>
      </c>
      <c r="N25" s="171">
        <v>0.39200000000000002</v>
      </c>
      <c r="O25" s="174">
        <v>0.41099999999999998</v>
      </c>
    </row>
    <row r="26" spans="2:15">
      <c r="B26" s="285"/>
      <c r="C26" s="285"/>
      <c r="D26" s="285"/>
      <c r="F26" s="51">
        <v>120</v>
      </c>
      <c r="G26" s="51">
        <v>0.17</v>
      </c>
      <c r="H26" s="51">
        <v>0.17899999999999999</v>
      </c>
      <c r="I26" s="51">
        <v>0.188</v>
      </c>
      <c r="J26" s="51">
        <v>0.19700000000000001</v>
      </c>
      <c r="K26" s="51">
        <v>0.20899999999999999</v>
      </c>
      <c r="L26" s="51">
        <v>0.28000000000000003</v>
      </c>
      <c r="M26" s="171">
        <v>0.29499999999999998</v>
      </c>
      <c r="N26" s="171">
        <v>0.31</v>
      </c>
      <c r="O26" s="171">
        <v>0.32500000000000001</v>
      </c>
    </row>
    <row r="27" spans="2:15">
      <c r="B27" s="285"/>
      <c r="C27" s="285"/>
      <c r="D27" s="285"/>
      <c r="F27" s="49"/>
      <c r="G27" s="49"/>
      <c r="H27" s="49"/>
      <c r="I27" s="49"/>
      <c r="J27" s="49"/>
      <c r="K27" s="49"/>
      <c r="L27" s="49"/>
      <c r="M27" s="49"/>
      <c r="N27" s="49"/>
      <c r="O27" s="49"/>
    </row>
    <row r="28" spans="2:15">
      <c r="B28" s="293"/>
      <c r="C28" s="293"/>
      <c r="D28" s="293"/>
      <c r="F28" s="49"/>
      <c r="G28" s="49"/>
      <c r="H28" s="49"/>
      <c r="I28" s="49"/>
      <c r="J28" s="49"/>
      <c r="K28" s="49"/>
      <c r="L28" s="49"/>
      <c r="M28" s="49"/>
      <c r="N28" s="49"/>
      <c r="O28" s="49"/>
    </row>
    <row r="29" spans="2:15">
      <c r="B29" s="293"/>
      <c r="C29" s="293"/>
      <c r="D29" s="293"/>
      <c r="F29" s="49"/>
      <c r="G29" s="49"/>
      <c r="H29" s="49"/>
      <c r="I29" s="49"/>
      <c r="J29" s="49"/>
      <c r="K29" s="49"/>
      <c r="L29" s="49"/>
      <c r="M29" s="49"/>
      <c r="N29" s="49"/>
      <c r="O29" s="49"/>
    </row>
    <row r="30" spans="2:15">
      <c r="B30" s="293"/>
      <c r="C30" s="293"/>
      <c r="D30" s="293"/>
      <c r="F30" s="17"/>
      <c r="G30" s="17"/>
      <c r="H30" s="17"/>
      <c r="I30" s="17"/>
      <c r="J30" s="17"/>
      <c r="K30" s="17"/>
      <c r="L30" s="17"/>
      <c r="M30" s="17"/>
      <c r="N30" s="17"/>
      <c r="O30" s="17"/>
    </row>
    <row r="31" spans="2:15">
      <c r="B31" s="293"/>
      <c r="C31" s="293"/>
      <c r="D31" s="293"/>
      <c r="G31" s="17"/>
      <c r="H31" s="17"/>
      <c r="I31" s="17"/>
      <c r="J31" s="17"/>
      <c r="K31" s="17"/>
      <c r="L31" s="17"/>
      <c r="M31" s="17"/>
      <c r="N31" s="17"/>
      <c r="O31" s="17"/>
    </row>
    <row r="32" spans="2:15">
      <c r="B32" s="289"/>
      <c r="C32" s="289"/>
      <c r="D32" s="289"/>
      <c r="G32" s="177">
        <v>3.38</v>
      </c>
      <c r="H32" s="177">
        <v>3.56</v>
      </c>
      <c r="I32" s="177">
        <v>3.75</v>
      </c>
      <c r="J32" s="177">
        <v>3.93</v>
      </c>
      <c r="K32" s="177">
        <v>4.17</v>
      </c>
      <c r="L32" s="164"/>
      <c r="M32" s="164"/>
      <c r="N32" s="164"/>
      <c r="O32" s="164"/>
    </row>
    <row r="33" spans="2:15">
      <c r="B33" s="289"/>
      <c r="C33" s="289"/>
      <c r="D33" s="289"/>
      <c r="F33" s="17"/>
      <c r="G33" s="177">
        <v>2.0099999999999998</v>
      </c>
      <c r="H33" s="177">
        <v>2.12</v>
      </c>
      <c r="I33" s="177">
        <v>2.23</v>
      </c>
      <c r="J33" s="177">
        <v>2.33</v>
      </c>
      <c r="K33" s="177">
        <v>2.48</v>
      </c>
      <c r="L33" s="164"/>
      <c r="M33" s="164"/>
      <c r="N33" s="164"/>
      <c r="O33" s="164"/>
    </row>
    <row r="34" spans="2:15">
      <c r="B34" s="289"/>
      <c r="C34" s="289"/>
      <c r="D34" s="289"/>
      <c r="F34" s="17"/>
      <c r="G34" s="165" t="s">
        <v>1449</v>
      </c>
      <c r="H34" s="17"/>
      <c r="I34" s="17"/>
      <c r="K34" s="17"/>
      <c r="L34" s="17"/>
    </row>
    <row r="35" spans="2:15">
      <c r="B35" s="289"/>
      <c r="C35" s="289"/>
      <c r="D35" s="289"/>
      <c r="F35" s="17"/>
      <c r="G35" s="165" t="s">
        <v>1438</v>
      </c>
      <c r="H35" s="17"/>
      <c r="I35" s="17"/>
      <c r="J35" s="17"/>
      <c r="K35" s="17"/>
      <c r="L35" s="17"/>
      <c r="M35" s="17"/>
      <c r="N35" s="17"/>
      <c r="O35" s="17"/>
    </row>
    <row r="36" spans="2:15">
      <c r="B36" s="289"/>
      <c r="C36" s="289"/>
      <c r="D36" s="289"/>
      <c r="F36" s="17"/>
      <c r="G36" s="17"/>
      <c r="H36" s="17"/>
      <c r="I36" s="17"/>
      <c r="J36" s="17"/>
      <c r="K36" s="17"/>
      <c r="L36" s="17"/>
      <c r="M36" s="17"/>
      <c r="N36" s="17"/>
      <c r="O36" s="17"/>
    </row>
    <row r="37" spans="2:15">
      <c r="B37" s="289"/>
      <c r="C37" s="289"/>
      <c r="D37" s="289"/>
      <c r="F37" s="17"/>
      <c r="G37" s="17"/>
      <c r="H37" s="17"/>
      <c r="I37" s="17"/>
      <c r="J37" s="17"/>
      <c r="K37" s="17"/>
      <c r="L37" s="17"/>
      <c r="M37" s="17"/>
      <c r="N37" s="17"/>
      <c r="O37" s="17"/>
    </row>
    <row r="38" spans="2:15">
      <c r="B38" s="289"/>
      <c r="C38" s="289"/>
      <c r="D38" s="289"/>
      <c r="F38" s="17"/>
      <c r="G38" s="17"/>
      <c r="H38" s="17"/>
      <c r="I38" s="17"/>
      <c r="J38" s="17"/>
      <c r="K38" s="17"/>
      <c r="L38" s="17"/>
      <c r="M38" s="17"/>
      <c r="N38" s="17"/>
      <c r="O38" s="17"/>
    </row>
    <row r="39" spans="2:15">
      <c r="B39" s="289"/>
      <c r="C39" s="289"/>
      <c r="D39" s="289"/>
      <c r="F39" s="176" t="s">
        <v>1439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2:15">
      <c r="B40" s="289"/>
      <c r="C40" s="289"/>
      <c r="D40" s="289"/>
      <c r="F40" s="176" t="s">
        <v>1450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2:15">
      <c r="B41" s="289"/>
      <c r="C41" s="289"/>
      <c r="D41" s="289"/>
      <c r="F41" s="176" t="s">
        <v>1451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2:15">
      <c r="B42" s="289"/>
      <c r="C42" s="289"/>
      <c r="D42" s="289"/>
      <c r="F42" s="176" t="s">
        <v>1452</v>
      </c>
      <c r="G42" s="17"/>
      <c r="H42" s="17"/>
      <c r="I42" s="17"/>
      <c r="J42" s="17"/>
      <c r="K42" s="17"/>
      <c r="L42" s="17"/>
      <c r="M42" s="17"/>
      <c r="N42" s="17"/>
      <c r="O42" s="17"/>
    </row>
    <row r="43" spans="2:15">
      <c r="B43" s="289"/>
      <c r="C43" s="289"/>
      <c r="D43" s="289"/>
    </row>
    <row r="44" spans="2:15">
      <c r="B44" s="289"/>
      <c r="C44" s="289"/>
      <c r="D44" s="289"/>
      <c r="F44" s="115" t="s">
        <v>1453</v>
      </c>
    </row>
    <row r="45" spans="2:15">
      <c r="B45" s="289"/>
      <c r="C45" s="289"/>
      <c r="D45" s="289"/>
      <c r="F45" s="115" t="s">
        <v>1444</v>
      </c>
      <c r="O45" s="115"/>
    </row>
    <row r="46" spans="2:15">
      <c r="B46" s="289"/>
      <c r="C46" s="289"/>
      <c r="D46" s="289"/>
      <c r="O46" s="115"/>
    </row>
    <row r="47" spans="2:15">
      <c r="B47" s="289"/>
      <c r="C47" s="289"/>
      <c r="D47" s="289"/>
    </row>
    <row r="48" spans="2:15">
      <c r="B48" s="289"/>
      <c r="C48" s="289"/>
      <c r="D48" s="289"/>
    </row>
  </sheetData>
  <mergeCells count="30">
    <mergeCell ref="B48:D48"/>
    <mergeCell ref="B42:D42"/>
    <mergeCell ref="B43:D43"/>
    <mergeCell ref="B44:D44"/>
    <mergeCell ref="B45:D45"/>
    <mergeCell ref="B46:D46"/>
    <mergeCell ref="B47:D47"/>
    <mergeCell ref="F2:N4"/>
    <mergeCell ref="B26:D26"/>
    <mergeCell ref="B27:D27"/>
    <mergeCell ref="B28:D28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B29:D29"/>
    <mergeCell ref="F9:F11"/>
    <mergeCell ref="G9:O9"/>
    <mergeCell ref="G10:K10"/>
    <mergeCell ref="L10:O10"/>
    <mergeCell ref="G11:K11"/>
    <mergeCell ref="L11:O11"/>
  </mergeCells>
  <hyperlinks>
    <hyperlink ref="B10" location="'DASH'!A1" display="DASHBOARD" xr:uid="{9CBFA06D-0D77-4F81-A2A1-36C2A470B324}"/>
    <hyperlink ref="B11" location="'DES-GL'!A1" display="DESIGN GUIDELINES" xr:uid="{9B23BF2C-802D-493F-8D06-290B9909D629}"/>
    <hyperlink ref="B13" location="'EXT-MAINS-DT'!A1" display="EXISTING POWER DESIGN" xr:uid="{EBC45B5A-43C4-4903-87D7-D28FF3B93BAA}"/>
    <hyperlink ref="B14" location="'EXT-CALC'!A1" display="EXISTING DEMAND" xr:uid="{09188395-59B8-45D4-ADEB-7AC536ADD49B}"/>
    <hyperlink ref="B16" location="'CALC'!A1" display="POWER CALCULATOR" xr:uid="{F9C905C3-BCAF-4BF9-9FC7-F7206C8C6ADE}"/>
    <hyperlink ref="B17" location="'PLBC-CALC'!A1" display="PLBC CALCULATOR" xr:uid="{03632583-92E3-46B4-842A-D77BAD8763A3}"/>
    <hyperlink ref="B18" location="'VDC'!A1" display="VD CALCULATOR" xr:uid="{1B15358B-A5B7-4DE7-9E77-1991701FA9AC}"/>
    <hyperlink ref="B20" location="'PRP-SOL'!A1" display="PROPOSED POWER DESIGN" xr:uid="{03ADB837-573B-4381-BC03-9206C0838F2C}"/>
    <hyperlink ref="B25" location="'DC'!A1" display="DOCUMENT CONTROL" xr:uid="{7C9BF2A2-453F-46A3-B3BE-1E6EF4541DAE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8894-A573-4BDE-AEBC-372438E2A0A6}">
  <sheetPr codeName="Sheet12"/>
  <dimension ref="B1:M48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7" width="25.7109375" customWidth="1"/>
    <col min="8" max="8" width="4.7109375" customWidth="1"/>
    <col min="9" max="9" width="32.28515625" customWidth="1"/>
    <col min="10" max="10" width="25.7109375" customWidth="1"/>
    <col min="11" max="11" width="4.7109375" customWidth="1"/>
    <col min="12" max="13" width="25.7109375" customWidth="1"/>
    <col min="14" max="14" width="4.7109375" customWidth="1"/>
  </cols>
  <sheetData>
    <row r="1" spans="2:13" ht="15" hidden="1" customHeight="1"/>
    <row r="2" spans="2:13" ht="15" customHeight="1">
      <c r="F2" s="287" t="s">
        <v>557</v>
      </c>
      <c r="G2" s="287"/>
      <c r="H2" s="287"/>
      <c r="I2" s="287"/>
    </row>
    <row r="3" spans="2:13" ht="15" customHeight="1">
      <c r="F3" s="287"/>
      <c r="G3" s="287"/>
      <c r="H3" s="287"/>
      <c r="I3" s="287"/>
    </row>
    <row r="4" spans="2:13" ht="15" customHeight="1">
      <c r="F4" s="288"/>
      <c r="G4" s="288"/>
      <c r="H4" s="288"/>
      <c r="I4" s="288"/>
    </row>
    <row r="5" spans="2:13">
      <c r="F5" t="s">
        <v>558</v>
      </c>
    </row>
    <row r="7" spans="2:13">
      <c r="C7" s="2" t="s">
        <v>152</v>
      </c>
      <c r="D7" s="12">
        <f>DCVer</f>
        <v>12.7</v>
      </c>
    </row>
    <row r="8" spans="2:13">
      <c r="B8" s="480"/>
      <c r="C8" s="480"/>
      <c r="D8" s="480"/>
      <c r="F8" s="497" t="s">
        <v>1454</v>
      </c>
      <c r="G8" s="497"/>
      <c r="I8" s="497" t="s">
        <v>1455</v>
      </c>
      <c r="J8" s="497"/>
      <c r="L8" s="497" t="s">
        <v>1456</v>
      </c>
      <c r="M8" s="497"/>
    </row>
    <row r="9" spans="2:13">
      <c r="B9" s="285"/>
      <c r="C9" s="285"/>
      <c r="D9" s="285"/>
      <c r="F9" s="497"/>
      <c r="G9" s="497"/>
      <c r="I9" s="497"/>
      <c r="J9" s="497"/>
      <c r="L9" s="497"/>
      <c r="M9" s="497"/>
    </row>
    <row r="10" spans="2:13">
      <c r="B10" s="285" t="s">
        <v>151</v>
      </c>
      <c r="C10" s="285"/>
      <c r="D10" s="285"/>
      <c r="F10" s="27" t="s">
        <v>1457</v>
      </c>
      <c r="G10" s="27" t="s">
        <v>1458</v>
      </c>
      <c r="I10" s="27" t="s">
        <v>1457</v>
      </c>
      <c r="J10" s="27" t="s">
        <v>1458</v>
      </c>
      <c r="L10" s="27" t="s">
        <v>1457</v>
      </c>
      <c r="M10" s="27" t="s">
        <v>1458</v>
      </c>
    </row>
    <row r="11" spans="2:13">
      <c r="B11" s="285" t="s">
        <v>155</v>
      </c>
      <c r="C11" s="285"/>
      <c r="D11" s="285"/>
      <c r="F11" s="26" t="s">
        <v>151</v>
      </c>
      <c r="G11" s="26" t="s">
        <v>1459</v>
      </c>
      <c r="I11" s="26" t="s">
        <v>159</v>
      </c>
      <c r="J11" s="26" t="s">
        <v>1460</v>
      </c>
      <c r="L11" s="26" t="s">
        <v>182</v>
      </c>
      <c r="M11" s="26" t="s">
        <v>1407</v>
      </c>
    </row>
    <row r="12" spans="2:13">
      <c r="B12" s="285"/>
      <c r="C12" s="285"/>
      <c r="D12" s="285"/>
      <c r="F12" s="26" t="s">
        <v>155</v>
      </c>
      <c r="G12" s="26" t="s">
        <v>1461</v>
      </c>
      <c r="I12" s="79" t="s">
        <v>162</v>
      </c>
      <c r="J12" s="79" t="s">
        <v>1462</v>
      </c>
      <c r="L12" s="26"/>
      <c r="M12" s="26"/>
    </row>
    <row r="13" spans="2:13">
      <c r="B13" s="285" t="s">
        <v>159</v>
      </c>
      <c r="C13" s="285"/>
      <c r="D13" s="285"/>
      <c r="F13" s="26"/>
      <c r="G13" s="26"/>
      <c r="I13" s="79" t="s">
        <v>1463</v>
      </c>
      <c r="J13" s="79" t="s">
        <v>1463</v>
      </c>
      <c r="L13" s="26"/>
      <c r="M13" s="26"/>
    </row>
    <row r="14" spans="2:13">
      <c r="B14" s="285" t="s">
        <v>162</v>
      </c>
      <c r="C14" s="285"/>
      <c r="D14" s="285"/>
      <c r="F14" s="26"/>
      <c r="G14" s="68"/>
      <c r="I14" s="26" t="s">
        <v>167</v>
      </c>
      <c r="J14" s="26" t="s">
        <v>1464</v>
      </c>
      <c r="L14" s="68"/>
      <c r="M14" s="68"/>
    </row>
    <row r="15" spans="2:13">
      <c r="B15" s="285"/>
      <c r="C15" s="285"/>
      <c r="D15" s="285"/>
      <c r="F15" s="68"/>
      <c r="G15" s="68"/>
      <c r="I15" s="68" t="s">
        <v>170</v>
      </c>
      <c r="J15" s="68" t="s">
        <v>1465</v>
      </c>
      <c r="L15" s="68"/>
      <c r="M15" s="68"/>
    </row>
    <row r="16" spans="2:13">
      <c r="B16" s="285" t="s">
        <v>167</v>
      </c>
      <c r="C16" s="285"/>
      <c r="D16" s="285"/>
      <c r="F16" s="68"/>
      <c r="G16" s="68"/>
      <c r="I16" s="79" t="s">
        <v>173</v>
      </c>
      <c r="J16" s="79" t="s">
        <v>1466</v>
      </c>
      <c r="L16" s="68"/>
      <c r="M16" s="68"/>
    </row>
    <row r="17" spans="2:13">
      <c r="B17" s="285" t="s">
        <v>170</v>
      </c>
      <c r="C17" s="285"/>
      <c r="D17" s="285"/>
      <c r="F17" s="68"/>
      <c r="G17" s="68"/>
      <c r="I17" s="79" t="s">
        <v>1463</v>
      </c>
      <c r="J17" s="79" t="s">
        <v>1463</v>
      </c>
      <c r="L17" s="68"/>
      <c r="M17" s="68"/>
    </row>
    <row r="18" spans="2:13">
      <c r="B18" s="285" t="s">
        <v>173</v>
      </c>
      <c r="C18" s="285"/>
      <c r="D18" s="285"/>
      <c r="F18" s="68"/>
      <c r="G18" s="68"/>
      <c r="I18" s="68" t="s">
        <v>176</v>
      </c>
      <c r="J18" s="68" t="s">
        <v>1467</v>
      </c>
      <c r="L18" s="68"/>
      <c r="M18" s="68"/>
    </row>
    <row r="19" spans="2:13">
      <c r="B19" s="285"/>
      <c r="C19" s="285"/>
      <c r="D19" s="285"/>
      <c r="F19" s="68"/>
      <c r="G19" s="68"/>
      <c r="I19" s="26"/>
      <c r="J19" s="26"/>
      <c r="L19" s="68"/>
      <c r="M19" s="68"/>
    </row>
    <row r="20" spans="2:13">
      <c r="B20" s="285" t="s">
        <v>176</v>
      </c>
      <c r="C20" s="285"/>
      <c r="D20" s="285"/>
      <c r="F20" s="68"/>
      <c r="G20" s="68"/>
      <c r="I20" s="26"/>
      <c r="J20" s="26"/>
      <c r="L20" s="68"/>
      <c r="M20" s="68"/>
    </row>
    <row r="21" spans="2:13">
      <c r="B21" s="285"/>
      <c r="C21" s="285"/>
      <c r="D21" s="285"/>
      <c r="F21" s="26"/>
      <c r="G21" s="26"/>
      <c r="I21" s="68"/>
      <c r="J21" s="68"/>
      <c r="L21" s="26"/>
      <c r="M21" s="26"/>
    </row>
    <row r="22" spans="2:13">
      <c r="B22" s="285"/>
      <c r="C22" s="285"/>
      <c r="D22" s="285"/>
      <c r="F22" s="26"/>
      <c r="G22" s="26"/>
      <c r="I22" s="68"/>
      <c r="J22" s="68"/>
      <c r="L22" s="26"/>
      <c r="M22" s="26"/>
    </row>
    <row r="23" spans="2:13">
      <c r="B23" s="285"/>
      <c r="C23" s="285"/>
      <c r="D23" s="285"/>
      <c r="F23" s="26"/>
      <c r="G23" s="26"/>
      <c r="I23" s="68"/>
      <c r="J23" s="68"/>
      <c r="L23" s="26"/>
      <c r="M23" s="26"/>
    </row>
    <row r="24" spans="2:13">
      <c r="B24" s="285"/>
      <c r="C24" s="285"/>
      <c r="D24" s="285"/>
      <c r="F24" s="26"/>
      <c r="G24" s="26"/>
      <c r="I24" s="26"/>
      <c r="J24" s="26"/>
      <c r="L24" s="26"/>
      <c r="M24" s="26"/>
    </row>
    <row r="25" spans="2:13">
      <c r="B25" s="285" t="s">
        <v>182</v>
      </c>
      <c r="C25" s="285"/>
      <c r="D25" s="285"/>
      <c r="F25" s="26"/>
      <c r="G25" s="26"/>
      <c r="I25" s="26"/>
      <c r="J25" s="26"/>
      <c r="L25" s="26"/>
      <c r="M25" s="26"/>
    </row>
    <row r="26" spans="2:13">
      <c r="B26" s="285"/>
      <c r="C26" s="285"/>
      <c r="D26" s="285"/>
    </row>
    <row r="27" spans="2:13">
      <c r="B27" s="285"/>
      <c r="C27" s="285"/>
      <c r="D27" s="285"/>
    </row>
    <row r="28" spans="2:13">
      <c r="B28" s="293"/>
      <c r="C28" s="293"/>
      <c r="D28" s="293"/>
    </row>
    <row r="29" spans="2:13">
      <c r="B29" s="293"/>
      <c r="C29" s="293"/>
      <c r="D29" s="293"/>
    </row>
    <row r="30" spans="2:13">
      <c r="B30" s="293"/>
      <c r="C30" s="293"/>
      <c r="D30" s="293"/>
    </row>
    <row r="31" spans="2:13">
      <c r="B31" s="293"/>
      <c r="C31" s="293"/>
      <c r="D31" s="293"/>
    </row>
    <row r="32" spans="2:13">
      <c r="B32" s="289"/>
      <c r="C32" s="289"/>
      <c r="D32" s="289"/>
    </row>
    <row r="33" spans="2:4">
      <c r="B33" s="289"/>
      <c r="C33" s="289"/>
      <c r="D33" s="289"/>
    </row>
    <row r="34" spans="2:4">
      <c r="B34" s="289"/>
      <c r="C34" s="289"/>
      <c r="D34" s="289"/>
    </row>
    <row r="35" spans="2:4">
      <c r="B35" s="289"/>
      <c r="C35" s="289"/>
      <c r="D35" s="289"/>
    </row>
    <row r="36" spans="2:4">
      <c r="B36" s="289"/>
      <c r="C36" s="289"/>
      <c r="D36" s="289"/>
    </row>
    <row r="37" spans="2:4">
      <c r="B37" s="289"/>
      <c r="C37" s="289"/>
      <c r="D37" s="289"/>
    </row>
    <row r="38" spans="2:4">
      <c r="B38" s="289"/>
      <c r="C38" s="289"/>
      <c r="D38" s="289"/>
    </row>
    <row r="39" spans="2:4">
      <c r="B39" s="289"/>
      <c r="C39" s="289"/>
      <c r="D39" s="289"/>
    </row>
    <row r="40" spans="2:4">
      <c r="B40" s="289"/>
      <c r="C40" s="289"/>
      <c r="D40" s="289"/>
    </row>
    <row r="41" spans="2:4">
      <c r="B41" s="289"/>
      <c r="C41" s="289"/>
      <c r="D41" s="289"/>
    </row>
    <row r="42" spans="2:4">
      <c r="B42" s="289"/>
      <c r="C42" s="289"/>
      <c r="D42" s="289"/>
    </row>
    <row r="43" spans="2:4">
      <c r="B43" s="289"/>
      <c r="C43" s="289"/>
      <c r="D43" s="289"/>
    </row>
    <row r="44" spans="2:4">
      <c r="B44" s="289"/>
      <c r="C44" s="289"/>
      <c r="D44" s="289"/>
    </row>
    <row r="45" spans="2:4">
      <c r="B45" s="289"/>
      <c r="C45" s="289"/>
      <c r="D45" s="289"/>
    </row>
    <row r="46" spans="2:4">
      <c r="B46" s="289"/>
      <c r="C46" s="289"/>
      <c r="D46" s="289"/>
    </row>
    <row r="47" spans="2:4">
      <c r="B47" s="289"/>
      <c r="C47" s="289"/>
      <c r="D47" s="289"/>
    </row>
    <row r="48" spans="2:4">
      <c r="B48" s="289"/>
      <c r="C48" s="289"/>
      <c r="D48" s="289"/>
    </row>
  </sheetData>
  <mergeCells count="48">
    <mergeCell ref="B23:D23"/>
    <mergeCell ref="B24:D24"/>
    <mergeCell ref="B25:D25"/>
    <mergeCell ref="B18:D18"/>
    <mergeCell ref="B19:D19"/>
    <mergeCell ref="B20:D20"/>
    <mergeCell ref="B21:D21"/>
    <mergeCell ref="B22:D22"/>
    <mergeCell ref="B13:D13"/>
    <mergeCell ref="B14:D14"/>
    <mergeCell ref="B15:D15"/>
    <mergeCell ref="B16:D16"/>
    <mergeCell ref="B17:D17"/>
    <mergeCell ref="B8:D8"/>
    <mergeCell ref="B9:D9"/>
    <mergeCell ref="B10:D10"/>
    <mergeCell ref="B11:D11"/>
    <mergeCell ref="B12:D12"/>
    <mergeCell ref="F8:G8"/>
    <mergeCell ref="I8:J8"/>
    <mergeCell ref="L8:M8"/>
    <mergeCell ref="F9:G9"/>
    <mergeCell ref="I9:J9"/>
    <mergeCell ref="L9:M9"/>
    <mergeCell ref="F2:I4"/>
    <mergeCell ref="B43:D43"/>
    <mergeCell ref="B44:D44"/>
    <mergeCell ref="B45:D45"/>
    <mergeCell ref="B46:D46"/>
    <mergeCell ref="B32:D32"/>
    <mergeCell ref="B33:D33"/>
    <mergeCell ref="B34:D34"/>
    <mergeCell ref="B35:D35"/>
    <mergeCell ref="B36:D36"/>
    <mergeCell ref="B28:D28"/>
    <mergeCell ref="B29:D29"/>
    <mergeCell ref="B30:D30"/>
    <mergeCell ref="B31:D31"/>
    <mergeCell ref="B26:D26"/>
    <mergeCell ref="B27:D27"/>
    <mergeCell ref="B47:D47"/>
    <mergeCell ref="B48:D48"/>
    <mergeCell ref="B37:D37"/>
    <mergeCell ref="B38:D38"/>
    <mergeCell ref="B39:D39"/>
    <mergeCell ref="B40:D40"/>
    <mergeCell ref="B41:D41"/>
    <mergeCell ref="B42:D42"/>
  </mergeCells>
  <hyperlinks>
    <hyperlink ref="B10" location="'DASH'!A1" display="DASHBOARD" xr:uid="{C1C656E1-65A4-47D2-9EBF-0293C4D52BD8}"/>
    <hyperlink ref="B11" location="'DES-GL'!A1" display="DESIGN GUIDELINES" xr:uid="{C805ED2A-BD3B-40C2-9711-8BBF2F0087FD}"/>
    <hyperlink ref="B13" location="'EXT-MAINS-DT'!A1" display="EXISTING POWER DESIGN" xr:uid="{95714334-6600-4CCF-AC9B-BC9664E782EF}"/>
    <hyperlink ref="B14" location="'EXT-CALC'!A1" display="EXISTING DEMAND" xr:uid="{1D5B683C-B67F-4A19-AB4B-D463EC572D79}"/>
    <hyperlink ref="B16" location="'CALC'!A1" display="POWER CALCULATOR" xr:uid="{B1A1F99E-45A1-4A86-96A5-1945C4384356}"/>
    <hyperlink ref="B17" location="'PLBC-CALC'!A1" display="PLBC CALCULATOR" xr:uid="{C29E748D-3BC2-4AAE-A70B-7545FDAB7301}"/>
    <hyperlink ref="B18" location="'VDC'!A1" display="VD CALCULATOR" xr:uid="{CB797EF1-5C51-473D-9D10-CFF87E8394E5}"/>
    <hyperlink ref="B20" location="'PRP-SOL'!A1" display="PROPOSED POWER DESIGN" xr:uid="{B85A23AD-6766-44C4-AAD9-745F1353FB5E}"/>
    <hyperlink ref="B25" location="'DC'!A1" display="DOCUMENT CONTROL" xr:uid="{A6FE698B-CBC6-4C27-8206-0595A079CB90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LoadSideMenu">
                <anchor moveWithCells="1">
                  <from>
                    <xdr:col>9</xdr:col>
                    <xdr:colOff>266700</xdr:colOff>
                    <xdr:row>2</xdr:row>
                    <xdr:rowOff>22860</xdr:rowOff>
                  </from>
                  <to>
                    <xdr:col>9</xdr:col>
                    <xdr:colOff>1363980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7089F-1E97-4EEA-95FF-01F8C413A589}">
  <sheetPr codeName="Sheet29"/>
  <dimension ref="B1:S48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28.28515625" customWidth="1"/>
    <col min="7" max="7" width="32.7109375" customWidth="1"/>
    <col min="8" max="8" width="16" customWidth="1"/>
    <col min="9" max="9" width="18.28515625" customWidth="1"/>
    <col min="10" max="10" width="24.28515625" customWidth="1"/>
    <col min="11" max="11" width="17" customWidth="1"/>
    <col min="12" max="12" width="21.7109375" customWidth="1"/>
    <col min="13" max="13" width="33" customWidth="1"/>
    <col min="14" max="14" width="16.28515625" customWidth="1"/>
    <col min="15" max="15" width="34.7109375" customWidth="1"/>
    <col min="16" max="16" width="20" customWidth="1"/>
    <col min="17" max="17" width="32.28515625" customWidth="1"/>
    <col min="18" max="18" width="19.5703125" customWidth="1"/>
    <col min="19" max="19" width="15.28515625" customWidth="1"/>
    <col min="20" max="20" width="33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9" ht="15" hidden="1" customHeight="1"/>
    <row r="2" spans="2:19" ht="15" customHeight="1">
      <c r="F2" s="287" t="s">
        <v>559</v>
      </c>
      <c r="G2" s="287"/>
      <c r="H2" s="287"/>
      <c r="I2" s="287"/>
      <c r="J2" s="287"/>
      <c r="K2" s="287"/>
      <c r="L2" s="287"/>
      <c r="M2" s="287"/>
      <c r="N2" s="287"/>
    </row>
    <row r="3" spans="2:19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9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9">
      <c r="F5" t="s">
        <v>560</v>
      </c>
    </row>
    <row r="7" spans="2:19">
      <c r="C7" s="2" t="s">
        <v>152</v>
      </c>
      <c r="D7" s="12">
        <f>DCVer</f>
        <v>12.7</v>
      </c>
    </row>
    <row r="8" spans="2:19">
      <c r="F8" s="49" t="s">
        <v>1468</v>
      </c>
      <c r="G8" s="49" t="s">
        <v>274</v>
      </c>
      <c r="H8" s="49" t="s">
        <v>305</v>
      </c>
      <c r="I8" s="49" t="s">
        <v>292</v>
      </c>
      <c r="J8" s="49" t="s">
        <v>1469</v>
      </c>
      <c r="K8" s="49" t="s">
        <v>1470</v>
      </c>
      <c r="L8" s="49" t="s">
        <v>1471</v>
      </c>
      <c r="M8" s="49" t="s">
        <v>1472</v>
      </c>
      <c r="N8" s="49" t="s">
        <v>1473</v>
      </c>
      <c r="O8" s="49" t="s">
        <v>1474</v>
      </c>
      <c r="P8" s="49" t="s">
        <v>1475</v>
      </c>
      <c r="Q8" s="49" t="s">
        <v>1476</v>
      </c>
      <c r="R8" s="49"/>
      <c r="S8" s="49"/>
    </row>
    <row r="9" spans="2:19">
      <c r="B9" s="18"/>
      <c r="C9" s="18"/>
      <c r="D9" s="18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</row>
    <row r="10" spans="2:19">
      <c r="B10" s="18" t="s">
        <v>151</v>
      </c>
      <c r="C10" s="18"/>
      <c r="D10" s="18"/>
      <c r="F10" s="49" t="s">
        <v>329</v>
      </c>
      <c r="G10" s="49" t="s">
        <v>1477</v>
      </c>
      <c r="H10" s="49" t="s">
        <v>306</v>
      </c>
      <c r="I10" s="49" t="s">
        <v>1478</v>
      </c>
      <c r="J10" s="49" t="s">
        <v>325</v>
      </c>
      <c r="K10" s="49" t="s">
        <v>1479</v>
      </c>
      <c r="L10" s="49" t="s">
        <v>1477</v>
      </c>
      <c r="M10" s="49" t="s">
        <v>327</v>
      </c>
      <c r="N10" s="49" t="s">
        <v>1480</v>
      </c>
      <c r="O10" s="49" t="s">
        <v>1481</v>
      </c>
      <c r="P10" s="49" t="s">
        <v>1482</v>
      </c>
      <c r="Q10" s="49" t="s">
        <v>331</v>
      </c>
      <c r="R10" s="49"/>
      <c r="S10" s="49"/>
    </row>
    <row r="11" spans="2:19">
      <c r="B11" s="18" t="s">
        <v>155</v>
      </c>
      <c r="C11" s="18"/>
      <c r="D11" s="18"/>
      <c r="F11" s="49" t="s">
        <v>1483</v>
      </c>
      <c r="G11" s="49" t="s">
        <v>1484</v>
      </c>
      <c r="H11" s="49" t="s">
        <v>290</v>
      </c>
      <c r="I11" s="49" t="s">
        <v>293</v>
      </c>
      <c r="J11" s="49" t="s">
        <v>1485</v>
      </c>
      <c r="K11" s="49" t="s">
        <v>1486</v>
      </c>
      <c r="L11" s="49" t="s">
        <v>1484</v>
      </c>
      <c r="M11" s="49" t="s">
        <v>1487</v>
      </c>
      <c r="N11" s="49" t="s">
        <v>1488</v>
      </c>
      <c r="O11" s="49" t="s">
        <v>311</v>
      </c>
      <c r="P11" s="49" t="s">
        <v>303</v>
      </c>
      <c r="Q11" s="49" t="s">
        <v>1489</v>
      </c>
      <c r="R11" s="49"/>
      <c r="S11" s="49"/>
    </row>
    <row r="12" spans="2:19">
      <c r="B12" s="18"/>
      <c r="C12" s="18"/>
      <c r="D12" s="18"/>
      <c r="F12" s="49" t="s">
        <v>1490</v>
      </c>
      <c r="G12" s="49" t="s">
        <v>275</v>
      </c>
      <c r="H12" s="49" t="s">
        <v>1491</v>
      </c>
      <c r="I12" s="49" t="s">
        <v>1492</v>
      </c>
      <c r="J12" s="49" t="s">
        <v>329</v>
      </c>
      <c r="K12" s="49"/>
      <c r="L12" s="49" t="s">
        <v>275</v>
      </c>
      <c r="M12" s="49" t="s">
        <v>1493</v>
      </c>
      <c r="N12" s="49" t="s">
        <v>1494</v>
      </c>
      <c r="O12" s="49" t="s">
        <v>1495</v>
      </c>
      <c r="P12" s="49" t="s">
        <v>1496</v>
      </c>
      <c r="Q12" s="49" t="s">
        <v>1493</v>
      </c>
      <c r="R12" s="49"/>
      <c r="S12" s="49"/>
    </row>
    <row r="13" spans="2:19">
      <c r="B13" s="18" t="s">
        <v>159</v>
      </c>
      <c r="C13" s="18"/>
      <c r="D13" s="18"/>
      <c r="F13" s="49" t="s">
        <v>1497</v>
      </c>
      <c r="G13" s="49" t="s">
        <v>1498</v>
      </c>
      <c r="H13" s="49" t="s">
        <v>1499</v>
      </c>
      <c r="I13" s="49" t="s">
        <v>1500</v>
      </c>
      <c r="J13" s="49"/>
      <c r="K13" s="49"/>
      <c r="L13" s="49"/>
      <c r="M13" s="49" t="s">
        <v>329</v>
      </c>
      <c r="N13" s="49" t="s">
        <v>1501</v>
      </c>
      <c r="O13" s="49" t="s">
        <v>301</v>
      </c>
      <c r="P13" s="49" t="s">
        <v>1502</v>
      </c>
      <c r="Q13" s="49" t="s">
        <v>329</v>
      </c>
      <c r="R13" s="49"/>
      <c r="S13" s="49"/>
    </row>
    <row r="14" spans="2:19">
      <c r="B14" s="18" t="s">
        <v>162</v>
      </c>
      <c r="C14" s="18"/>
      <c r="D14" s="18"/>
      <c r="F14" s="49" t="s">
        <v>1503</v>
      </c>
      <c r="G14" s="49" t="s">
        <v>1504</v>
      </c>
      <c r="H14" s="49" t="s">
        <v>1505</v>
      </c>
      <c r="I14" s="49" t="s">
        <v>1506</v>
      </c>
      <c r="J14" s="49"/>
      <c r="K14" s="49"/>
      <c r="L14" s="49"/>
      <c r="M14" s="49"/>
      <c r="N14" s="49" t="s">
        <v>1502</v>
      </c>
      <c r="O14" s="49" t="s">
        <v>1496</v>
      </c>
      <c r="P14" s="49"/>
      <c r="Q14" s="49"/>
      <c r="R14" s="49"/>
      <c r="S14" s="49"/>
    </row>
    <row r="15" spans="2:19">
      <c r="B15" s="18"/>
      <c r="C15" s="18"/>
      <c r="D15" s="18"/>
      <c r="F15" s="49" t="s">
        <v>1507</v>
      </c>
      <c r="G15" s="49" t="s">
        <v>1508</v>
      </c>
      <c r="H15" s="49" t="s">
        <v>1509</v>
      </c>
      <c r="I15" s="49" t="s">
        <v>1510</v>
      </c>
      <c r="J15" s="49"/>
      <c r="K15" s="49"/>
      <c r="L15" s="49"/>
      <c r="M15" s="49"/>
      <c r="N15" s="49" t="s">
        <v>1511</v>
      </c>
      <c r="O15" s="49" t="s">
        <v>1502</v>
      </c>
      <c r="P15" s="49"/>
      <c r="Q15" s="49"/>
      <c r="R15" s="49"/>
      <c r="S15" s="49"/>
    </row>
    <row r="16" spans="2:19">
      <c r="B16" s="18" t="s">
        <v>167</v>
      </c>
      <c r="C16" s="18"/>
      <c r="D16" s="18"/>
      <c r="F16" s="49" t="s">
        <v>1512</v>
      </c>
      <c r="G16" s="49" t="s">
        <v>1502</v>
      </c>
      <c r="H16" s="49" t="s">
        <v>1513</v>
      </c>
      <c r="I16" s="49" t="s">
        <v>329</v>
      </c>
      <c r="J16" s="49"/>
      <c r="K16" s="49"/>
      <c r="L16" s="49"/>
      <c r="M16" s="49"/>
      <c r="N16" s="49" t="s">
        <v>329</v>
      </c>
      <c r="O16" s="49"/>
      <c r="P16" s="49"/>
      <c r="Q16" s="49"/>
      <c r="R16" s="49"/>
      <c r="S16" s="49"/>
    </row>
    <row r="17" spans="2:19">
      <c r="B17" s="18" t="s">
        <v>170</v>
      </c>
      <c r="C17" s="18"/>
      <c r="D17" s="18"/>
      <c r="F17" s="49" t="s">
        <v>1514</v>
      </c>
      <c r="G17" s="49"/>
      <c r="H17" s="49" t="s">
        <v>1515</v>
      </c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</row>
    <row r="18" spans="2:19">
      <c r="B18" s="18" t="s">
        <v>173</v>
      </c>
      <c r="C18" s="18"/>
      <c r="D18" s="18"/>
      <c r="F18" s="49" t="s">
        <v>1516</v>
      </c>
      <c r="G18" s="49"/>
      <c r="H18" s="49" t="s">
        <v>1517</v>
      </c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</row>
    <row r="19" spans="2:19">
      <c r="B19" s="18"/>
      <c r="C19" s="18"/>
      <c r="D19" s="18"/>
      <c r="F19" s="49" t="s">
        <v>1518</v>
      </c>
      <c r="G19" s="49"/>
      <c r="H19" s="49" t="s">
        <v>1519</v>
      </c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</row>
    <row r="20" spans="2:19">
      <c r="B20" s="18" t="s">
        <v>176</v>
      </c>
      <c r="C20" s="18"/>
      <c r="D20" s="18"/>
      <c r="F20" s="49" t="s">
        <v>1520</v>
      </c>
      <c r="G20" s="49"/>
      <c r="H20" s="49" t="s">
        <v>329</v>
      </c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</row>
    <row r="21" spans="2:19">
      <c r="B21" s="18"/>
      <c r="C21" s="18"/>
      <c r="D21" s="18"/>
      <c r="F21" s="49" t="s">
        <v>1521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</row>
    <row r="22" spans="2:19">
      <c r="B22" s="18"/>
      <c r="C22" s="18"/>
      <c r="D22" s="18"/>
      <c r="F22" s="49" t="s">
        <v>1522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</row>
    <row r="23" spans="2:19">
      <c r="B23" s="18"/>
      <c r="C23" s="18"/>
      <c r="D23" s="18"/>
      <c r="F23" s="49" t="s">
        <v>1523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</row>
    <row r="24" spans="2:19">
      <c r="B24" s="18"/>
      <c r="C24" s="18"/>
      <c r="D24" s="18"/>
      <c r="F24" s="49" t="s">
        <v>273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</row>
    <row r="25" spans="2:19">
      <c r="B25" s="18" t="s">
        <v>182</v>
      </c>
      <c r="C25" s="18"/>
      <c r="D25" s="18"/>
      <c r="F25" s="49" t="s">
        <v>1524</v>
      </c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</row>
    <row r="26" spans="2:19">
      <c r="B26" s="285"/>
      <c r="C26" s="285"/>
      <c r="D26" s="285"/>
      <c r="F26" s="49" t="s">
        <v>1525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</row>
    <row r="27" spans="2:19">
      <c r="B27" s="285"/>
      <c r="C27" s="285"/>
      <c r="D27" s="285"/>
      <c r="F27" s="49" t="s">
        <v>1526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</row>
    <row r="28" spans="2:19">
      <c r="B28" s="293"/>
      <c r="C28" s="293"/>
      <c r="D28" s="293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</row>
    <row r="29" spans="2:19">
      <c r="B29" s="293"/>
      <c r="C29" s="293"/>
      <c r="D29" s="293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</row>
    <row r="30" spans="2:19">
      <c r="B30" s="293"/>
      <c r="C30" s="293"/>
      <c r="D30" s="293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</row>
    <row r="31" spans="2:19">
      <c r="B31" s="293"/>
      <c r="C31" s="293"/>
      <c r="D31" s="293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</row>
    <row r="32" spans="2:19">
      <c r="B32" s="289"/>
      <c r="C32" s="289"/>
      <c r="D32" s="28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</row>
    <row r="33" spans="2:19">
      <c r="B33" s="289"/>
      <c r="C33" s="289"/>
      <c r="D33" s="28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</row>
    <row r="34" spans="2:19">
      <c r="B34" s="289"/>
      <c r="C34" s="289"/>
      <c r="D34" s="28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</row>
    <row r="35" spans="2:19">
      <c r="B35" s="289"/>
      <c r="C35" s="289"/>
      <c r="D35" s="289"/>
      <c r="H35" s="49"/>
    </row>
    <row r="36" spans="2:19">
      <c r="B36" s="289"/>
      <c r="C36" s="289"/>
      <c r="D36" s="289"/>
    </row>
    <row r="37" spans="2:19">
      <c r="B37" s="289"/>
      <c r="C37" s="289"/>
      <c r="D37" s="289"/>
    </row>
    <row r="38" spans="2:19">
      <c r="B38" s="289"/>
      <c r="C38" s="289"/>
      <c r="D38" s="289"/>
    </row>
    <row r="39" spans="2:19">
      <c r="B39" s="289"/>
      <c r="C39" s="289"/>
      <c r="D39" s="289"/>
    </row>
    <row r="40" spans="2:19">
      <c r="B40" s="289"/>
      <c r="C40" s="289"/>
      <c r="D40" s="289"/>
    </row>
    <row r="41" spans="2:19">
      <c r="B41" s="289"/>
      <c r="C41" s="289"/>
      <c r="D41" s="289"/>
    </row>
    <row r="42" spans="2:19">
      <c r="B42" s="289"/>
      <c r="C42" s="289"/>
      <c r="D42" s="289"/>
    </row>
    <row r="43" spans="2:19">
      <c r="B43" s="289"/>
      <c r="C43" s="289"/>
      <c r="D43" s="289"/>
    </row>
    <row r="44" spans="2:19">
      <c r="B44" s="289"/>
      <c r="C44" s="289"/>
      <c r="D44" s="289"/>
    </row>
    <row r="45" spans="2:19">
      <c r="B45" s="289"/>
      <c r="C45" s="289"/>
      <c r="D45" s="289"/>
    </row>
    <row r="46" spans="2:19">
      <c r="B46" s="289"/>
      <c r="C46" s="289"/>
      <c r="D46" s="289"/>
    </row>
    <row r="47" spans="2:19">
      <c r="B47" s="289"/>
      <c r="C47" s="289"/>
      <c r="D47" s="289"/>
    </row>
    <row r="48" spans="2:19">
      <c r="B48" s="289"/>
      <c r="C48" s="289"/>
      <c r="D48" s="289"/>
    </row>
  </sheetData>
  <mergeCells count="24"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F2:N4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</mergeCells>
  <hyperlinks>
    <hyperlink ref="B10" location="'DASH'!A1" display="DASHBOARD" xr:uid="{2EBE4162-C360-4513-8EF2-70E92DA883A4}"/>
    <hyperlink ref="B11" location="'DES-GL'!A1" display="DESIGN GUIDELINES" xr:uid="{E5F722BA-BED9-4CE9-A620-C3974D12955B}"/>
    <hyperlink ref="B13" location="'EXT-MAINS-DT'!A1" display="EXISTING POWER DESIGN" xr:uid="{506C8261-1856-412F-8D3A-D7B40AB6A66E}"/>
    <hyperlink ref="B14" location="'EXT-CALC'!A1" display="EXISTING DEMAND" xr:uid="{A21BA3A9-D6AE-4F85-A61B-FF6B95195F1D}"/>
    <hyperlink ref="B16" location="'CALC'!A1" display="POWER CALCULATOR" xr:uid="{DAF9C408-D71E-4ECB-AE1A-A6C4AE035FD2}"/>
    <hyperlink ref="B17" location="'PLBC-CALC'!A1" display="PLBC CALCULATOR" xr:uid="{E7E4281C-0675-4514-B542-525026072FFE}"/>
    <hyperlink ref="B18" location="'VDC'!A1" display="VD CALCULATOR" xr:uid="{9446D547-3E04-40D3-BC73-33760D23EE97}"/>
    <hyperlink ref="B20" location="'PRP-SOL'!A1" display="PROPOSED POWER DESIGN" xr:uid="{BC1E60D5-36F5-4B21-9921-05CDB92C6FAE}"/>
    <hyperlink ref="B25" location="'DC'!A1" display="DOCUMENT CONTROL" xr:uid="{A556A755-DC01-46F2-A294-274245EDDCD0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E4AE-C13A-47DF-BE3A-98A5523C923E}">
  <sheetPr codeName="Sheet35"/>
  <dimension ref="B1:V48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29" customWidth="1"/>
    <col min="7" max="7" width="11.7109375" customWidth="1"/>
    <col min="8" max="8" width="21.28515625" customWidth="1"/>
    <col min="9" max="9" width="8" customWidth="1"/>
    <col min="10" max="10" width="13.5703125" customWidth="1"/>
    <col min="11" max="11" width="17" customWidth="1"/>
    <col min="12" max="12" width="14.7109375" customWidth="1"/>
    <col min="13" max="13" width="17.7109375" customWidth="1"/>
    <col min="14" max="14" width="16.28515625" customWidth="1"/>
    <col min="15" max="15" width="13.28515625" customWidth="1"/>
    <col min="16" max="16" width="16.28515625" customWidth="1"/>
    <col min="17" max="17" width="18.28515625" customWidth="1"/>
    <col min="18" max="18" width="19.5703125" customWidth="1"/>
    <col min="19" max="19" width="15.28515625" customWidth="1"/>
    <col min="20" max="20" width="19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22" ht="15" hidden="1" customHeight="1"/>
    <row r="2" spans="2:22" ht="15" customHeight="1">
      <c r="F2" s="287" t="s">
        <v>561</v>
      </c>
      <c r="G2" s="287"/>
      <c r="H2" s="287"/>
      <c r="I2" s="287"/>
      <c r="J2" s="287"/>
      <c r="K2" s="287"/>
      <c r="L2" s="287"/>
      <c r="M2" s="287"/>
      <c r="N2" s="287"/>
    </row>
    <row r="3" spans="2:22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22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22">
      <c r="F5" t="s">
        <v>560</v>
      </c>
    </row>
    <row r="7" spans="2:22">
      <c r="C7" s="2" t="s">
        <v>152</v>
      </c>
      <c r="D7" s="12">
        <f>DCVer</f>
        <v>12.7</v>
      </c>
    </row>
    <row r="8" spans="2:22">
      <c r="F8" s="49" t="s">
        <v>1527</v>
      </c>
      <c r="G8" s="49" t="s">
        <v>1528</v>
      </c>
      <c r="H8" s="49" t="s">
        <v>1529</v>
      </c>
      <c r="I8" s="49" t="s">
        <v>1530</v>
      </c>
      <c r="J8" s="49" t="s">
        <v>1531</v>
      </c>
      <c r="K8" s="49" t="s">
        <v>1532</v>
      </c>
      <c r="L8" s="49" t="s">
        <v>1533</v>
      </c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2:22">
      <c r="B9" s="18"/>
      <c r="C9" s="18"/>
      <c r="D9" s="18"/>
      <c r="F9" s="49"/>
      <c r="G9" s="49"/>
      <c r="H9" s="49"/>
      <c r="I9" s="49"/>
      <c r="J9" s="49">
        <f>VDC!I13/1000</f>
        <v>0.89300000000000002</v>
      </c>
      <c r="K9" s="49"/>
      <c r="L9" s="49">
        <f>VLOOKUP(VDC!I11,'DBT35'!F13:K26,MATCH(G14,'DBT35'!F12:K12,0))</f>
        <v>3.75</v>
      </c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2:22">
      <c r="B10" s="18" t="s">
        <v>151</v>
      </c>
      <c r="C10" s="18"/>
      <c r="D10" s="18"/>
      <c r="F10" s="49" t="s">
        <v>1534</v>
      </c>
      <c r="G10" s="49">
        <v>45.5</v>
      </c>
      <c r="H10" s="49">
        <v>1</v>
      </c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2:22">
      <c r="B11" s="18" t="s">
        <v>155</v>
      </c>
      <c r="C11" s="18"/>
      <c r="D11" s="18"/>
      <c r="F11" s="49" t="s">
        <v>1535</v>
      </c>
      <c r="G11" s="49">
        <v>53.6</v>
      </c>
      <c r="H11" s="49">
        <v>1.5</v>
      </c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2:22">
      <c r="B12" s="18"/>
      <c r="C12" s="18"/>
      <c r="D12" s="18"/>
      <c r="F12" s="49" t="s">
        <v>1536</v>
      </c>
      <c r="G12" s="49">
        <v>56</v>
      </c>
      <c r="H12" s="49">
        <v>2.5</v>
      </c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2:22">
      <c r="B13" s="18" t="s">
        <v>159</v>
      </c>
      <c r="C13" s="18"/>
      <c r="D13" s="18"/>
      <c r="F13" s="49" t="s">
        <v>1537</v>
      </c>
      <c r="G13" s="49">
        <v>36</v>
      </c>
      <c r="H13" s="49">
        <v>4</v>
      </c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2:22">
      <c r="B14" s="18" t="s">
        <v>162</v>
      </c>
      <c r="C14" s="18"/>
      <c r="D14" s="18"/>
      <c r="F14" s="49" t="s">
        <v>1538</v>
      </c>
      <c r="G14" s="49">
        <f>VDC!I10</f>
        <v>75</v>
      </c>
      <c r="H14" s="49">
        <v>6</v>
      </c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2:22">
      <c r="B15" s="18"/>
      <c r="C15" s="18"/>
      <c r="D15" s="18"/>
      <c r="F15" s="49"/>
      <c r="G15" s="49"/>
      <c r="H15" s="49">
        <v>10</v>
      </c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2:22">
      <c r="B16" s="18" t="s">
        <v>167</v>
      </c>
      <c r="C16" s="18"/>
      <c r="D16" s="18"/>
      <c r="F16" s="49"/>
      <c r="G16" s="49"/>
      <c r="H16" s="49">
        <v>16</v>
      </c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2:22">
      <c r="B17" s="18" t="s">
        <v>170</v>
      </c>
      <c r="C17" s="18"/>
      <c r="D17" s="18"/>
      <c r="F17" s="49"/>
      <c r="G17" s="49"/>
      <c r="H17" s="49">
        <v>25</v>
      </c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2:22">
      <c r="B18" s="18" t="s">
        <v>173</v>
      </c>
      <c r="C18" s="18"/>
      <c r="D18" s="18"/>
      <c r="F18" s="49"/>
      <c r="G18" s="49"/>
      <c r="H18" s="49">
        <v>35</v>
      </c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</row>
    <row r="19" spans="2:22">
      <c r="B19" s="18"/>
      <c r="C19" s="18"/>
      <c r="D19" s="18"/>
      <c r="F19" s="49"/>
      <c r="G19" s="49"/>
      <c r="H19" s="49">
        <v>50</v>
      </c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</row>
    <row r="20" spans="2:22">
      <c r="B20" s="18" t="s">
        <v>176</v>
      </c>
      <c r="C20" s="18"/>
      <c r="D20" s="18"/>
      <c r="F20" s="49"/>
      <c r="G20" s="49"/>
      <c r="H20" s="49">
        <v>70</v>
      </c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18"/>
      <c r="C21" s="18"/>
      <c r="D21" s="18"/>
      <c r="F21" s="49"/>
      <c r="G21" s="49"/>
      <c r="H21" s="49">
        <v>95</v>
      </c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2:22">
      <c r="B22" s="18"/>
      <c r="C22" s="18"/>
      <c r="D22" s="18"/>
      <c r="F22" s="49"/>
      <c r="G22" s="49"/>
      <c r="H22" s="49">
        <v>120</v>
      </c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2:22">
      <c r="B23" s="18"/>
      <c r="C23" s="18"/>
      <c r="D23" s="18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2:22">
      <c r="B24" s="18"/>
      <c r="C24" s="18"/>
      <c r="D24" s="18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2:22">
      <c r="B25" s="18" t="s">
        <v>182</v>
      </c>
      <c r="C25" s="18"/>
      <c r="D25" s="18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2:22">
      <c r="B26" s="285"/>
      <c r="C26" s="285"/>
      <c r="D26" s="285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2:22">
      <c r="B27" s="285"/>
      <c r="C27" s="285"/>
      <c r="D27" s="285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2:22">
      <c r="B28" s="293"/>
      <c r="C28" s="293"/>
      <c r="D28" s="293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2:22">
      <c r="B29" s="293"/>
      <c r="C29" s="293"/>
      <c r="D29" s="293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2:22">
      <c r="B30" s="293"/>
      <c r="C30" s="293"/>
      <c r="D30" s="293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2:22">
      <c r="B31" s="293"/>
      <c r="C31" s="293"/>
      <c r="D31" s="293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289"/>
      <c r="C32" s="289"/>
      <c r="D32" s="28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289"/>
      <c r="C33" s="289"/>
      <c r="D33" s="28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289"/>
      <c r="C34" s="289"/>
      <c r="D34" s="28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2:22">
      <c r="B35" s="289"/>
      <c r="C35" s="289"/>
      <c r="D35" s="289"/>
    </row>
    <row r="36" spans="2:22">
      <c r="B36" s="289"/>
      <c r="C36" s="289"/>
      <c r="D36" s="289"/>
    </row>
    <row r="37" spans="2:22">
      <c r="B37" s="289"/>
      <c r="C37" s="289"/>
      <c r="D37" s="289"/>
    </row>
    <row r="38" spans="2:22">
      <c r="B38" s="289"/>
      <c r="C38" s="289"/>
      <c r="D38" s="289"/>
    </row>
    <row r="39" spans="2:22">
      <c r="B39" s="289"/>
      <c r="C39" s="289"/>
      <c r="D39" s="289"/>
    </row>
    <row r="40" spans="2:22">
      <c r="B40" s="289"/>
      <c r="C40" s="289"/>
      <c r="D40" s="289"/>
    </row>
    <row r="41" spans="2:22">
      <c r="B41" s="289"/>
      <c r="C41" s="289"/>
      <c r="D41" s="289"/>
    </row>
    <row r="42" spans="2:22">
      <c r="B42" s="289"/>
      <c r="C42" s="289"/>
      <c r="D42" s="289"/>
    </row>
    <row r="43" spans="2:22">
      <c r="B43" s="289"/>
      <c r="C43" s="289"/>
      <c r="D43" s="289"/>
    </row>
    <row r="44" spans="2:22">
      <c r="B44" s="289"/>
      <c r="C44" s="289"/>
      <c r="D44" s="289"/>
    </row>
    <row r="45" spans="2:22">
      <c r="B45" s="289"/>
      <c r="C45" s="289"/>
      <c r="D45" s="289"/>
    </row>
    <row r="46" spans="2:22">
      <c r="B46" s="289"/>
      <c r="C46" s="289"/>
      <c r="D46" s="289"/>
    </row>
    <row r="47" spans="2:22">
      <c r="B47" s="289"/>
      <c r="C47" s="289"/>
      <c r="D47" s="289"/>
    </row>
    <row r="48" spans="2:22">
      <c r="B48" s="289"/>
      <c r="C48" s="289"/>
      <c r="D48" s="289"/>
    </row>
  </sheetData>
  <mergeCells count="24"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F2:N4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</mergeCells>
  <hyperlinks>
    <hyperlink ref="B10" location="'DASH'!A1" display="DASHBOARD" xr:uid="{928FBA29-DF02-4FD7-B47C-93F0E26F16BD}"/>
    <hyperlink ref="B11" location="'DES-GL'!A1" display="DESIGN GUIDELINES" xr:uid="{CA056AF6-7763-4220-B8B2-10B7DE5D964B}"/>
    <hyperlink ref="B13" location="'EXT-MAINS-DT'!A1" display="EXISTING POWER DESIGN" xr:uid="{2C228C7A-DF9B-4000-9F63-D22787CEF39F}"/>
    <hyperlink ref="B14" location="'EXT-CALC'!A1" display="EXISTING DEMAND" xr:uid="{CA615F67-29E2-47D0-8410-CAA8F8205638}"/>
    <hyperlink ref="B16" location="'CALC'!A1" display="POWER CALCULATOR" xr:uid="{D8A817CB-93A0-44FD-8107-275C7F5E5076}"/>
    <hyperlink ref="B17" location="'PLBC-CALC'!A1" display="PLBC CALCULATOR" xr:uid="{2A87620B-31B2-41F2-9494-7EE9DA13229C}"/>
    <hyperlink ref="B18" location="'VDC'!A1" display="VD CALCULATOR" xr:uid="{154C97BC-FB7B-4EAF-BD53-0746E754854A}"/>
    <hyperlink ref="B20" location="'PRP-SOL'!A1" display="PROPOSED POWER DESIGN" xr:uid="{16456EEE-8572-408B-A820-ED932E49A90C}"/>
    <hyperlink ref="B25" location="'DC'!A1" display="DOCUMENT CONTROL" xr:uid="{B9F62DEC-8204-47A7-8988-AE2D026BAAE8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D4E1-45DF-40FC-9A60-24DA5B4990C1}">
  <sheetPr codeName="Sheet18"/>
  <dimension ref="B1:AA48"/>
  <sheetViews>
    <sheetView showGridLines="0" topLeftCell="B2" workbookViewId="0">
      <selection activeCell="B8" sqref="B8:D8"/>
    </sheetView>
  </sheetViews>
  <sheetFormatPr defaultRowHeight="14.45"/>
  <cols>
    <col min="1" max="1" width="0" hidden="1" customWidth="1"/>
    <col min="2" max="4" width="9.28515625" style="1"/>
    <col min="6" max="6" width="19.28515625" customWidth="1"/>
    <col min="7" max="7" width="11.7109375" customWidth="1"/>
    <col min="8" max="8" width="9.7109375" customWidth="1"/>
    <col min="9" max="9" width="18.28515625" customWidth="1"/>
    <col min="10" max="10" width="8.28515625" customWidth="1"/>
    <col min="11" max="11" width="17" customWidth="1"/>
    <col min="12" max="12" width="14" customWidth="1"/>
    <col min="13" max="13" width="17.7109375" customWidth="1"/>
    <col min="14" max="14" width="16.28515625" customWidth="1"/>
    <col min="15" max="15" width="13.28515625" customWidth="1"/>
    <col min="16" max="16" width="16.28515625" customWidth="1"/>
    <col min="17" max="17" width="18.28515625" customWidth="1"/>
    <col min="18" max="18" width="19.5703125" customWidth="1"/>
    <col min="19" max="19" width="15.28515625" customWidth="1"/>
    <col min="20" max="20" width="19.28515625" customWidth="1"/>
    <col min="21" max="21" width="12.7109375" customWidth="1"/>
    <col min="22" max="23" width="13" customWidth="1"/>
    <col min="24" max="24" width="16.28515625" customWidth="1"/>
    <col min="25" max="25" width="16" customWidth="1"/>
    <col min="27" max="27" width="10.7109375" customWidth="1"/>
  </cols>
  <sheetData>
    <row r="1" spans="2:27" ht="15" hidden="1" customHeight="1"/>
    <row r="2" spans="2:27" ht="15" customHeight="1">
      <c r="F2" s="287" t="s">
        <v>562</v>
      </c>
      <c r="G2" s="287"/>
      <c r="H2" s="287"/>
      <c r="I2" s="287"/>
      <c r="J2" s="287"/>
      <c r="K2" s="287"/>
      <c r="L2" s="287"/>
      <c r="M2" s="287"/>
      <c r="N2" s="287"/>
    </row>
    <row r="3" spans="2:27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27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27">
      <c r="F5" t="s">
        <v>560</v>
      </c>
    </row>
    <row r="7" spans="2:27">
      <c r="C7" s="2" t="s">
        <v>152</v>
      </c>
      <c r="D7" s="12">
        <f>DCVer</f>
        <v>12.7</v>
      </c>
    </row>
    <row r="8" spans="2:27">
      <c r="F8" s="49" t="s">
        <v>392</v>
      </c>
      <c r="G8" s="49" t="s">
        <v>1539</v>
      </c>
      <c r="H8" s="49" t="s">
        <v>1540</v>
      </c>
      <c r="I8" s="49" t="s">
        <v>1541</v>
      </c>
      <c r="J8" s="49" t="s">
        <v>1542</v>
      </c>
      <c r="K8" s="49" t="s">
        <v>1543</v>
      </c>
      <c r="L8" s="49" t="s">
        <v>1544</v>
      </c>
      <c r="M8" s="49" t="s">
        <v>1545</v>
      </c>
      <c r="N8" s="49" t="s">
        <v>431</v>
      </c>
      <c r="O8" s="49" t="s">
        <v>1546</v>
      </c>
      <c r="P8" s="49" t="s">
        <v>1547</v>
      </c>
      <c r="Q8" s="49" t="s">
        <v>1548</v>
      </c>
      <c r="R8" s="49" t="s">
        <v>1549</v>
      </c>
      <c r="S8" s="49" t="s">
        <v>1550</v>
      </c>
      <c r="T8" s="49" t="s">
        <v>1551</v>
      </c>
      <c r="U8" s="49" t="s">
        <v>1539</v>
      </c>
      <c r="V8" s="49" t="s">
        <v>1552</v>
      </c>
      <c r="W8" s="49" t="s">
        <v>165</v>
      </c>
      <c r="X8" s="49" t="s">
        <v>168</v>
      </c>
      <c r="Y8" s="244" t="s">
        <v>177</v>
      </c>
      <c r="Z8" s="26" t="s">
        <v>184</v>
      </c>
      <c r="AA8" s="26" t="s">
        <v>1553</v>
      </c>
    </row>
    <row r="9" spans="2:27">
      <c r="B9" s="18"/>
      <c r="C9" s="18"/>
      <c r="D9" s="18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244"/>
      <c r="Z9" s="26"/>
      <c r="AA9" s="26"/>
    </row>
    <row r="10" spans="2:27">
      <c r="B10" s="18" t="s">
        <v>151</v>
      </c>
      <c r="C10" s="18"/>
      <c r="D10" s="18"/>
      <c r="F10" s="49" t="s">
        <v>393</v>
      </c>
      <c r="G10" s="49" t="s">
        <v>157</v>
      </c>
      <c r="H10" s="49">
        <v>10</v>
      </c>
      <c r="I10" s="49">
        <v>1</v>
      </c>
      <c r="J10" s="49" t="s">
        <v>270</v>
      </c>
      <c r="K10" s="49" t="s">
        <v>373</v>
      </c>
      <c r="L10" s="49" t="s">
        <v>400</v>
      </c>
      <c r="M10" s="49">
        <v>1</v>
      </c>
      <c r="N10" s="49" t="s">
        <v>432</v>
      </c>
      <c r="O10" s="49" t="s">
        <v>432</v>
      </c>
      <c r="P10" s="49">
        <v>1</v>
      </c>
      <c r="Q10" s="49" t="s">
        <v>435</v>
      </c>
      <c r="R10" s="49" t="s">
        <v>1554</v>
      </c>
      <c r="S10" s="49" t="s">
        <v>353</v>
      </c>
      <c r="T10" s="49">
        <v>18</v>
      </c>
      <c r="U10" s="49" t="s">
        <v>157</v>
      </c>
      <c r="V10" s="49" t="s">
        <v>1555</v>
      </c>
      <c r="W10" s="49" t="s">
        <v>1556</v>
      </c>
      <c r="X10" s="49" t="s">
        <v>1557</v>
      </c>
      <c r="Y10" s="244" t="s">
        <v>178</v>
      </c>
      <c r="Z10" s="26" t="s">
        <v>185</v>
      </c>
      <c r="AA10" s="26" t="s">
        <v>1558</v>
      </c>
    </row>
    <row r="11" spans="2:27">
      <c r="B11" s="18" t="s">
        <v>155</v>
      </c>
      <c r="C11" s="18"/>
      <c r="D11" s="18"/>
      <c r="F11" s="49" t="s">
        <v>478</v>
      </c>
      <c r="G11" s="49" t="s">
        <v>355</v>
      </c>
      <c r="H11" s="49">
        <v>16</v>
      </c>
      <c r="I11" s="49">
        <v>2</v>
      </c>
      <c r="J11" s="49" t="s">
        <v>172</v>
      </c>
      <c r="K11" s="49" t="s">
        <v>366</v>
      </c>
      <c r="L11" s="49" t="s">
        <v>401</v>
      </c>
      <c r="M11" s="49">
        <v>2</v>
      </c>
      <c r="N11" s="49" t="s">
        <v>1415</v>
      </c>
      <c r="O11" s="49" t="s">
        <v>1559</v>
      </c>
      <c r="P11" s="49">
        <v>2</v>
      </c>
      <c r="Q11" s="49" t="s">
        <v>1560</v>
      </c>
      <c r="R11" s="49" t="s">
        <v>1561</v>
      </c>
      <c r="S11" s="49" t="s">
        <v>358</v>
      </c>
      <c r="T11" s="49">
        <v>21</v>
      </c>
      <c r="U11" s="49" t="s">
        <v>355</v>
      </c>
      <c r="V11" s="49" t="s">
        <v>1562</v>
      </c>
      <c r="W11" s="49" t="s">
        <v>1563</v>
      </c>
      <c r="X11" s="49" t="s">
        <v>169</v>
      </c>
      <c r="Y11" s="244" t="s">
        <v>1564</v>
      </c>
      <c r="Z11" s="26" t="s">
        <v>1565</v>
      </c>
      <c r="AA11" s="26" t="s">
        <v>606</v>
      </c>
    </row>
    <row r="12" spans="2:27">
      <c r="B12" s="18"/>
      <c r="C12" s="18"/>
      <c r="D12" s="18"/>
      <c r="F12" s="49" t="s">
        <v>1566</v>
      </c>
      <c r="G12" s="49" t="s">
        <v>1567</v>
      </c>
      <c r="H12" s="49">
        <v>20</v>
      </c>
      <c r="I12" s="49">
        <v>3</v>
      </c>
      <c r="J12" s="49"/>
      <c r="K12" s="49"/>
      <c r="L12" s="49" t="s">
        <v>544</v>
      </c>
      <c r="M12" s="49">
        <v>3</v>
      </c>
      <c r="N12" s="49" t="s">
        <v>1385</v>
      </c>
      <c r="O12" s="49"/>
      <c r="P12" s="49">
        <v>3</v>
      </c>
      <c r="Q12" s="49"/>
      <c r="R12" s="49" t="s">
        <v>1568</v>
      </c>
      <c r="S12" s="49"/>
      <c r="T12" s="49">
        <v>23</v>
      </c>
      <c r="U12" s="49" t="s">
        <v>1567</v>
      </c>
      <c r="V12" s="49" t="s">
        <v>1569</v>
      </c>
      <c r="W12" s="49" t="s">
        <v>1570</v>
      </c>
      <c r="X12" s="49" t="s">
        <v>1571</v>
      </c>
      <c r="Y12" s="244"/>
      <c r="Z12" s="26" t="s">
        <v>1572</v>
      </c>
      <c r="AA12" s="26"/>
    </row>
    <row r="13" spans="2:27">
      <c r="B13" s="18" t="s">
        <v>159</v>
      </c>
      <c r="C13" s="18"/>
      <c r="D13" s="18"/>
      <c r="F13" s="49" t="s">
        <v>1573</v>
      </c>
      <c r="G13" s="49"/>
      <c r="H13" s="49">
        <v>25</v>
      </c>
      <c r="I13" s="49">
        <v>4</v>
      </c>
      <c r="J13" s="49"/>
      <c r="K13" s="49"/>
      <c r="L13" s="49" t="s">
        <v>387</v>
      </c>
      <c r="M13" s="49">
        <v>4</v>
      </c>
      <c r="N13" s="49" t="s">
        <v>1574</v>
      </c>
      <c r="O13" s="49"/>
      <c r="P13" s="49">
        <v>4</v>
      </c>
      <c r="Q13" s="49"/>
      <c r="R13" s="49" t="s">
        <v>1575</v>
      </c>
      <c r="S13" s="49"/>
      <c r="T13" s="49">
        <v>26</v>
      </c>
      <c r="U13" s="49"/>
      <c r="V13" s="49"/>
      <c r="W13" s="49" t="s">
        <v>891</v>
      </c>
      <c r="X13" s="49" t="s">
        <v>1576</v>
      </c>
      <c r="Y13" s="244"/>
      <c r="Z13" s="26" t="s">
        <v>1577</v>
      </c>
      <c r="AA13" s="26"/>
    </row>
    <row r="14" spans="2:27">
      <c r="B14" s="18" t="s">
        <v>162</v>
      </c>
      <c r="C14" s="18"/>
      <c r="D14" s="18"/>
      <c r="F14" s="49" t="s">
        <v>1578</v>
      </c>
      <c r="G14" s="49"/>
      <c r="H14" s="49">
        <v>30</v>
      </c>
      <c r="I14" s="49">
        <v>5</v>
      </c>
      <c r="J14" s="49"/>
      <c r="K14" s="49"/>
      <c r="L14" s="49" t="s">
        <v>329</v>
      </c>
      <c r="M14" s="49">
        <v>5</v>
      </c>
      <c r="N14" s="49"/>
      <c r="O14" s="49"/>
      <c r="P14" s="49">
        <v>5</v>
      </c>
      <c r="Q14" s="49"/>
      <c r="R14" s="49" t="s">
        <v>1579</v>
      </c>
      <c r="S14" s="49"/>
      <c r="T14" s="49" t="s">
        <v>1580</v>
      </c>
      <c r="U14" s="49"/>
      <c r="V14" s="49"/>
      <c r="W14" s="49" t="s">
        <v>1581</v>
      </c>
      <c r="X14" s="49"/>
      <c r="Y14" s="244"/>
      <c r="Z14" s="26" t="s">
        <v>1582</v>
      </c>
      <c r="AA14" s="26"/>
    </row>
    <row r="15" spans="2:27">
      <c r="B15" s="18"/>
      <c r="C15" s="18"/>
      <c r="D15" s="18"/>
      <c r="F15" s="49"/>
      <c r="G15" s="49"/>
      <c r="H15" s="49">
        <v>32</v>
      </c>
      <c r="I15" s="49">
        <v>6</v>
      </c>
      <c r="J15" s="49"/>
      <c r="K15" s="49"/>
      <c r="L15" s="49"/>
      <c r="M15" s="49">
        <v>6</v>
      </c>
      <c r="N15" s="49"/>
      <c r="O15" s="49"/>
      <c r="P15" s="49">
        <v>6</v>
      </c>
      <c r="Q15" s="49"/>
      <c r="R15" s="49" t="s">
        <v>1502</v>
      </c>
      <c r="S15" s="49"/>
      <c r="T15" s="49">
        <v>35</v>
      </c>
      <c r="U15" s="49"/>
      <c r="V15" s="49"/>
      <c r="W15" s="49" t="s">
        <v>1583</v>
      </c>
      <c r="X15" s="49"/>
      <c r="Y15" s="244"/>
      <c r="Z15" s="26" t="s">
        <v>1584</v>
      </c>
      <c r="AA15" s="26"/>
    </row>
    <row r="16" spans="2:27">
      <c r="B16" s="18" t="s">
        <v>167</v>
      </c>
      <c r="C16" s="18"/>
      <c r="D16" s="18"/>
      <c r="F16" s="49"/>
      <c r="G16" s="49"/>
      <c r="H16" s="49">
        <v>40</v>
      </c>
      <c r="I16" s="49">
        <v>7</v>
      </c>
      <c r="J16" s="49"/>
      <c r="K16" s="49"/>
      <c r="L16" s="49"/>
      <c r="M16" s="49">
        <v>7</v>
      </c>
      <c r="N16" s="49"/>
      <c r="O16" s="49"/>
      <c r="P16" s="49"/>
      <c r="Q16" s="49"/>
      <c r="R16" s="49"/>
      <c r="S16" s="49"/>
      <c r="T16" s="49"/>
      <c r="U16" s="49"/>
      <c r="V16" s="49"/>
      <c r="W16" s="49" t="s">
        <v>1585</v>
      </c>
      <c r="X16" s="49"/>
      <c r="Y16" s="244"/>
      <c r="Z16" s="26" t="s">
        <v>1586</v>
      </c>
      <c r="AA16" s="26"/>
    </row>
    <row r="17" spans="2:27">
      <c r="B17" s="18" t="s">
        <v>170</v>
      </c>
      <c r="C17" s="18"/>
      <c r="D17" s="18"/>
      <c r="F17" s="49"/>
      <c r="G17" s="49"/>
      <c r="H17" s="49">
        <v>45</v>
      </c>
      <c r="I17" s="49">
        <v>8</v>
      </c>
      <c r="J17" s="49"/>
      <c r="K17" s="49"/>
      <c r="L17" s="49"/>
      <c r="M17" s="49">
        <v>8</v>
      </c>
      <c r="N17" s="49"/>
      <c r="O17" s="49"/>
      <c r="P17" s="49"/>
      <c r="Q17" s="49"/>
      <c r="R17" s="49"/>
      <c r="S17" s="49"/>
      <c r="T17" s="49"/>
      <c r="U17" s="49"/>
      <c r="V17" s="49"/>
      <c r="W17" s="49" t="s">
        <v>166</v>
      </c>
      <c r="X17" s="49"/>
      <c r="Y17" s="244"/>
      <c r="Z17" s="26" t="s">
        <v>1587</v>
      </c>
      <c r="AA17" s="26"/>
    </row>
    <row r="18" spans="2:27">
      <c r="B18" s="18" t="s">
        <v>173</v>
      </c>
      <c r="C18" s="18"/>
      <c r="D18" s="18"/>
      <c r="F18" s="49"/>
      <c r="G18" s="49"/>
      <c r="H18" s="49">
        <v>50</v>
      </c>
      <c r="I18" s="49">
        <v>9</v>
      </c>
      <c r="J18" s="49"/>
      <c r="K18" s="49"/>
      <c r="L18" s="49"/>
      <c r="M18" s="49">
        <v>9</v>
      </c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244"/>
      <c r="Z18" s="26" t="s">
        <v>1588</v>
      </c>
      <c r="AA18" s="26"/>
    </row>
    <row r="19" spans="2:27">
      <c r="B19" s="18"/>
      <c r="C19" s="18"/>
      <c r="D19" s="18"/>
      <c r="F19" s="49"/>
      <c r="G19" s="49"/>
      <c r="H19" s="49">
        <v>63</v>
      </c>
      <c r="I19" s="49">
        <v>10</v>
      </c>
      <c r="J19" s="49"/>
      <c r="K19" s="49"/>
      <c r="L19" s="49"/>
      <c r="M19" s="49">
        <v>10</v>
      </c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244"/>
      <c r="Z19" s="26" t="s">
        <v>1569</v>
      </c>
      <c r="AA19" s="26"/>
    </row>
    <row r="20" spans="2:27">
      <c r="B20" s="18" t="s">
        <v>176</v>
      </c>
      <c r="C20" s="18"/>
      <c r="D20" s="18"/>
      <c r="F20" s="49"/>
      <c r="G20" s="49"/>
      <c r="H20" s="49">
        <v>70</v>
      </c>
      <c r="I20" s="49">
        <v>11</v>
      </c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244"/>
      <c r="Z20" s="26" t="s">
        <v>1589</v>
      </c>
      <c r="AA20" s="26"/>
    </row>
    <row r="21" spans="2:27">
      <c r="B21" s="18"/>
      <c r="C21" s="18"/>
      <c r="D21" s="18"/>
      <c r="F21" s="49"/>
      <c r="G21" s="49"/>
      <c r="H21" s="49">
        <v>80</v>
      </c>
      <c r="I21" s="49">
        <v>12</v>
      </c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244"/>
      <c r="Z21" s="26" t="s">
        <v>1590</v>
      </c>
      <c r="AA21" s="26"/>
    </row>
    <row r="22" spans="2:27">
      <c r="B22" s="18"/>
      <c r="C22" s="18"/>
      <c r="D22" s="18"/>
      <c r="F22" s="49"/>
      <c r="G22" s="49"/>
      <c r="H22" s="49">
        <v>90</v>
      </c>
      <c r="I22" s="49">
        <v>13</v>
      </c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244"/>
      <c r="Z22" s="26" t="s">
        <v>1591</v>
      </c>
      <c r="AA22" s="26"/>
    </row>
    <row r="23" spans="2:27">
      <c r="B23" s="18"/>
      <c r="C23" s="18"/>
      <c r="D23" s="18"/>
      <c r="F23" s="49"/>
      <c r="G23" s="49"/>
      <c r="H23" s="49">
        <v>100</v>
      </c>
      <c r="I23" s="49">
        <v>14</v>
      </c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244"/>
      <c r="Z23" s="26" t="s">
        <v>1592</v>
      </c>
      <c r="AA23" s="26"/>
    </row>
    <row r="24" spans="2:27">
      <c r="B24" s="18"/>
      <c r="C24" s="18"/>
      <c r="D24" s="18"/>
      <c r="F24" s="49"/>
      <c r="G24" s="49"/>
      <c r="H24" s="49">
        <v>110</v>
      </c>
      <c r="I24" s="49">
        <v>15</v>
      </c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244"/>
      <c r="Z24" s="26" t="s">
        <v>1555</v>
      </c>
      <c r="AA24" s="26"/>
    </row>
    <row r="25" spans="2:27">
      <c r="B25" s="18" t="s">
        <v>182</v>
      </c>
      <c r="C25" s="18"/>
      <c r="D25" s="18"/>
      <c r="F25" s="49"/>
      <c r="G25" s="49"/>
      <c r="H25" s="49">
        <v>125</v>
      </c>
      <c r="I25" s="49">
        <v>16</v>
      </c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244"/>
      <c r="Z25" s="26" t="s">
        <v>1593</v>
      </c>
      <c r="AA25" s="26"/>
    </row>
    <row r="26" spans="2:27">
      <c r="B26" s="285"/>
      <c r="C26" s="285"/>
      <c r="D26" s="285"/>
      <c r="F26" s="49"/>
      <c r="G26" s="49"/>
      <c r="H26" s="49">
        <v>150</v>
      </c>
      <c r="I26" s="49">
        <v>17</v>
      </c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244"/>
      <c r="Z26" s="26" t="s">
        <v>1594</v>
      </c>
      <c r="AA26" s="26"/>
    </row>
    <row r="27" spans="2:27">
      <c r="B27" s="285"/>
      <c r="C27" s="285"/>
      <c r="D27" s="285"/>
      <c r="F27" s="49"/>
      <c r="G27" s="49"/>
      <c r="H27" s="49">
        <v>160</v>
      </c>
      <c r="I27" s="49">
        <v>18</v>
      </c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244"/>
      <c r="Z27" s="26" t="s">
        <v>1595</v>
      </c>
      <c r="AA27" s="26"/>
    </row>
    <row r="28" spans="2:27">
      <c r="B28" s="293"/>
      <c r="C28" s="293"/>
      <c r="D28" s="293"/>
      <c r="F28" s="49"/>
      <c r="G28" s="49"/>
      <c r="H28" s="49">
        <v>175</v>
      </c>
      <c r="I28" s="49">
        <v>19</v>
      </c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244"/>
      <c r="Z28" s="26" t="s">
        <v>1596</v>
      </c>
      <c r="AA28" s="26"/>
    </row>
    <row r="29" spans="2:27">
      <c r="B29" s="293"/>
      <c r="C29" s="293"/>
      <c r="D29" s="293"/>
      <c r="F29" s="49"/>
      <c r="G29" s="49"/>
      <c r="H29" s="49">
        <v>200</v>
      </c>
      <c r="I29" s="49">
        <v>20</v>
      </c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244"/>
      <c r="Z29" s="26" t="s">
        <v>1597</v>
      </c>
      <c r="AA29" s="26"/>
    </row>
    <row r="30" spans="2:27">
      <c r="B30" s="293"/>
      <c r="C30" s="293"/>
      <c r="D30" s="293"/>
      <c r="F30" s="49"/>
      <c r="G30" s="49"/>
      <c r="H30" s="49">
        <v>225</v>
      </c>
      <c r="I30" s="49">
        <v>21</v>
      </c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244"/>
      <c r="Z30" s="26" t="s">
        <v>1598</v>
      </c>
      <c r="AA30" s="26"/>
    </row>
    <row r="31" spans="2:27">
      <c r="B31" s="293"/>
      <c r="C31" s="293"/>
      <c r="D31" s="293"/>
      <c r="F31" s="49"/>
      <c r="G31" s="49"/>
      <c r="H31" s="49">
        <v>250</v>
      </c>
      <c r="I31" s="49">
        <v>22</v>
      </c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244"/>
      <c r="Z31" s="26" t="s">
        <v>1562</v>
      </c>
      <c r="AA31" s="26"/>
    </row>
    <row r="32" spans="2:27">
      <c r="B32" s="289"/>
      <c r="C32" s="289"/>
      <c r="D32" s="289"/>
      <c r="F32" s="49"/>
      <c r="G32" s="49"/>
      <c r="H32" s="49">
        <v>300</v>
      </c>
      <c r="I32" s="49">
        <v>23</v>
      </c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244"/>
      <c r="Z32" s="26" t="s">
        <v>461</v>
      </c>
      <c r="AA32" s="26"/>
    </row>
    <row r="33" spans="2:27">
      <c r="B33" s="289"/>
      <c r="C33" s="289"/>
      <c r="D33" s="289"/>
      <c r="F33" s="49"/>
      <c r="G33" s="49"/>
      <c r="H33" s="49">
        <v>350</v>
      </c>
      <c r="I33" s="49">
        <v>24</v>
      </c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244"/>
      <c r="Z33" s="26" t="s">
        <v>1599</v>
      </c>
      <c r="AA33" s="26"/>
    </row>
    <row r="34" spans="2:27">
      <c r="B34" s="289"/>
      <c r="C34" s="289"/>
      <c r="D34" s="289"/>
      <c r="F34" s="245"/>
      <c r="G34" s="245"/>
      <c r="H34" s="245">
        <v>400</v>
      </c>
      <c r="I34" s="245">
        <v>25</v>
      </c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6"/>
      <c r="Z34" s="247" t="s">
        <v>1600</v>
      </c>
      <c r="AA34" s="26"/>
    </row>
    <row r="35" spans="2:27">
      <c r="B35" s="289"/>
      <c r="C35" s="289"/>
      <c r="D35" s="28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 t="s">
        <v>1601</v>
      </c>
      <c r="AA35" s="26"/>
    </row>
    <row r="36" spans="2:27">
      <c r="B36" s="289"/>
      <c r="C36" s="289"/>
      <c r="D36" s="289"/>
    </row>
    <row r="37" spans="2:27">
      <c r="B37" s="289"/>
      <c r="C37" s="289"/>
      <c r="D37" s="289"/>
    </row>
    <row r="38" spans="2:27">
      <c r="B38" s="289"/>
      <c r="C38" s="289"/>
      <c r="D38" s="289"/>
    </row>
    <row r="39" spans="2:27">
      <c r="B39" s="289"/>
      <c r="C39" s="289"/>
      <c r="D39" s="289"/>
    </row>
    <row r="40" spans="2:27">
      <c r="B40" s="289"/>
      <c r="C40" s="289"/>
      <c r="D40" s="289"/>
    </row>
    <row r="41" spans="2:27">
      <c r="B41" s="289"/>
      <c r="C41" s="289"/>
      <c r="D41" s="289"/>
    </row>
    <row r="42" spans="2:27">
      <c r="B42" s="289"/>
      <c r="C42" s="289"/>
      <c r="D42" s="289"/>
    </row>
    <row r="43" spans="2:27">
      <c r="B43" s="289"/>
      <c r="C43" s="289"/>
      <c r="D43" s="289"/>
    </row>
    <row r="44" spans="2:27">
      <c r="B44" s="289"/>
      <c r="C44" s="289"/>
      <c r="D44" s="289"/>
    </row>
    <row r="45" spans="2:27">
      <c r="B45" s="289"/>
      <c r="C45" s="289"/>
      <c r="D45" s="289"/>
    </row>
    <row r="46" spans="2:27">
      <c r="B46" s="289"/>
      <c r="C46" s="289"/>
      <c r="D46" s="289"/>
    </row>
    <row r="47" spans="2:27">
      <c r="B47" s="289"/>
      <c r="C47" s="289"/>
      <c r="D47" s="289"/>
    </row>
    <row r="48" spans="2:27">
      <c r="B48" s="289"/>
      <c r="C48" s="289"/>
      <c r="D48" s="289"/>
    </row>
  </sheetData>
  <mergeCells count="24"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F2:N4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</mergeCells>
  <hyperlinks>
    <hyperlink ref="B10" location="'DASH'!A1" display="DASHBOARD" xr:uid="{76856B14-2C11-481F-AFC2-D41428157E04}"/>
    <hyperlink ref="B11" location="'DES-GL'!A1" display="DESIGN GUIDELINES" xr:uid="{C0A6CCFF-3423-48C4-9706-9C3DAA1B9F3D}"/>
    <hyperlink ref="B13" location="'EXT-MAINS-DT'!A1" display="EXISTING POWER DESIGN" xr:uid="{DD527B23-E5BB-443F-9F0C-334600C18CBA}"/>
    <hyperlink ref="B14" location="'EXT-CALC'!A1" display="EXISTING DEMAND" xr:uid="{D1561A1D-C790-44E4-A81B-5F89F306DD8E}"/>
    <hyperlink ref="B16" location="'CALC'!A1" display="POWER CALCULATOR" xr:uid="{6D13C771-FF9B-4EBF-9CF6-0EEA6BE40C5C}"/>
    <hyperlink ref="B17" location="'PLBC-CALC'!A1" display="PLBC CALCULATOR" xr:uid="{229058D6-9D18-443C-AA93-6915798130A9}"/>
    <hyperlink ref="B18" location="'VDC'!A1" display="VD CALCULATOR" xr:uid="{9A072E3B-A3A9-4C36-8D24-ECE1E65ECBD8}"/>
    <hyperlink ref="B20" location="'PRP-SOL'!A1" display="PROPOSED POWER DESIGN" xr:uid="{8EBD4546-9DDF-4DB6-8AB6-C5FC0E348116}"/>
    <hyperlink ref="B25" location="'DC'!A1" display="DOCUMENT CONTROL" xr:uid="{6D8104D5-9776-4C42-9799-5EF4FDF70004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1D3E1-8AD6-449F-AAB9-C3FFB5C9A83B}">
  <sheetPr codeName="Sheet36"/>
  <dimension ref="B1:P48"/>
  <sheetViews>
    <sheetView showGridLines="0" topLeftCell="B2" zoomScale="115" zoomScaleNormal="115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30.28515625" customWidth="1"/>
    <col min="7" max="7" width="11.28515625" customWidth="1"/>
    <col min="8" max="8" width="17" customWidth="1"/>
    <col min="9" max="9" width="21" customWidth="1"/>
    <col min="10" max="10" width="23.28515625" customWidth="1"/>
    <col min="11" max="11" width="36.5703125" customWidth="1"/>
    <col min="12" max="12" width="24.7109375" customWidth="1"/>
    <col min="13" max="13" width="22.28515625" customWidth="1"/>
    <col min="14" max="14" width="11.7109375" customWidth="1"/>
    <col min="15" max="15" width="23" customWidth="1"/>
    <col min="16" max="16" width="21" customWidth="1"/>
    <col min="17" max="17" width="15.28515625" customWidth="1"/>
    <col min="18" max="18" width="20.28515625" customWidth="1"/>
    <col min="19" max="19" width="20.7109375" customWidth="1"/>
    <col min="20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563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564</v>
      </c>
    </row>
    <row r="7" spans="2:16">
      <c r="C7" s="2" t="s">
        <v>152</v>
      </c>
      <c r="D7" s="12">
        <f>DCVer</f>
        <v>12.7</v>
      </c>
    </row>
    <row r="8" spans="2:16" ht="15" customHeight="1">
      <c r="F8" s="51"/>
      <c r="G8" s="69" t="s">
        <v>1602</v>
      </c>
      <c r="H8" s="69" t="s">
        <v>1603</v>
      </c>
      <c r="I8" s="69" t="s">
        <v>1604</v>
      </c>
      <c r="J8" s="69" t="s">
        <v>1605</v>
      </c>
      <c r="K8" s="69" t="s">
        <v>1606</v>
      </c>
      <c r="L8" s="70" t="s">
        <v>1607</v>
      </c>
      <c r="M8" s="70" t="s">
        <v>1608</v>
      </c>
      <c r="N8" s="68" t="s">
        <v>1609</v>
      </c>
      <c r="O8" s="68" t="s">
        <v>1610</v>
      </c>
      <c r="P8" s="26"/>
    </row>
    <row r="9" spans="2:16">
      <c r="B9" s="18"/>
      <c r="C9" s="18"/>
      <c r="D9" s="18"/>
      <c r="F9" s="51" t="s">
        <v>1611</v>
      </c>
      <c r="G9" s="69">
        <v>50</v>
      </c>
      <c r="H9" s="69" t="s">
        <v>275</v>
      </c>
      <c r="I9" s="69" t="s">
        <v>325</v>
      </c>
      <c r="J9" s="69" t="s">
        <v>327</v>
      </c>
      <c r="K9" s="69" t="s">
        <v>329</v>
      </c>
      <c r="L9" s="70" t="s">
        <v>331</v>
      </c>
      <c r="M9" s="70" t="s">
        <v>329</v>
      </c>
      <c r="N9" s="68">
        <v>5</v>
      </c>
      <c r="O9" s="68" t="s">
        <v>334</v>
      </c>
      <c r="P9" s="26"/>
    </row>
    <row r="10" spans="2:16">
      <c r="B10" s="18" t="s">
        <v>151</v>
      </c>
      <c r="C10" s="18"/>
      <c r="D10" s="18"/>
      <c r="F10" s="51"/>
      <c r="G10" s="69"/>
      <c r="H10" s="194"/>
      <c r="I10" s="70"/>
      <c r="J10" s="70"/>
      <c r="K10" s="70"/>
      <c r="L10" s="194"/>
      <c r="M10" s="194"/>
      <c r="N10" s="68"/>
      <c r="O10" s="68"/>
      <c r="P10" s="26"/>
    </row>
    <row r="11" spans="2:16">
      <c r="B11" s="18" t="s">
        <v>155</v>
      </c>
      <c r="C11" s="18"/>
      <c r="D11" s="18"/>
      <c r="F11" s="51"/>
      <c r="G11" s="69"/>
      <c r="H11" s="194"/>
      <c r="I11" s="70"/>
      <c r="J11" s="70"/>
      <c r="K11" s="70"/>
      <c r="L11" s="194"/>
      <c r="M11" s="194"/>
      <c r="N11" s="68"/>
      <c r="O11" s="68"/>
      <c r="P11" s="26"/>
    </row>
    <row r="12" spans="2:16">
      <c r="B12" s="18"/>
      <c r="C12" s="18"/>
      <c r="D12" s="18"/>
      <c r="F12" s="51"/>
      <c r="G12" s="69"/>
      <c r="H12" s="194"/>
      <c r="I12" s="70"/>
      <c r="J12" s="68"/>
      <c r="K12" s="70"/>
      <c r="L12" s="194"/>
      <c r="M12" s="194"/>
      <c r="N12" s="68"/>
      <c r="O12" s="68"/>
      <c r="P12" s="26"/>
    </row>
    <row r="13" spans="2:16">
      <c r="B13" s="18" t="s">
        <v>159</v>
      </c>
      <c r="C13" s="18"/>
      <c r="D13" s="18"/>
      <c r="F13" s="51"/>
      <c r="G13" s="69"/>
      <c r="H13" s="69"/>
      <c r="I13" s="70"/>
      <c r="J13" s="70"/>
      <c r="K13" s="70"/>
      <c r="L13" s="69"/>
      <c r="M13" s="69"/>
      <c r="N13" s="68"/>
      <c r="O13" s="68"/>
      <c r="P13" s="26"/>
    </row>
    <row r="14" spans="2:16">
      <c r="B14" s="18" t="s">
        <v>162</v>
      </c>
      <c r="C14" s="18"/>
      <c r="D14" s="18"/>
      <c r="F14" s="51"/>
      <c r="G14" s="69"/>
      <c r="H14" s="194"/>
      <c r="I14" s="70"/>
      <c r="J14" s="68"/>
      <c r="K14" s="195"/>
      <c r="L14" s="194"/>
      <c r="M14" s="194"/>
      <c r="N14" s="68"/>
      <c r="O14" s="68"/>
      <c r="P14" s="26"/>
    </row>
    <row r="15" spans="2:16">
      <c r="B15" s="18"/>
      <c r="C15" s="18"/>
      <c r="D15" s="18"/>
      <c r="F15" s="51"/>
      <c r="G15" s="69"/>
      <c r="H15" s="194"/>
      <c r="I15" s="70"/>
      <c r="J15" s="68"/>
      <c r="K15" s="70"/>
      <c r="L15" s="194"/>
      <c r="M15" s="194"/>
      <c r="N15" s="68"/>
      <c r="O15" s="68"/>
      <c r="P15" s="26"/>
    </row>
    <row r="16" spans="2:16">
      <c r="B16" s="18" t="s">
        <v>167</v>
      </c>
      <c r="C16" s="18"/>
      <c r="D16" s="18"/>
      <c r="F16" s="51"/>
      <c r="G16" s="69"/>
      <c r="H16" s="194"/>
      <c r="I16" s="70"/>
      <c r="J16" s="68"/>
      <c r="K16" s="70"/>
      <c r="L16" s="194"/>
      <c r="M16" s="194"/>
      <c r="N16" s="68"/>
      <c r="O16" s="68"/>
      <c r="P16" s="26"/>
    </row>
    <row r="17" spans="2:16">
      <c r="B17" s="18" t="s">
        <v>170</v>
      </c>
      <c r="C17" s="18"/>
      <c r="D17" s="18"/>
      <c r="F17" s="51"/>
      <c r="G17" s="69"/>
      <c r="H17" s="194"/>
      <c r="I17" s="70"/>
      <c r="J17" s="70"/>
      <c r="K17" s="70"/>
      <c r="L17" s="194"/>
      <c r="M17" s="194"/>
      <c r="N17" s="68"/>
      <c r="O17" s="68"/>
      <c r="P17" s="26"/>
    </row>
    <row r="18" spans="2:16">
      <c r="B18" s="18" t="s">
        <v>173</v>
      </c>
      <c r="C18" s="18"/>
      <c r="D18" s="18"/>
      <c r="F18" s="51"/>
      <c r="G18" s="69"/>
      <c r="H18" s="194"/>
      <c r="I18" s="70"/>
      <c r="J18" s="70"/>
      <c r="K18" s="70"/>
      <c r="L18" s="194"/>
      <c r="M18" s="194"/>
      <c r="N18" s="68"/>
      <c r="O18" s="68"/>
      <c r="P18" s="26"/>
    </row>
    <row r="19" spans="2:16">
      <c r="B19" s="18"/>
      <c r="C19" s="18"/>
      <c r="D19" s="18"/>
      <c r="F19" s="51"/>
      <c r="G19" s="69"/>
      <c r="H19" s="69"/>
      <c r="I19" s="70"/>
      <c r="J19" s="70"/>
      <c r="K19" s="70"/>
      <c r="L19" s="69"/>
      <c r="M19" s="69"/>
      <c r="N19" s="68"/>
      <c r="O19" s="68"/>
      <c r="P19" s="26"/>
    </row>
    <row r="20" spans="2:16">
      <c r="B20" s="18" t="s">
        <v>176</v>
      </c>
      <c r="C20" s="18"/>
      <c r="D20" s="18"/>
      <c r="F20" s="51"/>
      <c r="G20" s="69"/>
      <c r="H20" s="69"/>
      <c r="I20" s="70"/>
      <c r="J20" s="70"/>
      <c r="K20" s="70"/>
      <c r="L20" s="194"/>
      <c r="M20" s="194"/>
      <c r="N20" s="68"/>
      <c r="O20" s="68"/>
      <c r="P20" s="26"/>
    </row>
    <row r="21" spans="2:16">
      <c r="B21" s="18"/>
      <c r="C21" s="18"/>
      <c r="D21" s="18"/>
    </row>
    <row r="22" spans="2:16">
      <c r="B22" s="18"/>
      <c r="C22" s="18"/>
      <c r="D22" s="18"/>
    </row>
    <row r="23" spans="2:16">
      <c r="B23" s="18"/>
      <c r="C23" s="18"/>
      <c r="D23" s="18"/>
    </row>
    <row r="24" spans="2:16">
      <c r="B24" s="18"/>
      <c r="C24" s="18"/>
      <c r="D24" s="18"/>
    </row>
    <row r="25" spans="2:16">
      <c r="B25" s="18" t="s">
        <v>182</v>
      </c>
      <c r="C25" s="18"/>
      <c r="D25" s="18"/>
    </row>
    <row r="26" spans="2:16">
      <c r="B26" s="285"/>
      <c r="C26" s="285"/>
      <c r="D26" s="285"/>
    </row>
    <row r="27" spans="2:16">
      <c r="B27" s="285"/>
      <c r="C27" s="285"/>
      <c r="D27" s="285"/>
    </row>
    <row r="28" spans="2:16">
      <c r="B28" s="293"/>
      <c r="C28" s="293"/>
      <c r="D28" s="293"/>
    </row>
    <row r="29" spans="2:16">
      <c r="B29" s="293"/>
      <c r="C29" s="293"/>
      <c r="D29" s="293"/>
    </row>
    <row r="30" spans="2:16">
      <c r="B30" s="293"/>
      <c r="C30" s="293"/>
      <c r="D30" s="293"/>
    </row>
    <row r="31" spans="2:16">
      <c r="B31" s="293"/>
      <c r="C31" s="293"/>
      <c r="D31" s="293"/>
    </row>
    <row r="32" spans="2:16">
      <c r="B32" s="289"/>
      <c r="C32" s="289"/>
      <c r="D32" s="289"/>
    </row>
    <row r="33" spans="2:4">
      <c r="B33" s="289"/>
      <c r="C33" s="289"/>
      <c r="D33" s="289"/>
    </row>
    <row r="34" spans="2:4">
      <c r="B34" s="289"/>
      <c r="C34" s="289"/>
      <c r="D34" s="289"/>
    </row>
    <row r="35" spans="2:4">
      <c r="B35" s="289"/>
      <c r="C35" s="289"/>
      <c r="D35" s="289"/>
    </row>
    <row r="36" spans="2:4">
      <c r="B36" s="289"/>
      <c r="C36" s="289"/>
      <c r="D36" s="289"/>
    </row>
    <row r="37" spans="2:4">
      <c r="B37" s="289"/>
      <c r="C37" s="289"/>
      <c r="D37" s="289"/>
    </row>
    <row r="38" spans="2:4">
      <c r="B38" s="289"/>
      <c r="C38" s="289"/>
      <c r="D38" s="289"/>
    </row>
    <row r="39" spans="2:4">
      <c r="B39" s="289"/>
      <c r="C39" s="289"/>
      <c r="D39" s="289"/>
    </row>
    <row r="40" spans="2:4">
      <c r="B40" s="289"/>
      <c r="C40" s="289"/>
      <c r="D40" s="289"/>
    </row>
    <row r="41" spans="2:4">
      <c r="B41" s="289"/>
      <c r="C41" s="289"/>
      <c r="D41" s="289"/>
    </row>
    <row r="42" spans="2:4">
      <c r="B42" s="289"/>
      <c r="C42" s="289"/>
      <c r="D42" s="289"/>
    </row>
    <row r="43" spans="2:4">
      <c r="B43" s="289"/>
      <c r="C43" s="289"/>
      <c r="D43" s="289"/>
    </row>
    <row r="44" spans="2:4">
      <c r="B44" s="289"/>
      <c r="C44" s="289"/>
      <c r="D44" s="289"/>
    </row>
    <row r="45" spans="2:4">
      <c r="B45" s="289"/>
      <c r="C45" s="289"/>
      <c r="D45" s="289"/>
    </row>
    <row r="46" spans="2:4">
      <c r="B46" s="289"/>
      <c r="C46" s="289"/>
      <c r="D46" s="289"/>
    </row>
    <row r="47" spans="2:4">
      <c r="B47" s="289"/>
      <c r="C47" s="289"/>
      <c r="D47" s="289"/>
    </row>
    <row r="48" spans="2:4">
      <c r="B48" s="289"/>
      <c r="C48" s="289"/>
      <c r="D48" s="289"/>
    </row>
  </sheetData>
  <mergeCells count="24"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F2:N4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</mergeCells>
  <hyperlinks>
    <hyperlink ref="B10" location="'DASH'!A1" display="DASHBOARD" xr:uid="{4B9D2E91-AF4A-4B13-8CE5-32D9A973F9F1}"/>
    <hyperlink ref="B11" location="'DES-GL'!A1" display="DESIGN GUIDELINES" xr:uid="{A94B3440-CFBF-4D51-9612-D942555D6433}"/>
    <hyperlink ref="B13" location="'EXT-MAINS-DT'!A1" display="EXISTING POWER DESIGN" xr:uid="{82247F7E-DFA6-4BC6-B900-30C55EB6262D}"/>
    <hyperlink ref="B14" location="'EXT-CALC'!A1" display="EXISTING DEMAND" xr:uid="{2FF6482A-563D-4CED-BFB1-3186F615FAD1}"/>
    <hyperlink ref="B16" location="'CALC'!A1" display="POWER CALCULATOR" xr:uid="{54538030-573E-4042-B75D-20F399C548EB}"/>
    <hyperlink ref="B17" location="'PLBC-CALC'!A1" display="PLBC CALCULATOR" xr:uid="{F3442FEF-D2FA-4E2D-970B-A6575628A17B}"/>
    <hyperlink ref="B18" location="'VDC'!A1" display="VD CALCULATOR" xr:uid="{D768A932-3E07-458D-8EB1-F29CF3E3E84F}"/>
    <hyperlink ref="B20" location="'PRP-SOL'!A1" display="PROPOSED POWER DESIGN" xr:uid="{F648B81D-5729-467C-83B5-64C14C86A095}"/>
    <hyperlink ref="B25" location="'DC'!A1" display="DOCUMENT CONTROL" xr:uid="{EE558DF6-F96A-4739-8DAE-B7CD3E7F5B55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AC0C-5BB8-41B0-9E20-71213077E769}">
  <sheetPr codeName="Sheet19"/>
  <dimension ref="B1:T99"/>
  <sheetViews>
    <sheetView showGridLines="0" topLeftCell="C2" zoomScale="145" zoomScaleNormal="145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24.7109375" customWidth="1"/>
    <col min="7" max="11" width="8.28515625" customWidth="1"/>
    <col min="12" max="12" width="3.5703125" customWidth="1"/>
    <col min="13" max="17" width="8.28515625" customWidth="1"/>
    <col min="18" max="18" width="3.28515625" customWidth="1"/>
    <col min="19" max="19" width="33.28515625" customWidth="1"/>
    <col min="20" max="20" width="32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20" ht="15" hidden="1" customHeight="1"/>
    <row r="2" spans="2:20" ht="15" customHeight="1">
      <c r="F2" s="287" t="s">
        <v>565</v>
      </c>
      <c r="G2" s="287"/>
      <c r="H2" s="287"/>
      <c r="I2" s="287"/>
      <c r="J2" s="287"/>
      <c r="K2" s="287"/>
      <c r="L2" s="287"/>
      <c r="M2" s="287"/>
      <c r="N2" s="287"/>
    </row>
    <row r="3" spans="2:20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20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20">
      <c r="F5" t="s">
        <v>566</v>
      </c>
    </row>
    <row r="7" spans="2:20">
      <c r="C7" s="2" t="s">
        <v>152</v>
      </c>
      <c r="D7" s="12">
        <f>DCVer</f>
        <v>12.7</v>
      </c>
    </row>
    <row r="8" spans="2:20" ht="15" customHeight="1">
      <c r="F8" s="498" t="s">
        <v>1612</v>
      </c>
      <c r="G8" s="498"/>
      <c r="H8" s="498"/>
      <c r="I8" s="498"/>
      <c r="J8" s="498"/>
      <c r="K8" s="498"/>
      <c r="L8" s="35"/>
      <c r="M8" s="498" t="s">
        <v>1613</v>
      </c>
      <c r="N8" s="498"/>
      <c r="O8" s="498"/>
      <c r="P8" s="498"/>
      <c r="Q8" s="498"/>
      <c r="S8" s="52" t="s">
        <v>1614</v>
      </c>
      <c r="T8" s="52" t="s">
        <v>1615</v>
      </c>
    </row>
    <row r="9" spans="2:20">
      <c r="B9" s="18"/>
      <c r="C9" s="18"/>
      <c r="D9" s="18"/>
      <c r="F9" s="36" t="s">
        <v>1616</v>
      </c>
      <c r="G9" s="498" t="s">
        <v>1617</v>
      </c>
      <c r="H9" s="498"/>
      <c r="I9" s="498"/>
      <c r="J9" s="498"/>
      <c r="K9" s="498"/>
      <c r="L9" s="37"/>
      <c r="M9" s="38"/>
      <c r="N9" s="38"/>
      <c r="O9" s="38"/>
      <c r="P9" s="39"/>
      <c r="Q9" s="35"/>
      <c r="S9" s="17"/>
      <c r="T9" s="17"/>
    </row>
    <row r="10" spans="2:20">
      <c r="B10" s="18" t="s">
        <v>151</v>
      </c>
      <c r="C10" s="18"/>
      <c r="D10" s="18"/>
      <c r="F10" s="40"/>
      <c r="G10" s="39"/>
      <c r="H10" s="39"/>
      <c r="I10" s="39"/>
      <c r="J10" s="39"/>
      <c r="K10" s="39"/>
      <c r="L10" s="35"/>
      <c r="M10" s="35"/>
      <c r="N10" s="35"/>
      <c r="O10" s="35"/>
      <c r="P10" s="39"/>
      <c r="Q10" s="35"/>
      <c r="S10" s="49">
        <v>0.85</v>
      </c>
      <c r="T10" s="49">
        <v>0.85</v>
      </c>
    </row>
    <row r="11" spans="2:20">
      <c r="B11" s="18" t="s">
        <v>155</v>
      </c>
      <c r="C11" s="18"/>
      <c r="D11" s="18"/>
      <c r="F11" s="40" t="s">
        <v>386</v>
      </c>
      <c r="G11" s="41" t="s">
        <v>387</v>
      </c>
      <c r="H11" s="42" t="s">
        <v>388</v>
      </c>
      <c r="I11" s="43" t="s">
        <v>389</v>
      </c>
      <c r="J11" s="44" t="s">
        <v>390</v>
      </c>
      <c r="K11" s="42" t="s">
        <v>388</v>
      </c>
      <c r="L11" s="35"/>
      <c r="M11" s="45" t="s">
        <v>387</v>
      </c>
      <c r="N11" s="45" t="s">
        <v>400</v>
      </c>
      <c r="O11" s="45" t="s">
        <v>400</v>
      </c>
      <c r="P11" s="45" t="s">
        <v>400</v>
      </c>
      <c r="Q11" s="45" t="s">
        <v>400</v>
      </c>
    </row>
    <row r="12" spans="2:20">
      <c r="B12" s="18"/>
      <c r="C12" s="18"/>
      <c r="D12" s="18"/>
      <c r="F12" s="40"/>
      <c r="G12" s="43" t="s">
        <v>389</v>
      </c>
      <c r="H12" s="44" t="s">
        <v>390</v>
      </c>
      <c r="I12" s="42" t="s">
        <v>388</v>
      </c>
      <c r="J12" s="43" t="s">
        <v>389</v>
      </c>
      <c r="K12" s="44" t="s">
        <v>390</v>
      </c>
      <c r="L12" s="35"/>
      <c r="M12" s="45" t="s">
        <v>400</v>
      </c>
      <c r="N12" s="45" t="s">
        <v>400</v>
      </c>
      <c r="O12" s="45" t="s">
        <v>401</v>
      </c>
      <c r="P12" s="45" t="s">
        <v>401</v>
      </c>
      <c r="Q12" s="35" t="s">
        <v>401</v>
      </c>
    </row>
    <row r="13" spans="2:20">
      <c r="B13" s="18" t="s">
        <v>159</v>
      </c>
      <c r="C13" s="18"/>
      <c r="D13" s="18"/>
      <c r="F13" s="40"/>
      <c r="G13" s="46" t="s">
        <v>329</v>
      </c>
      <c r="H13" s="46" t="s">
        <v>329</v>
      </c>
      <c r="I13" s="46" t="s">
        <v>329</v>
      </c>
      <c r="J13" s="46" t="s">
        <v>329</v>
      </c>
      <c r="K13" s="46" t="s">
        <v>329</v>
      </c>
      <c r="L13" s="35"/>
      <c r="M13" s="45" t="s">
        <v>329</v>
      </c>
      <c r="N13" s="45" t="s">
        <v>329</v>
      </c>
      <c r="O13" s="45" t="s">
        <v>329</v>
      </c>
      <c r="P13" s="45" t="s">
        <v>329</v>
      </c>
      <c r="Q13" s="45" t="s">
        <v>329</v>
      </c>
    </row>
    <row r="14" spans="2:20">
      <c r="B14" s="18" t="s">
        <v>162</v>
      </c>
      <c r="C14" s="18"/>
      <c r="D14" s="18"/>
      <c r="F14" s="40"/>
      <c r="G14" s="46" t="s">
        <v>329</v>
      </c>
      <c r="H14" s="46" t="s">
        <v>329</v>
      </c>
      <c r="I14" s="46" t="s">
        <v>329</v>
      </c>
      <c r="J14" s="46" t="s">
        <v>329</v>
      </c>
      <c r="K14" s="46" t="s">
        <v>329</v>
      </c>
      <c r="L14" s="35"/>
      <c r="M14" s="45" t="s">
        <v>329</v>
      </c>
      <c r="N14" s="45" t="s">
        <v>329</v>
      </c>
      <c r="O14" s="45" t="s">
        <v>329</v>
      </c>
      <c r="P14" s="45" t="s">
        <v>329</v>
      </c>
      <c r="Q14" s="45" t="s">
        <v>329</v>
      </c>
    </row>
    <row r="15" spans="2:20">
      <c r="B15" s="18"/>
      <c r="C15" s="18"/>
      <c r="D15" s="18"/>
      <c r="F15" s="40"/>
      <c r="G15" s="39"/>
      <c r="H15" s="39"/>
      <c r="I15" s="39"/>
      <c r="J15" s="39"/>
      <c r="K15" s="39"/>
      <c r="L15" s="35"/>
      <c r="M15" s="35"/>
      <c r="N15" s="35"/>
      <c r="O15" s="35"/>
      <c r="P15" s="39"/>
      <c r="Q15" s="35"/>
    </row>
    <row r="16" spans="2:20">
      <c r="B16" s="18" t="s">
        <v>167</v>
      </c>
      <c r="C16" s="18"/>
      <c r="D16" s="18"/>
      <c r="F16" s="40" t="s">
        <v>886</v>
      </c>
      <c r="G16" s="42" t="s">
        <v>388</v>
      </c>
      <c r="H16" s="41" t="s">
        <v>387</v>
      </c>
      <c r="I16" s="46" t="s">
        <v>329</v>
      </c>
      <c r="J16" s="46" t="s">
        <v>329</v>
      </c>
      <c r="K16" s="46" t="s">
        <v>329</v>
      </c>
      <c r="L16" s="35"/>
      <c r="M16" s="45" t="s">
        <v>400</v>
      </c>
      <c r="N16" s="45" t="s">
        <v>387</v>
      </c>
      <c r="O16" s="45" t="s">
        <v>329</v>
      </c>
      <c r="P16" s="45" t="s">
        <v>329</v>
      </c>
      <c r="Q16" s="45" t="s">
        <v>329</v>
      </c>
    </row>
    <row r="17" spans="2:17">
      <c r="B17" s="18" t="s">
        <v>170</v>
      </c>
      <c r="C17" s="18"/>
      <c r="D17" s="18"/>
      <c r="F17" s="40"/>
      <c r="G17" s="43" t="s">
        <v>389</v>
      </c>
      <c r="H17" s="44" t="s">
        <v>390</v>
      </c>
      <c r="I17" s="46" t="s">
        <v>329</v>
      </c>
      <c r="J17" s="46" t="s">
        <v>329</v>
      </c>
      <c r="K17" s="46" t="s">
        <v>329</v>
      </c>
      <c r="L17" s="35"/>
      <c r="M17" s="45" t="s">
        <v>400</v>
      </c>
      <c r="N17" s="45" t="s">
        <v>400</v>
      </c>
      <c r="O17" s="45" t="s">
        <v>329</v>
      </c>
      <c r="P17" s="45" t="s">
        <v>329</v>
      </c>
      <c r="Q17" s="45" t="s">
        <v>329</v>
      </c>
    </row>
    <row r="18" spans="2:17">
      <c r="B18" s="18" t="s">
        <v>173</v>
      </c>
      <c r="C18" s="18"/>
      <c r="D18" s="18"/>
      <c r="F18" s="40"/>
      <c r="G18" s="46" t="s">
        <v>329</v>
      </c>
      <c r="H18" s="46" t="s">
        <v>329</v>
      </c>
      <c r="I18" s="46" t="s">
        <v>329</v>
      </c>
      <c r="J18" s="46" t="s">
        <v>329</v>
      </c>
      <c r="K18" s="46" t="s">
        <v>329</v>
      </c>
      <c r="L18" s="35"/>
      <c r="M18" s="45" t="s">
        <v>329</v>
      </c>
      <c r="N18" s="45" t="s">
        <v>329</v>
      </c>
      <c r="O18" s="45" t="s">
        <v>329</v>
      </c>
      <c r="P18" s="45" t="s">
        <v>329</v>
      </c>
      <c r="Q18" s="45" t="s">
        <v>329</v>
      </c>
    </row>
    <row r="19" spans="2:17">
      <c r="B19" s="18"/>
      <c r="C19" s="18"/>
      <c r="D19" s="18"/>
      <c r="F19" s="40"/>
      <c r="G19" s="46" t="s">
        <v>329</v>
      </c>
      <c r="H19" s="46" t="s">
        <v>329</v>
      </c>
      <c r="I19" s="46" t="s">
        <v>329</v>
      </c>
      <c r="J19" s="46" t="s">
        <v>329</v>
      </c>
      <c r="K19" s="46" t="s">
        <v>329</v>
      </c>
      <c r="L19" s="35"/>
      <c r="M19" s="45" t="s">
        <v>329</v>
      </c>
      <c r="N19" s="45" t="s">
        <v>329</v>
      </c>
      <c r="O19" s="45" t="s">
        <v>329</v>
      </c>
      <c r="P19" s="45" t="s">
        <v>329</v>
      </c>
      <c r="Q19" s="45" t="s">
        <v>329</v>
      </c>
    </row>
    <row r="20" spans="2:17">
      <c r="B20" s="18" t="s">
        <v>176</v>
      </c>
      <c r="C20" s="18"/>
      <c r="D20" s="18"/>
      <c r="F20" s="40"/>
      <c r="G20" s="39"/>
      <c r="H20" s="39"/>
      <c r="I20" s="39"/>
      <c r="J20" s="39"/>
      <c r="K20" s="39"/>
      <c r="L20" s="35"/>
      <c r="M20" s="35"/>
      <c r="N20" s="35"/>
      <c r="O20" s="35"/>
      <c r="P20" s="39"/>
      <c r="Q20" s="35"/>
    </row>
    <row r="21" spans="2:17">
      <c r="B21" s="18"/>
      <c r="C21" s="18"/>
      <c r="D21" s="18"/>
      <c r="F21" s="40" t="s">
        <v>541</v>
      </c>
      <c r="G21" s="42" t="s">
        <v>388</v>
      </c>
      <c r="H21" s="43" t="s">
        <v>389</v>
      </c>
      <c r="I21" s="44" t="s">
        <v>390</v>
      </c>
      <c r="J21" s="47" t="s">
        <v>542</v>
      </c>
      <c r="K21" s="46" t="s">
        <v>329</v>
      </c>
      <c r="L21" s="35"/>
      <c r="M21" s="35" t="s">
        <v>400</v>
      </c>
      <c r="N21" s="35" t="s">
        <v>400</v>
      </c>
      <c r="O21" s="35" t="s">
        <v>400</v>
      </c>
      <c r="P21" s="45" t="s">
        <v>544</v>
      </c>
      <c r="Q21" s="45" t="s">
        <v>329</v>
      </c>
    </row>
    <row r="22" spans="2:17">
      <c r="B22" s="18"/>
      <c r="C22" s="18"/>
      <c r="D22" s="18"/>
      <c r="F22" s="40"/>
      <c r="G22" s="42" t="s">
        <v>388</v>
      </c>
      <c r="H22" s="43" t="s">
        <v>389</v>
      </c>
      <c r="I22" s="44" t="s">
        <v>390</v>
      </c>
      <c r="J22" s="47" t="s">
        <v>542</v>
      </c>
      <c r="K22" s="46" t="s">
        <v>329</v>
      </c>
      <c r="L22" s="35"/>
      <c r="M22" s="35" t="s">
        <v>400</v>
      </c>
      <c r="N22" s="35" t="s">
        <v>400</v>
      </c>
      <c r="O22" s="35" t="s">
        <v>400</v>
      </c>
      <c r="P22" s="45" t="s">
        <v>544</v>
      </c>
      <c r="Q22" s="45" t="s">
        <v>329</v>
      </c>
    </row>
    <row r="23" spans="2:17">
      <c r="B23" s="18"/>
      <c r="C23" s="18"/>
      <c r="D23" s="18"/>
      <c r="F23" s="40"/>
      <c r="G23" s="46" t="s">
        <v>329</v>
      </c>
      <c r="H23" s="46" t="s">
        <v>329</v>
      </c>
      <c r="I23" s="46" t="s">
        <v>329</v>
      </c>
      <c r="J23" s="46" t="s">
        <v>329</v>
      </c>
      <c r="K23" s="46" t="s">
        <v>329</v>
      </c>
      <c r="L23" s="35"/>
      <c r="M23" s="45" t="s">
        <v>329</v>
      </c>
      <c r="N23" s="45" t="s">
        <v>329</v>
      </c>
      <c r="O23" s="45" t="s">
        <v>329</v>
      </c>
      <c r="P23" s="45" t="s">
        <v>329</v>
      </c>
      <c r="Q23" s="45" t="s">
        <v>329</v>
      </c>
    </row>
    <row r="24" spans="2:17">
      <c r="B24" s="18"/>
      <c r="C24" s="18"/>
      <c r="D24" s="18"/>
      <c r="F24" s="40"/>
      <c r="G24" s="46" t="s">
        <v>329</v>
      </c>
      <c r="H24" s="46" t="s">
        <v>329</v>
      </c>
      <c r="I24" s="46" t="s">
        <v>329</v>
      </c>
      <c r="J24" s="46" t="s">
        <v>329</v>
      </c>
      <c r="K24" s="46" t="s">
        <v>329</v>
      </c>
      <c r="L24" s="35"/>
      <c r="M24" s="45" t="s">
        <v>329</v>
      </c>
      <c r="N24" s="45" t="s">
        <v>329</v>
      </c>
      <c r="O24" s="45" t="s">
        <v>329</v>
      </c>
      <c r="P24" s="45" t="s">
        <v>329</v>
      </c>
      <c r="Q24" s="45" t="s">
        <v>329</v>
      </c>
    </row>
    <row r="25" spans="2:17">
      <c r="B25" s="18" t="s">
        <v>182</v>
      </c>
      <c r="C25" s="18"/>
      <c r="D25" s="18"/>
      <c r="F25" s="40"/>
      <c r="G25" s="39"/>
      <c r="H25" s="39"/>
      <c r="I25" s="39"/>
      <c r="J25" s="39"/>
      <c r="K25" s="39"/>
      <c r="L25" s="35"/>
      <c r="M25" s="35"/>
      <c r="N25" s="35"/>
      <c r="O25" s="35"/>
      <c r="P25" s="39"/>
      <c r="Q25" s="35"/>
    </row>
    <row r="26" spans="2:17">
      <c r="B26" s="285"/>
      <c r="C26" s="285"/>
      <c r="D26" s="285"/>
      <c r="F26" s="40" t="s">
        <v>1618</v>
      </c>
      <c r="G26" s="42" t="s">
        <v>388</v>
      </c>
      <c r="H26" s="43" t="s">
        <v>389</v>
      </c>
      <c r="I26" s="44" t="s">
        <v>390</v>
      </c>
      <c r="J26" s="47" t="s">
        <v>542</v>
      </c>
      <c r="K26" s="46" t="s">
        <v>329</v>
      </c>
      <c r="L26" s="35"/>
      <c r="M26" s="35" t="s">
        <v>400</v>
      </c>
      <c r="N26" s="35" t="s">
        <v>400</v>
      </c>
      <c r="O26" s="35" t="s">
        <v>400</v>
      </c>
      <c r="P26" s="45" t="s">
        <v>544</v>
      </c>
      <c r="Q26" s="45" t="s">
        <v>329</v>
      </c>
    </row>
    <row r="27" spans="2:17">
      <c r="B27" s="285"/>
      <c r="C27" s="285"/>
      <c r="D27" s="285"/>
      <c r="F27" s="40"/>
      <c r="G27" s="42" t="s">
        <v>388</v>
      </c>
      <c r="H27" s="43" t="s">
        <v>389</v>
      </c>
      <c r="I27" s="44" t="s">
        <v>390</v>
      </c>
      <c r="J27" s="47" t="s">
        <v>542</v>
      </c>
      <c r="K27" s="46" t="s">
        <v>329</v>
      </c>
      <c r="L27" s="35"/>
      <c r="M27" s="35" t="s">
        <v>400</v>
      </c>
      <c r="N27" s="35" t="s">
        <v>400</v>
      </c>
      <c r="O27" s="35" t="s">
        <v>400</v>
      </c>
      <c r="P27" s="45" t="s">
        <v>544</v>
      </c>
      <c r="Q27" s="45" t="s">
        <v>329</v>
      </c>
    </row>
    <row r="28" spans="2:17">
      <c r="B28" s="293"/>
      <c r="C28" s="293"/>
      <c r="D28" s="293"/>
      <c r="F28" s="40"/>
      <c r="G28" s="46" t="s">
        <v>329</v>
      </c>
      <c r="H28" s="46" t="s">
        <v>329</v>
      </c>
      <c r="I28" s="46" t="s">
        <v>329</v>
      </c>
      <c r="J28" s="46" t="s">
        <v>329</v>
      </c>
      <c r="K28" s="46" t="s">
        <v>329</v>
      </c>
      <c r="L28" s="35"/>
      <c r="M28" s="45" t="s">
        <v>329</v>
      </c>
      <c r="N28" s="45" t="s">
        <v>329</v>
      </c>
      <c r="O28" s="45" t="s">
        <v>329</v>
      </c>
      <c r="P28" s="45" t="s">
        <v>329</v>
      </c>
      <c r="Q28" s="45" t="s">
        <v>329</v>
      </c>
    </row>
    <row r="29" spans="2:17">
      <c r="B29" s="293"/>
      <c r="C29" s="293"/>
      <c r="D29" s="293"/>
      <c r="F29" s="40"/>
      <c r="G29" s="46" t="s">
        <v>329</v>
      </c>
      <c r="H29" s="46" t="s">
        <v>329</v>
      </c>
      <c r="I29" s="46" t="s">
        <v>329</v>
      </c>
      <c r="J29" s="46" t="s">
        <v>329</v>
      </c>
      <c r="K29" s="46" t="s">
        <v>329</v>
      </c>
      <c r="L29" s="35"/>
      <c r="M29" s="45" t="s">
        <v>329</v>
      </c>
      <c r="N29" s="45" t="s">
        <v>329</v>
      </c>
      <c r="O29" s="45" t="s">
        <v>329</v>
      </c>
      <c r="P29" s="45" t="s">
        <v>329</v>
      </c>
      <c r="Q29" s="45" t="s">
        <v>329</v>
      </c>
    </row>
    <row r="30" spans="2:17">
      <c r="B30" s="293"/>
      <c r="C30" s="293"/>
      <c r="D30" s="293"/>
      <c r="F30" s="40"/>
      <c r="G30" s="35"/>
      <c r="H30" s="35"/>
      <c r="I30" s="35"/>
      <c r="J30" s="35"/>
      <c r="K30" s="35"/>
      <c r="L30" s="35"/>
      <c r="M30" s="35"/>
      <c r="N30" s="35"/>
      <c r="O30" s="35"/>
      <c r="P30" s="39"/>
      <c r="Q30" s="35"/>
    </row>
    <row r="31" spans="2:17">
      <c r="B31" s="293"/>
      <c r="C31" s="293"/>
      <c r="D31" s="293"/>
      <c r="F31" s="40" t="s">
        <v>899</v>
      </c>
      <c r="G31" s="42" t="s">
        <v>388</v>
      </c>
      <c r="H31" s="43" t="s">
        <v>389</v>
      </c>
      <c r="I31" s="44" t="s">
        <v>390</v>
      </c>
      <c r="J31" s="42" t="s">
        <v>388</v>
      </c>
      <c r="K31" s="46" t="s">
        <v>329</v>
      </c>
      <c r="L31" s="35"/>
      <c r="M31" s="35" t="s">
        <v>400</v>
      </c>
      <c r="N31" s="35" t="s">
        <v>400</v>
      </c>
      <c r="O31" s="35" t="s">
        <v>400</v>
      </c>
      <c r="P31" s="35" t="s">
        <v>400</v>
      </c>
      <c r="Q31" s="45" t="s">
        <v>329</v>
      </c>
    </row>
    <row r="32" spans="2:17">
      <c r="B32" s="289"/>
      <c r="C32" s="289"/>
      <c r="D32" s="289"/>
      <c r="F32" s="40"/>
      <c r="G32" s="43" t="s">
        <v>389</v>
      </c>
      <c r="H32" s="44" t="s">
        <v>390</v>
      </c>
      <c r="I32" s="42" t="s">
        <v>388</v>
      </c>
      <c r="J32" s="43" t="s">
        <v>389</v>
      </c>
      <c r="K32" s="46" t="s">
        <v>329</v>
      </c>
      <c r="L32" s="35"/>
      <c r="M32" s="35" t="s">
        <v>400</v>
      </c>
      <c r="N32" s="35" t="s">
        <v>400</v>
      </c>
      <c r="O32" s="35" t="s">
        <v>400</v>
      </c>
      <c r="P32" s="35" t="s">
        <v>400</v>
      </c>
      <c r="Q32" s="45" t="s">
        <v>329</v>
      </c>
    </row>
    <row r="33" spans="2:17">
      <c r="B33" s="289"/>
      <c r="C33" s="289"/>
      <c r="D33" s="289"/>
      <c r="F33" s="40"/>
      <c r="G33" s="46" t="s">
        <v>329</v>
      </c>
      <c r="H33" s="46" t="s">
        <v>329</v>
      </c>
      <c r="I33" s="46" t="s">
        <v>329</v>
      </c>
      <c r="J33" s="46" t="s">
        <v>329</v>
      </c>
      <c r="K33" s="46" t="s">
        <v>329</v>
      </c>
      <c r="L33" s="35"/>
      <c r="M33" s="45" t="s">
        <v>329</v>
      </c>
      <c r="N33" s="45" t="s">
        <v>329</v>
      </c>
      <c r="O33" s="45" t="s">
        <v>329</v>
      </c>
      <c r="P33" s="45" t="s">
        <v>329</v>
      </c>
      <c r="Q33" s="45" t="s">
        <v>329</v>
      </c>
    </row>
    <row r="34" spans="2:17">
      <c r="B34" s="289"/>
      <c r="C34" s="289"/>
      <c r="D34" s="289"/>
      <c r="F34" s="40"/>
      <c r="G34" s="46" t="s">
        <v>329</v>
      </c>
      <c r="H34" s="46" t="s">
        <v>329</v>
      </c>
      <c r="I34" s="46" t="s">
        <v>329</v>
      </c>
      <c r="J34" s="46" t="s">
        <v>329</v>
      </c>
      <c r="K34" s="46" t="s">
        <v>329</v>
      </c>
      <c r="L34" s="35"/>
      <c r="M34" s="45" t="s">
        <v>329</v>
      </c>
      <c r="N34" s="45" t="s">
        <v>329</v>
      </c>
      <c r="O34" s="45" t="s">
        <v>329</v>
      </c>
      <c r="P34" s="45" t="s">
        <v>329</v>
      </c>
      <c r="Q34" s="45" t="s">
        <v>329</v>
      </c>
    </row>
    <row r="35" spans="2:17">
      <c r="B35" s="289"/>
      <c r="C35" s="289"/>
      <c r="D35" s="289"/>
      <c r="F35" s="40"/>
      <c r="G35" s="35"/>
      <c r="H35" s="35"/>
      <c r="I35" s="35"/>
      <c r="J35" s="35"/>
      <c r="K35" s="35"/>
      <c r="L35" s="35"/>
      <c r="M35" s="35"/>
      <c r="N35" s="35"/>
      <c r="O35" s="35"/>
      <c r="P35" s="39"/>
      <c r="Q35" s="35"/>
    </row>
    <row r="36" spans="2:17">
      <c r="B36" s="289"/>
      <c r="C36" s="289"/>
      <c r="D36" s="289"/>
      <c r="F36" s="40" t="s">
        <v>901</v>
      </c>
      <c r="G36" s="42" t="s">
        <v>388</v>
      </c>
      <c r="H36" s="43" t="s">
        <v>389</v>
      </c>
      <c r="I36" s="44" t="s">
        <v>390</v>
      </c>
      <c r="J36" s="42" t="s">
        <v>388</v>
      </c>
      <c r="K36" s="46" t="s">
        <v>329</v>
      </c>
      <c r="L36" s="35"/>
      <c r="M36" s="35" t="s">
        <v>400</v>
      </c>
      <c r="N36" s="35" t="s">
        <v>400</v>
      </c>
      <c r="O36" s="35" t="s">
        <v>400</v>
      </c>
      <c r="P36" s="35" t="s">
        <v>400</v>
      </c>
      <c r="Q36" s="45" t="s">
        <v>329</v>
      </c>
    </row>
    <row r="37" spans="2:17">
      <c r="B37" s="289"/>
      <c r="C37" s="289"/>
      <c r="D37" s="289"/>
      <c r="F37" s="40"/>
      <c r="G37" s="43" t="s">
        <v>389</v>
      </c>
      <c r="H37" s="44" t="s">
        <v>390</v>
      </c>
      <c r="I37" s="42" t="s">
        <v>388</v>
      </c>
      <c r="J37" s="43" t="s">
        <v>389</v>
      </c>
      <c r="K37" s="46" t="s">
        <v>329</v>
      </c>
      <c r="L37" s="35"/>
      <c r="M37" s="35" t="s">
        <v>400</v>
      </c>
      <c r="N37" s="35" t="s">
        <v>400</v>
      </c>
      <c r="O37" s="35" t="s">
        <v>400</v>
      </c>
      <c r="P37" s="35" t="s">
        <v>400</v>
      </c>
      <c r="Q37" s="45" t="s">
        <v>329</v>
      </c>
    </row>
    <row r="38" spans="2:17">
      <c r="B38" s="289"/>
      <c r="C38" s="289"/>
      <c r="D38" s="289"/>
      <c r="F38" s="40"/>
      <c r="G38" s="46" t="s">
        <v>329</v>
      </c>
      <c r="H38" s="46" t="s">
        <v>329</v>
      </c>
      <c r="I38" s="46" t="s">
        <v>329</v>
      </c>
      <c r="J38" s="46" t="s">
        <v>329</v>
      </c>
      <c r="K38" s="46" t="s">
        <v>329</v>
      </c>
      <c r="L38" s="35"/>
      <c r="M38" s="45" t="s">
        <v>329</v>
      </c>
      <c r="N38" s="45" t="s">
        <v>329</v>
      </c>
      <c r="O38" s="45" t="s">
        <v>329</v>
      </c>
      <c r="P38" s="45" t="s">
        <v>329</v>
      </c>
      <c r="Q38" s="45" t="s">
        <v>329</v>
      </c>
    </row>
    <row r="39" spans="2:17">
      <c r="B39" s="289"/>
      <c r="C39" s="289"/>
      <c r="D39" s="289"/>
      <c r="F39" s="40"/>
      <c r="G39" s="46" t="s">
        <v>329</v>
      </c>
      <c r="H39" s="46" t="s">
        <v>329</v>
      </c>
      <c r="I39" s="46" t="s">
        <v>329</v>
      </c>
      <c r="J39" s="46" t="s">
        <v>329</v>
      </c>
      <c r="K39" s="46" t="s">
        <v>329</v>
      </c>
      <c r="L39" s="35"/>
      <c r="M39" s="45" t="s">
        <v>329</v>
      </c>
      <c r="N39" s="45" t="s">
        <v>329</v>
      </c>
      <c r="O39" s="45" t="s">
        <v>329</v>
      </c>
      <c r="P39" s="45" t="s">
        <v>329</v>
      </c>
      <c r="Q39" s="45" t="s">
        <v>329</v>
      </c>
    </row>
    <row r="40" spans="2:17">
      <c r="B40" s="289"/>
      <c r="C40" s="289"/>
      <c r="D40" s="289"/>
      <c r="F40" s="40"/>
      <c r="G40" s="35"/>
      <c r="H40" s="35"/>
      <c r="I40" s="35"/>
      <c r="J40" s="35"/>
      <c r="K40" s="35"/>
      <c r="L40" s="35"/>
      <c r="M40" s="35"/>
      <c r="N40" s="35"/>
      <c r="O40" s="35"/>
      <c r="P40" s="39"/>
      <c r="Q40" s="35"/>
    </row>
    <row r="41" spans="2:17">
      <c r="B41" s="289"/>
      <c r="C41" s="289"/>
      <c r="D41" s="289"/>
      <c r="F41" s="40" t="s">
        <v>540</v>
      </c>
      <c r="G41" s="42" t="s">
        <v>388</v>
      </c>
      <c r="H41" s="43" t="s">
        <v>389</v>
      </c>
      <c r="I41" s="44" t="s">
        <v>390</v>
      </c>
      <c r="J41" s="42" t="s">
        <v>388</v>
      </c>
      <c r="K41" s="46" t="s">
        <v>329</v>
      </c>
      <c r="L41" s="35"/>
      <c r="M41" s="35" t="s">
        <v>400</v>
      </c>
      <c r="N41" s="35" t="s">
        <v>400</v>
      </c>
      <c r="O41" s="35" t="s">
        <v>400</v>
      </c>
      <c r="P41" s="35" t="s">
        <v>400</v>
      </c>
      <c r="Q41" s="45" t="s">
        <v>329</v>
      </c>
    </row>
    <row r="42" spans="2:17">
      <c r="B42" s="289"/>
      <c r="C42" s="289"/>
      <c r="D42" s="289"/>
      <c r="F42" s="40"/>
      <c r="G42" s="43" t="s">
        <v>389</v>
      </c>
      <c r="H42" s="44" t="s">
        <v>390</v>
      </c>
      <c r="I42" s="42" t="s">
        <v>388</v>
      </c>
      <c r="J42" s="43" t="s">
        <v>389</v>
      </c>
      <c r="K42" s="46" t="s">
        <v>329</v>
      </c>
      <c r="L42" s="35"/>
      <c r="M42" s="35" t="s">
        <v>400</v>
      </c>
      <c r="N42" s="35" t="s">
        <v>400</v>
      </c>
      <c r="O42" s="45" t="s">
        <v>401</v>
      </c>
      <c r="P42" s="45" t="s">
        <v>401</v>
      </c>
      <c r="Q42" s="45" t="s">
        <v>329</v>
      </c>
    </row>
    <row r="43" spans="2:17">
      <c r="B43" s="289"/>
      <c r="C43" s="289"/>
      <c r="D43" s="289"/>
      <c r="F43" s="40"/>
      <c r="G43" s="46" t="s">
        <v>329</v>
      </c>
      <c r="H43" s="46" t="s">
        <v>329</v>
      </c>
      <c r="I43" s="46" t="s">
        <v>329</v>
      </c>
      <c r="J43" s="46" t="s">
        <v>329</v>
      </c>
      <c r="K43" s="46" t="s">
        <v>329</v>
      </c>
      <c r="L43" s="35"/>
      <c r="M43" s="45" t="s">
        <v>329</v>
      </c>
      <c r="N43" s="45" t="s">
        <v>329</v>
      </c>
      <c r="O43" s="45" t="s">
        <v>329</v>
      </c>
      <c r="P43" s="45" t="s">
        <v>329</v>
      </c>
      <c r="Q43" s="45" t="s">
        <v>329</v>
      </c>
    </row>
    <row r="44" spans="2:17">
      <c r="B44" s="289"/>
      <c r="C44" s="289"/>
      <c r="D44" s="289"/>
      <c r="F44" s="40"/>
      <c r="G44" s="46" t="s">
        <v>329</v>
      </c>
      <c r="H44" s="46" t="s">
        <v>329</v>
      </c>
      <c r="I44" s="46" t="s">
        <v>329</v>
      </c>
      <c r="J44" s="46" t="s">
        <v>329</v>
      </c>
      <c r="K44" s="46" t="s">
        <v>329</v>
      </c>
      <c r="L44" s="35"/>
      <c r="M44" s="45" t="s">
        <v>329</v>
      </c>
      <c r="N44" s="45" t="s">
        <v>329</v>
      </c>
      <c r="O44" s="45" t="s">
        <v>329</v>
      </c>
      <c r="P44" s="45" t="s">
        <v>329</v>
      </c>
      <c r="Q44" s="45" t="s">
        <v>329</v>
      </c>
    </row>
    <row r="45" spans="2:17">
      <c r="B45" s="289"/>
      <c r="C45" s="289"/>
      <c r="D45" s="289"/>
      <c r="F45" s="40"/>
      <c r="G45" s="35"/>
      <c r="H45" s="35"/>
      <c r="I45" s="35"/>
      <c r="J45" s="35"/>
      <c r="K45" s="35"/>
      <c r="L45" s="35"/>
      <c r="M45" s="35"/>
      <c r="N45" s="35"/>
      <c r="O45" s="35"/>
      <c r="P45" s="39"/>
      <c r="Q45" s="35"/>
    </row>
    <row r="46" spans="2:17">
      <c r="B46" s="289"/>
      <c r="C46" s="289"/>
      <c r="D46" s="289"/>
      <c r="F46" s="40" t="s">
        <v>896</v>
      </c>
      <c r="G46" s="42" t="s">
        <v>388</v>
      </c>
      <c r="H46" s="43" t="s">
        <v>389</v>
      </c>
      <c r="I46" s="44" t="s">
        <v>390</v>
      </c>
      <c r="J46" s="42" t="s">
        <v>388</v>
      </c>
      <c r="K46" s="46" t="s">
        <v>329</v>
      </c>
      <c r="L46" s="35"/>
      <c r="M46" s="35" t="s">
        <v>400</v>
      </c>
      <c r="N46" s="35" t="s">
        <v>400</v>
      </c>
      <c r="O46" s="35" t="s">
        <v>400</v>
      </c>
      <c r="P46" s="35" t="s">
        <v>400</v>
      </c>
      <c r="Q46" s="45" t="s">
        <v>329</v>
      </c>
    </row>
    <row r="47" spans="2:17">
      <c r="B47" s="289"/>
      <c r="C47" s="289"/>
      <c r="D47" s="289"/>
      <c r="F47" s="40"/>
      <c r="G47" s="43" t="s">
        <v>389</v>
      </c>
      <c r="H47" s="44" t="s">
        <v>390</v>
      </c>
      <c r="I47" s="42" t="s">
        <v>388</v>
      </c>
      <c r="J47" s="43" t="s">
        <v>389</v>
      </c>
      <c r="K47" s="46" t="s">
        <v>329</v>
      </c>
      <c r="L47" s="35"/>
      <c r="M47" s="35" t="s">
        <v>400</v>
      </c>
      <c r="N47" s="35" t="s">
        <v>400</v>
      </c>
      <c r="O47" s="45" t="s">
        <v>401</v>
      </c>
      <c r="P47" s="45" t="s">
        <v>401</v>
      </c>
      <c r="Q47" s="45" t="s">
        <v>329</v>
      </c>
    </row>
    <row r="48" spans="2:17">
      <c r="B48" s="289"/>
      <c r="C48" s="289"/>
      <c r="D48" s="289"/>
      <c r="F48" s="40"/>
      <c r="G48" s="46" t="s">
        <v>329</v>
      </c>
      <c r="H48" s="46" t="s">
        <v>329</v>
      </c>
      <c r="I48" s="46" t="s">
        <v>329</v>
      </c>
      <c r="J48" s="46" t="s">
        <v>329</v>
      </c>
      <c r="K48" s="46" t="s">
        <v>329</v>
      </c>
      <c r="L48" s="35"/>
      <c r="M48" s="45" t="s">
        <v>329</v>
      </c>
      <c r="N48" s="45" t="s">
        <v>329</v>
      </c>
      <c r="O48" s="45" t="s">
        <v>329</v>
      </c>
      <c r="P48" s="45" t="s">
        <v>329</v>
      </c>
      <c r="Q48" s="45" t="s">
        <v>329</v>
      </c>
    </row>
    <row r="49" spans="6:17">
      <c r="F49" s="40"/>
      <c r="G49" s="46" t="s">
        <v>329</v>
      </c>
      <c r="H49" s="46" t="s">
        <v>329</v>
      </c>
      <c r="I49" s="46" t="s">
        <v>329</v>
      </c>
      <c r="J49" s="46" t="s">
        <v>329</v>
      </c>
      <c r="K49" s="46" t="s">
        <v>329</v>
      </c>
      <c r="L49" s="35"/>
      <c r="M49" s="45" t="s">
        <v>329</v>
      </c>
      <c r="N49" s="45" t="s">
        <v>329</v>
      </c>
      <c r="O49" s="45" t="s">
        <v>329</v>
      </c>
      <c r="P49" s="45" t="s">
        <v>329</v>
      </c>
      <c r="Q49" s="45" t="s">
        <v>329</v>
      </c>
    </row>
    <row r="50" spans="6:17">
      <c r="F50" s="40"/>
      <c r="G50" s="35"/>
      <c r="H50" s="35"/>
      <c r="I50" s="35"/>
      <c r="J50" s="35"/>
      <c r="K50" s="35"/>
      <c r="L50" s="35"/>
      <c r="M50" s="35"/>
      <c r="N50" s="35"/>
      <c r="O50" s="35"/>
      <c r="P50" s="39"/>
      <c r="Q50" s="35"/>
    </row>
    <row r="51" spans="6:17">
      <c r="F51" s="40" t="s">
        <v>897</v>
      </c>
      <c r="G51" s="42" t="s">
        <v>388</v>
      </c>
      <c r="H51" s="43" t="s">
        <v>389</v>
      </c>
      <c r="I51" s="44" t="s">
        <v>390</v>
      </c>
      <c r="J51" s="42" t="s">
        <v>388</v>
      </c>
      <c r="K51" s="46" t="s">
        <v>329</v>
      </c>
      <c r="L51" s="35"/>
      <c r="M51" s="35" t="s">
        <v>400</v>
      </c>
      <c r="N51" s="35" t="s">
        <v>400</v>
      </c>
      <c r="O51" s="35" t="s">
        <v>400</v>
      </c>
      <c r="P51" s="35" t="s">
        <v>400</v>
      </c>
      <c r="Q51" s="45" t="s">
        <v>329</v>
      </c>
    </row>
    <row r="52" spans="6:17">
      <c r="F52" s="40"/>
      <c r="G52" s="43" t="s">
        <v>389</v>
      </c>
      <c r="H52" s="44" t="s">
        <v>390</v>
      </c>
      <c r="I52" s="42" t="s">
        <v>388</v>
      </c>
      <c r="J52" s="43" t="s">
        <v>389</v>
      </c>
      <c r="K52" s="46" t="s">
        <v>329</v>
      </c>
      <c r="L52" s="35"/>
      <c r="M52" s="35" t="s">
        <v>400</v>
      </c>
      <c r="N52" s="35" t="s">
        <v>400</v>
      </c>
      <c r="O52" s="45" t="s">
        <v>401</v>
      </c>
      <c r="P52" s="45" t="s">
        <v>401</v>
      </c>
      <c r="Q52" s="45" t="s">
        <v>329</v>
      </c>
    </row>
    <row r="53" spans="6:17">
      <c r="F53" s="40"/>
      <c r="G53" s="44" t="s">
        <v>390</v>
      </c>
      <c r="H53" s="42" t="s">
        <v>388</v>
      </c>
      <c r="I53" s="43" t="s">
        <v>389</v>
      </c>
      <c r="J53" s="44" t="s">
        <v>390</v>
      </c>
      <c r="K53" s="46" t="s">
        <v>329</v>
      </c>
      <c r="L53" s="35"/>
      <c r="M53" s="45" t="s">
        <v>401</v>
      </c>
      <c r="N53" s="45" t="s">
        <v>401</v>
      </c>
      <c r="O53" s="45" t="s">
        <v>401</v>
      </c>
      <c r="P53" s="45" t="s">
        <v>401</v>
      </c>
      <c r="Q53" s="45" t="s">
        <v>329</v>
      </c>
    </row>
    <row r="54" spans="6:17">
      <c r="F54" s="40"/>
      <c r="G54" s="46" t="s">
        <v>329</v>
      </c>
      <c r="H54" s="46" t="s">
        <v>329</v>
      </c>
      <c r="I54" s="46" t="s">
        <v>329</v>
      </c>
      <c r="J54" s="46" t="s">
        <v>329</v>
      </c>
      <c r="K54" s="46" t="s">
        <v>329</v>
      </c>
      <c r="L54" s="35"/>
      <c r="M54" s="45" t="s">
        <v>329</v>
      </c>
      <c r="N54" s="45" t="s">
        <v>329</v>
      </c>
      <c r="O54" s="45" t="s">
        <v>329</v>
      </c>
      <c r="P54" s="45" t="s">
        <v>329</v>
      </c>
      <c r="Q54" s="45" t="s">
        <v>329</v>
      </c>
    </row>
    <row r="55" spans="6:17">
      <c r="F55" s="40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</row>
    <row r="56" spans="6:17">
      <c r="F56" s="40" t="s">
        <v>1619</v>
      </c>
      <c r="G56" s="42" t="s">
        <v>388</v>
      </c>
      <c r="H56" s="43" t="s">
        <v>389</v>
      </c>
      <c r="I56" s="44" t="s">
        <v>390</v>
      </c>
      <c r="J56" s="46" t="s">
        <v>329</v>
      </c>
      <c r="K56" s="46" t="s">
        <v>329</v>
      </c>
      <c r="L56" s="35"/>
      <c r="M56" s="35" t="s">
        <v>400</v>
      </c>
      <c r="N56" s="35" t="s">
        <v>400</v>
      </c>
      <c r="O56" s="35" t="s">
        <v>400</v>
      </c>
      <c r="P56" s="45" t="s">
        <v>329</v>
      </c>
      <c r="Q56" s="45" t="s">
        <v>329</v>
      </c>
    </row>
    <row r="57" spans="6:17">
      <c r="F57" s="40"/>
      <c r="G57" s="46" t="s">
        <v>329</v>
      </c>
      <c r="H57" s="46" t="s">
        <v>329</v>
      </c>
      <c r="I57" s="46" t="s">
        <v>329</v>
      </c>
      <c r="J57" s="46" t="s">
        <v>329</v>
      </c>
      <c r="K57" s="46" t="s">
        <v>329</v>
      </c>
      <c r="L57" s="35"/>
      <c r="M57" s="45" t="s">
        <v>329</v>
      </c>
      <c r="N57" s="45" t="s">
        <v>329</v>
      </c>
      <c r="O57" s="45" t="s">
        <v>329</v>
      </c>
      <c r="P57" s="45" t="s">
        <v>329</v>
      </c>
      <c r="Q57" s="45" t="s">
        <v>329</v>
      </c>
    </row>
    <row r="58" spans="6:17">
      <c r="F58" s="40"/>
      <c r="G58" s="46" t="s">
        <v>329</v>
      </c>
      <c r="H58" s="46" t="s">
        <v>329</v>
      </c>
      <c r="I58" s="46" t="s">
        <v>329</v>
      </c>
      <c r="J58" s="46" t="s">
        <v>329</v>
      </c>
      <c r="K58" s="46" t="s">
        <v>329</v>
      </c>
      <c r="L58" s="35"/>
      <c r="M58" s="45" t="s">
        <v>329</v>
      </c>
      <c r="N58" s="45" t="s">
        <v>329</v>
      </c>
      <c r="O58" s="45" t="s">
        <v>329</v>
      </c>
      <c r="P58" s="45" t="s">
        <v>329</v>
      </c>
      <c r="Q58" s="45" t="s">
        <v>329</v>
      </c>
    </row>
    <row r="59" spans="6:17">
      <c r="F59" s="40"/>
      <c r="G59" s="46" t="s">
        <v>329</v>
      </c>
      <c r="H59" s="46" t="s">
        <v>329</v>
      </c>
      <c r="I59" s="46" t="s">
        <v>329</v>
      </c>
      <c r="J59" s="46" t="s">
        <v>329</v>
      </c>
      <c r="K59" s="46" t="s">
        <v>329</v>
      </c>
      <c r="L59" s="35"/>
      <c r="M59" s="45" t="s">
        <v>329</v>
      </c>
      <c r="N59" s="45" t="s">
        <v>329</v>
      </c>
      <c r="O59" s="45" t="s">
        <v>329</v>
      </c>
      <c r="P59" s="45" t="s">
        <v>329</v>
      </c>
      <c r="Q59" s="45" t="s">
        <v>329</v>
      </c>
    </row>
    <row r="60" spans="6:17">
      <c r="F60" s="40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</row>
    <row r="61" spans="6:17">
      <c r="F61" s="40" t="s">
        <v>906</v>
      </c>
      <c r="G61" s="42" t="s">
        <v>388</v>
      </c>
      <c r="H61" s="43" t="s">
        <v>389</v>
      </c>
      <c r="I61" s="44" t="s">
        <v>390</v>
      </c>
      <c r="J61" s="46" t="s">
        <v>329</v>
      </c>
      <c r="K61" s="46" t="s">
        <v>329</v>
      </c>
      <c r="L61" s="35"/>
      <c r="M61" s="35" t="s">
        <v>400</v>
      </c>
      <c r="N61" s="35" t="s">
        <v>400</v>
      </c>
      <c r="O61" s="35" t="s">
        <v>400</v>
      </c>
      <c r="P61" s="45" t="s">
        <v>329</v>
      </c>
      <c r="Q61" s="45" t="s">
        <v>329</v>
      </c>
    </row>
    <row r="62" spans="6:17">
      <c r="F62" s="40"/>
      <c r="G62" s="46" t="s">
        <v>329</v>
      </c>
      <c r="H62" s="46" t="s">
        <v>329</v>
      </c>
      <c r="I62" s="46" t="s">
        <v>329</v>
      </c>
      <c r="J62" s="46" t="s">
        <v>329</v>
      </c>
      <c r="K62" s="46" t="s">
        <v>329</v>
      </c>
      <c r="L62" s="35"/>
      <c r="M62" s="45" t="s">
        <v>329</v>
      </c>
      <c r="N62" s="45" t="s">
        <v>329</v>
      </c>
      <c r="O62" s="45" t="s">
        <v>329</v>
      </c>
      <c r="P62" s="45" t="s">
        <v>329</v>
      </c>
      <c r="Q62" s="45" t="s">
        <v>329</v>
      </c>
    </row>
    <row r="63" spans="6:17">
      <c r="F63" s="40"/>
      <c r="G63" s="46" t="s">
        <v>329</v>
      </c>
      <c r="H63" s="46" t="s">
        <v>329</v>
      </c>
      <c r="I63" s="46" t="s">
        <v>329</v>
      </c>
      <c r="J63" s="46" t="s">
        <v>329</v>
      </c>
      <c r="K63" s="46" t="s">
        <v>329</v>
      </c>
      <c r="L63" s="35"/>
      <c r="M63" s="45" t="s">
        <v>329</v>
      </c>
      <c r="N63" s="45" t="s">
        <v>329</v>
      </c>
      <c r="O63" s="45" t="s">
        <v>329</v>
      </c>
      <c r="P63" s="45" t="s">
        <v>329</v>
      </c>
      <c r="Q63" s="45" t="s">
        <v>329</v>
      </c>
    </row>
    <row r="64" spans="6:17">
      <c r="F64" s="40"/>
      <c r="G64" s="46" t="s">
        <v>329</v>
      </c>
      <c r="H64" s="46" t="s">
        <v>329</v>
      </c>
      <c r="I64" s="46" t="s">
        <v>329</v>
      </c>
      <c r="J64" s="46" t="s">
        <v>329</v>
      </c>
      <c r="K64" s="46" t="s">
        <v>329</v>
      </c>
      <c r="L64" s="35"/>
      <c r="M64" s="45" t="s">
        <v>329</v>
      </c>
      <c r="N64" s="45" t="s">
        <v>329</v>
      </c>
      <c r="O64" s="45" t="s">
        <v>329</v>
      </c>
      <c r="P64" s="45" t="s">
        <v>329</v>
      </c>
      <c r="Q64" s="45" t="s">
        <v>329</v>
      </c>
    </row>
    <row r="65" spans="6:17">
      <c r="F65" s="40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</row>
    <row r="66" spans="6:17">
      <c r="F66" s="40" t="s">
        <v>908</v>
      </c>
      <c r="G66" s="42" t="s">
        <v>388</v>
      </c>
      <c r="H66" s="43" t="s">
        <v>389</v>
      </c>
      <c r="I66" s="44" t="s">
        <v>390</v>
      </c>
      <c r="J66" s="46" t="s">
        <v>329</v>
      </c>
      <c r="K66" s="46" t="s">
        <v>329</v>
      </c>
      <c r="L66" s="35"/>
      <c r="M66" s="35" t="s">
        <v>400</v>
      </c>
      <c r="N66" s="35" t="s">
        <v>400</v>
      </c>
      <c r="O66" s="35" t="s">
        <v>400</v>
      </c>
      <c r="P66" s="45" t="s">
        <v>329</v>
      </c>
      <c r="Q66" s="45" t="s">
        <v>329</v>
      </c>
    </row>
    <row r="67" spans="6:17">
      <c r="F67" s="40"/>
      <c r="G67" s="46" t="s">
        <v>329</v>
      </c>
      <c r="H67" s="46" t="s">
        <v>329</v>
      </c>
      <c r="I67" s="46" t="s">
        <v>329</v>
      </c>
      <c r="J67" s="46" t="s">
        <v>329</v>
      </c>
      <c r="K67" s="46" t="s">
        <v>329</v>
      </c>
      <c r="L67" s="35"/>
      <c r="M67" s="45" t="s">
        <v>329</v>
      </c>
      <c r="N67" s="45" t="s">
        <v>329</v>
      </c>
      <c r="O67" s="45" t="s">
        <v>329</v>
      </c>
      <c r="P67" s="45" t="s">
        <v>329</v>
      </c>
      <c r="Q67" s="45" t="s">
        <v>329</v>
      </c>
    </row>
    <row r="68" spans="6:17">
      <c r="F68" s="40"/>
      <c r="G68" s="46" t="s">
        <v>329</v>
      </c>
      <c r="H68" s="46" t="s">
        <v>329</v>
      </c>
      <c r="I68" s="46" t="s">
        <v>329</v>
      </c>
      <c r="J68" s="46" t="s">
        <v>329</v>
      </c>
      <c r="K68" s="46" t="s">
        <v>329</v>
      </c>
      <c r="L68" s="35"/>
      <c r="M68" s="45" t="s">
        <v>329</v>
      </c>
      <c r="N68" s="45" t="s">
        <v>329</v>
      </c>
      <c r="O68" s="45" t="s">
        <v>329</v>
      </c>
      <c r="P68" s="45" t="s">
        <v>329</v>
      </c>
      <c r="Q68" s="45" t="s">
        <v>329</v>
      </c>
    </row>
    <row r="69" spans="6:17">
      <c r="F69" s="40"/>
      <c r="G69" s="46" t="s">
        <v>329</v>
      </c>
      <c r="H69" s="46" t="s">
        <v>329</v>
      </c>
      <c r="I69" s="46" t="s">
        <v>329</v>
      </c>
      <c r="J69" s="46" t="s">
        <v>329</v>
      </c>
      <c r="K69" s="46" t="s">
        <v>329</v>
      </c>
      <c r="L69" s="35"/>
      <c r="M69" s="45" t="s">
        <v>329</v>
      </c>
      <c r="N69" s="45" t="s">
        <v>329</v>
      </c>
      <c r="O69" s="45" t="s">
        <v>329</v>
      </c>
      <c r="P69" s="45" t="s">
        <v>329</v>
      </c>
      <c r="Q69" s="45" t="s">
        <v>329</v>
      </c>
    </row>
    <row r="70" spans="6:17">
      <c r="F70" s="40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</row>
    <row r="71" spans="6:17">
      <c r="F71" s="40" t="s">
        <v>911</v>
      </c>
      <c r="G71" s="42" t="s">
        <v>388</v>
      </c>
      <c r="H71" s="48"/>
      <c r="I71" s="43"/>
      <c r="J71" s="48"/>
      <c r="K71" s="48"/>
      <c r="L71" s="35"/>
      <c r="M71" s="35" t="s">
        <v>400</v>
      </c>
      <c r="N71" s="35" t="s">
        <v>329</v>
      </c>
      <c r="O71" s="35" t="s">
        <v>329</v>
      </c>
      <c r="P71" s="35" t="s">
        <v>329</v>
      </c>
      <c r="Q71" s="35" t="s">
        <v>329</v>
      </c>
    </row>
    <row r="72" spans="6:17">
      <c r="F72" s="40"/>
      <c r="G72" s="43"/>
      <c r="H72" s="48"/>
      <c r="I72" s="48"/>
      <c r="J72" s="43"/>
      <c r="K72" s="43"/>
      <c r="L72" s="35"/>
      <c r="M72" s="35" t="s">
        <v>329</v>
      </c>
      <c r="N72" s="35" t="s">
        <v>329</v>
      </c>
      <c r="O72" s="35" t="s">
        <v>329</v>
      </c>
      <c r="P72" s="35" t="s">
        <v>329</v>
      </c>
      <c r="Q72" s="35" t="s">
        <v>329</v>
      </c>
    </row>
    <row r="73" spans="6:17">
      <c r="F73" s="40"/>
      <c r="G73" s="46"/>
      <c r="H73" s="46"/>
      <c r="I73" s="46"/>
      <c r="J73" s="46"/>
      <c r="K73" s="46"/>
      <c r="L73" s="35"/>
      <c r="M73" s="45" t="s">
        <v>329</v>
      </c>
      <c r="N73" s="35" t="s">
        <v>329</v>
      </c>
      <c r="O73" s="35" t="s">
        <v>329</v>
      </c>
      <c r="P73" s="35" t="s">
        <v>329</v>
      </c>
      <c r="Q73" s="35" t="s">
        <v>329</v>
      </c>
    </row>
    <row r="74" spans="6:17">
      <c r="F74" s="40"/>
      <c r="G74" s="46"/>
      <c r="H74" s="46"/>
      <c r="I74" s="46"/>
      <c r="J74" s="46"/>
      <c r="K74" s="46"/>
      <c r="L74" s="35"/>
      <c r="M74" s="45" t="s">
        <v>329</v>
      </c>
      <c r="N74" s="35" t="s">
        <v>329</v>
      </c>
      <c r="O74" s="35" t="s">
        <v>329</v>
      </c>
      <c r="P74" s="35" t="s">
        <v>329</v>
      </c>
      <c r="Q74" s="35" t="s">
        <v>329</v>
      </c>
    </row>
    <row r="75" spans="6:17">
      <c r="F75" s="40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</row>
    <row r="76" spans="6:17">
      <c r="F76" s="40" t="s">
        <v>912</v>
      </c>
      <c r="G76" s="42" t="s">
        <v>388</v>
      </c>
      <c r="H76" s="48"/>
      <c r="I76" s="43"/>
      <c r="J76" s="48"/>
      <c r="K76" s="48"/>
      <c r="L76" s="35"/>
      <c r="M76" s="35" t="s">
        <v>400</v>
      </c>
      <c r="N76" s="35" t="s">
        <v>329</v>
      </c>
      <c r="O76" s="35" t="s">
        <v>329</v>
      </c>
      <c r="P76" s="35" t="s">
        <v>329</v>
      </c>
      <c r="Q76" s="35" t="s">
        <v>329</v>
      </c>
    </row>
    <row r="77" spans="6:17">
      <c r="F77" s="40"/>
      <c r="G77" s="43"/>
      <c r="H77" s="48"/>
      <c r="I77" s="48"/>
      <c r="J77" s="43"/>
      <c r="K77" s="43"/>
      <c r="L77" s="35"/>
      <c r="M77" s="35" t="s">
        <v>329</v>
      </c>
      <c r="N77" s="35" t="s">
        <v>329</v>
      </c>
      <c r="O77" s="35" t="s">
        <v>329</v>
      </c>
      <c r="P77" s="35" t="s">
        <v>329</v>
      </c>
      <c r="Q77" s="35" t="s">
        <v>329</v>
      </c>
    </row>
    <row r="78" spans="6:17">
      <c r="F78" s="40"/>
      <c r="G78" s="46"/>
      <c r="H78" s="46"/>
      <c r="I78" s="46"/>
      <c r="J78" s="46"/>
      <c r="K78" s="46"/>
      <c r="L78" s="35"/>
      <c r="M78" s="45" t="s">
        <v>329</v>
      </c>
      <c r="N78" s="35" t="s">
        <v>329</v>
      </c>
      <c r="O78" s="35" t="s">
        <v>329</v>
      </c>
      <c r="P78" s="35" t="s">
        <v>329</v>
      </c>
      <c r="Q78" s="35" t="s">
        <v>329</v>
      </c>
    </row>
    <row r="79" spans="6:17">
      <c r="F79" s="40"/>
      <c r="G79" s="46"/>
      <c r="H79" s="46"/>
      <c r="I79" s="46"/>
      <c r="J79" s="46"/>
      <c r="K79" s="46"/>
      <c r="L79" s="35"/>
      <c r="M79" s="45" t="s">
        <v>329</v>
      </c>
      <c r="N79" s="35" t="s">
        <v>329</v>
      </c>
      <c r="O79" s="35" t="s">
        <v>329</v>
      </c>
      <c r="P79" s="35" t="s">
        <v>329</v>
      </c>
      <c r="Q79" s="35" t="s">
        <v>329</v>
      </c>
    </row>
    <row r="80" spans="6:17">
      <c r="F80" s="40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</row>
    <row r="81" spans="6:17">
      <c r="F81" s="40" t="s">
        <v>884</v>
      </c>
      <c r="G81" s="41" t="s">
        <v>387</v>
      </c>
      <c r="H81" s="42" t="s">
        <v>388</v>
      </c>
      <c r="I81" s="43" t="s">
        <v>389</v>
      </c>
      <c r="J81" s="44" t="s">
        <v>390</v>
      </c>
      <c r="K81" s="42" t="s">
        <v>388</v>
      </c>
      <c r="L81" s="35"/>
      <c r="M81" s="45" t="s">
        <v>387</v>
      </c>
      <c r="N81" s="45" t="s">
        <v>400</v>
      </c>
      <c r="O81" s="45" t="s">
        <v>400</v>
      </c>
      <c r="P81" s="45" t="s">
        <v>400</v>
      </c>
      <c r="Q81" s="45" t="s">
        <v>400</v>
      </c>
    </row>
    <row r="82" spans="6:17">
      <c r="F82" s="40"/>
      <c r="G82" s="43" t="s">
        <v>389</v>
      </c>
      <c r="H82" s="44" t="s">
        <v>390</v>
      </c>
      <c r="I82" s="42" t="s">
        <v>388</v>
      </c>
      <c r="J82" s="43" t="s">
        <v>389</v>
      </c>
      <c r="K82" s="44" t="s">
        <v>390</v>
      </c>
      <c r="L82" s="35"/>
      <c r="M82" s="45" t="s">
        <v>400</v>
      </c>
      <c r="N82" s="45" t="s">
        <v>400</v>
      </c>
      <c r="O82" s="45" t="s">
        <v>401</v>
      </c>
      <c r="P82" s="45" t="s">
        <v>401</v>
      </c>
      <c r="Q82" s="35" t="s">
        <v>401</v>
      </c>
    </row>
    <row r="83" spans="6:17">
      <c r="F83" s="40"/>
      <c r="G83" s="46" t="s">
        <v>329</v>
      </c>
      <c r="H83" s="46" t="s">
        <v>329</v>
      </c>
      <c r="I83" s="46" t="s">
        <v>329</v>
      </c>
      <c r="J83" s="46" t="s">
        <v>329</v>
      </c>
      <c r="K83" s="46" t="s">
        <v>329</v>
      </c>
      <c r="L83" s="35"/>
      <c r="M83" s="45" t="s">
        <v>329</v>
      </c>
      <c r="N83" s="45" t="s">
        <v>329</v>
      </c>
      <c r="O83" s="45" t="s">
        <v>329</v>
      </c>
      <c r="P83" s="45" t="s">
        <v>329</v>
      </c>
      <c r="Q83" s="45" t="s">
        <v>329</v>
      </c>
    </row>
    <row r="84" spans="6:17">
      <c r="F84" s="40"/>
      <c r="G84" s="46" t="s">
        <v>329</v>
      </c>
      <c r="H84" s="46" t="s">
        <v>329</v>
      </c>
      <c r="I84" s="46" t="s">
        <v>329</v>
      </c>
      <c r="J84" s="46" t="s">
        <v>329</v>
      </c>
      <c r="K84" s="46" t="s">
        <v>329</v>
      </c>
      <c r="L84" s="35"/>
      <c r="M84" s="45" t="s">
        <v>329</v>
      </c>
      <c r="N84" s="45" t="s">
        <v>329</v>
      </c>
      <c r="O84" s="45" t="s">
        <v>329</v>
      </c>
      <c r="P84" s="45" t="s">
        <v>329</v>
      </c>
      <c r="Q84" s="45" t="s">
        <v>329</v>
      </c>
    </row>
    <row r="85" spans="6:17">
      <c r="F85" s="40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</row>
    <row r="86" spans="6:17">
      <c r="F86" s="40" t="s">
        <v>1620</v>
      </c>
      <c r="G86" s="41" t="s">
        <v>387</v>
      </c>
      <c r="H86" s="42" t="s">
        <v>388</v>
      </c>
      <c r="I86" s="43" t="s">
        <v>389</v>
      </c>
      <c r="J86" s="44" t="s">
        <v>390</v>
      </c>
      <c r="K86" s="42" t="s">
        <v>388</v>
      </c>
      <c r="L86" s="35"/>
      <c r="M86" s="45" t="s">
        <v>387</v>
      </c>
      <c r="N86" s="45" t="s">
        <v>400</v>
      </c>
      <c r="O86" s="45" t="s">
        <v>400</v>
      </c>
      <c r="P86" s="45" t="s">
        <v>400</v>
      </c>
      <c r="Q86" s="45" t="s">
        <v>400</v>
      </c>
    </row>
    <row r="87" spans="6:17">
      <c r="F87" s="40"/>
      <c r="G87" s="43" t="s">
        <v>389</v>
      </c>
      <c r="H87" s="44" t="s">
        <v>390</v>
      </c>
      <c r="I87" s="42" t="s">
        <v>388</v>
      </c>
      <c r="J87" s="43" t="s">
        <v>389</v>
      </c>
      <c r="K87" s="44" t="s">
        <v>390</v>
      </c>
      <c r="L87" s="35"/>
      <c r="M87" s="45" t="s">
        <v>400</v>
      </c>
      <c r="N87" s="45" t="s">
        <v>400</v>
      </c>
      <c r="O87" s="45" t="s">
        <v>401</v>
      </c>
      <c r="P87" s="45" t="s">
        <v>401</v>
      </c>
      <c r="Q87" s="35" t="s">
        <v>401</v>
      </c>
    </row>
    <row r="88" spans="6:17">
      <c r="F88" s="40"/>
      <c r="G88" s="46" t="s">
        <v>329</v>
      </c>
      <c r="H88" s="46" t="s">
        <v>329</v>
      </c>
      <c r="I88" s="46" t="s">
        <v>329</v>
      </c>
      <c r="J88" s="46" t="s">
        <v>329</v>
      </c>
      <c r="K88" s="46" t="s">
        <v>329</v>
      </c>
      <c r="L88" s="35"/>
      <c r="M88" s="45" t="s">
        <v>329</v>
      </c>
      <c r="N88" s="45" t="s">
        <v>329</v>
      </c>
      <c r="O88" s="45" t="s">
        <v>329</v>
      </c>
      <c r="P88" s="45" t="s">
        <v>329</v>
      </c>
      <c r="Q88" s="45" t="s">
        <v>329</v>
      </c>
    </row>
    <row r="89" spans="6:17">
      <c r="F89" s="40"/>
      <c r="G89" s="46" t="s">
        <v>329</v>
      </c>
      <c r="H89" s="46" t="s">
        <v>329</v>
      </c>
      <c r="I89" s="46" t="s">
        <v>329</v>
      </c>
      <c r="J89" s="46" t="s">
        <v>329</v>
      </c>
      <c r="K89" s="46" t="s">
        <v>329</v>
      </c>
      <c r="L89" s="35"/>
      <c r="M89" s="45" t="s">
        <v>329</v>
      </c>
      <c r="N89" s="45" t="s">
        <v>329</v>
      </c>
      <c r="O89" s="45" t="s">
        <v>329</v>
      </c>
      <c r="P89" s="45" t="s">
        <v>329</v>
      </c>
      <c r="Q89" s="45" t="s">
        <v>329</v>
      </c>
    </row>
    <row r="91" spans="6:17">
      <c r="F91" s="40" t="s">
        <v>903</v>
      </c>
      <c r="G91" s="42" t="s">
        <v>388</v>
      </c>
      <c r="H91" s="42" t="s">
        <v>388</v>
      </c>
      <c r="I91" s="42" t="s">
        <v>388</v>
      </c>
      <c r="J91" s="42" t="s">
        <v>388</v>
      </c>
      <c r="K91" s="46" t="s">
        <v>329</v>
      </c>
      <c r="L91" s="35"/>
      <c r="M91" s="45" t="s">
        <v>400</v>
      </c>
      <c r="N91" s="45" t="s">
        <v>400</v>
      </c>
      <c r="O91" s="45" t="s">
        <v>401</v>
      </c>
      <c r="P91" s="45" t="s">
        <v>401</v>
      </c>
      <c r="Q91" s="45" t="s">
        <v>329</v>
      </c>
    </row>
    <row r="92" spans="6:17">
      <c r="F92" s="40"/>
      <c r="G92" s="43" t="s">
        <v>389</v>
      </c>
      <c r="H92" s="43" t="s">
        <v>389</v>
      </c>
      <c r="I92" s="43" t="s">
        <v>389</v>
      </c>
      <c r="J92" s="43" t="s">
        <v>389</v>
      </c>
      <c r="K92" s="46" t="s">
        <v>329</v>
      </c>
      <c r="L92" s="35"/>
      <c r="M92" s="45" t="s">
        <v>400</v>
      </c>
      <c r="N92" s="45" t="s">
        <v>400</v>
      </c>
      <c r="O92" s="45" t="s">
        <v>401</v>
      </c>
      <c r="P92" s="45" t="s">
        <v>401</v>
      </c>
      <c r="Q92" s="45" t="s">
        <v>329</v>
      </c>
    </row>
    <row r="93" spans="6:17">
      <c r="F93" s="40"/>
      <c r="G93" s="44" t="s">
        <v>390</v>
      </c>
      <c r="H93" s="44" t="s">
        <v>390</v>
      </c>
      <c r="I93" s="44" t="s">
        <v>390</v>
      </c>
      <c r="J93" s="44" t="s">
        <v>390</v>
      </c>
      <c r="K93" s="46" t="s">
        <v>329</v>
      </c>
      <c r="L93" s="35"/>
      <c r="M93" s="45" t="s">
        <v>400</v>
      </c>
      <c r="N93" s="45" t="s">
        <v>400</v>
      </c>
      <c r="O93" s="45" t="s">
        <v>401</v>
      </c>
      <c r="P93" s="45" t="s">
        <v>401</v>
      </c>
      <c r="Q93" s="45" t="s">
        <v>329</v>
      </c>
    </row>
    <row r="94" spans="6:17">
      <c r="F94" s="40"/>
      <c r="G94" s="46" t="s">
        <v>329</v>
      </c>
      <c r="H94" s="46" t="s">
        <v>329</v>
      </c>
      <c r="I94" s="46" t="s">
        <v>329</v>
      </c>
      <c r="J94" s="46" t="s">
        <v>329</v>
      </c>
      <c r="K94" s="46" t="s">
        <v>329</v>
      </c>
      <c r="L94" s="35"/>
      <c r="M94" s="45" t="s">
        <v>329</v>
      </c>
      <c r="N94" s="45" t="s">
        <v>329</v>
      </c>
      <c r="O94" s="45" t="s">
        <v>329</v>
      </c>
      <c r="P94" s="45" t="s">
        <v>329</v>
      </c>
      <c r="Q94" s="45" t="s">
        <v>329</v>
      </c>
    </row>
    <row r="96" spans="6:17">
      <c r="F96" s="40" t="s">
        <v>905</v>
      </c>
      <c r="G96" s="42" t="s">
        <v>388</v>
      </c>
      <c r="H96" s="42" t="s">
        <v>388</v>
      </c>
      <c r="I96" s="42" t="s">
        <v>388</v>
      </c>
      <c r="J96" s="42" t="s">
        <v>388</v>
      </c>
      <c r="K96" s="46" t="s">
        <v>329</v>
      </c>
      <c r="L96" s="35"/>
      <c r="M96" s="45" t="s">
        <v>400</v>
      </c>
      <c r="N96" s="45" t="s">
        <v>400</v>
      </c>
      <c r="O96" s="45" t="s">
        <v>401</v>
      </c>
      <c r="P96" s="45" t="s">
        <v>401</v>
      </c>
      <c r="Q96" s="45" t="s">
        <v>329</v>
      </c>
    </row>
    <row r="97" spans="6:17">
      <c r="F97" s="40"/>
      <c r="G97" s="43" t="s">
        <v>389</v>
      </c>
      <c r="H97" s="43" t="s">
        <v>389</v>
      </c>
      <c r="I97" s="43" t="s">
        <v>389</v>
      </c>
      <c r="J97" s="43" t="s">
        <v>389</v>
      </c>
      <c r="K97" s="46" t="s">
        <v>329</v>
      </c>
      <c r="L97" s="35"/>
      <c r="M97" s="45" t="s">
        <v>400</v>
      </c>
      <c r="N97" s="45" t="s">
        <v>400</v>
      </c>
      <c r="O97" s="45" t="s">
        <v>401</v>
      </c>
      <c r="P97" s="45" t="s">
        <v>401</v>
      </c>
      <c r="Q97" s="45" t="s">
        <v>329</v>
      </c>
    </row>
    <row r="98" spans="6:17">
      <c r="F98" s="40"/>
      <c r="G98" s="44" t="s">
        <v>390</v>
      </c>
      <c r="H98" s="44" t="s">
        <v>390</v>
      </c>
      <c r="I98" s="44" t="s">
        <v>390</v>
      </c>
      <c r="J98" s="44" t="s">
        <v>390</v>
      </c>
      <c r="K98" s="46" t="s">
        <v>329</v>
      </c>
      <c r="L98" s="35"/>
      <c r="M98" s="45" t="s">
        <v>400</v>
      </c>
      <c r="N98" s="45" t="s">
        <v>400</v>
      </c>
      <c r="O98" s="45" t="s">
        <v>401</v>
      </c>
      <c r="P98" s="45" t="s">
        <v>401</v>
      </c>
      <c r="Q98" s="45" t="s">
        <v>329</v>
      </c>
    </row>
    <row r="99" spans="6:17">
      <c r="F99" s="40"/>
      <c r="G99" s="46" t="s">
        <v>329</v>
      </c>
      <c r="H99" s="46" t="s">
        <v>329</v>
      </c>
      <c r="I99" s="46" t="s">
        <v>329</v>
      </c>
      <c r="J99" s="46" t="s">
        <v>329</v>
      </c>
      <c r="K99" s="46" t="s">
        <v>329</v>
      </c>
      <c r="L99" s="35"/>
      <c r="M99" s="45" t="s">
        <v>329</v>
      </c>
      <c r="N99" s="45" t="s">
        <v>329</v>
      </c>
      <c r="O99" s="45" t="s">
        <v>329</v>
      </c>
      <c r="P99" s="45" t="s">
        <v>329</v>
      </c>
      <c r="Q99" s="45" t="s">
        <v>329</v>
      </c>
    </row>
  </sheetData>
  <mergeCells count="27"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F2:N4"/>
    <mergeCell ref="B26:D26"/>
    <mergeCell ref="B27:D27"/>
    <mergeCell ref="B28:D28"/>
    <mergeCell ref="B29:D29"/>
    <mergeCell ref="B30:D30"/>
    <mergeCell ref="F8:K8"/>
    <mergeCell ref="M8:Q8"/>
    <mergeCell ref="G9:K9"/>
    <mergeCell ref="B31:D31"/>
    <mergeCell ref="B32:D32"/>
    <mergeCell ref="B33:D33"/>
    <mergeCell ref="B34:D34"/>
    <mergeCell ref="B35:D35"/>
  </mergeCells>
  <hyperlinks>
    <hyperlink ref="B10" location="'DASH'!A1" display="DASHBOARD" xr:uid="{8CE9994F-4C35-4633-81A1-E27AE976C6CD}"/>
    <hyperlink ref="B11" location="'DES-GL'!A1" display="DESIGN GUIDELINES" xr:uid="{ADEAA6BE-D990-4D2A-AA01-A95702AECF5F}"/>
    <hyperlink ref="B13" location="'EXT-MAINS-DT'!A1" display="EXISTING POWER DESIGN" xr:uid="{6C8BACBA-AC9A-4AA9-8E59-2066283CF23D}"/>
    <hyperlink ref="B14" location="'EXT-CALC'!A1" display="EXISTING DEMAND" xr:uid="{F5C73396-08D5-4C7F-BFE6-5335B56BB7A0}"/>
    <hyperlink ref="B16" location="'CALC'!A1" display="POWER CALCULATOR" xr:uid="{5EC4C9D7-5567-46E1-AD45-82D2B609EF50}"/>
    <hyperlink ref="B17" location="'PLBC-CALC'!A1" display="PLBC CALCULATOR" xr:uid="{4E20F8D4-C640-4723-88E2-A2E302810B3B}"/>
    <hyperlink ref="B18" location="'VDC'!A1" display="VD CALCULATOR" xr:uid="{EDABCCF4-B6CE-4A44-83ED-A85C093CA488}"/>
    <hyperlink ref="B20" location="'PRP-SOL'!A1" display="PROPOSED POWER DESIGN" xr:uid="{B0F3BE1C-5C44-4EED-8DA3-104D1C2AC645}"/>
    <hyperlink ref="B25" location="'DC'!A1" display="DOCUMENT CONTROL" xr:uid="{34330150-975C-4B83-830A-D92B03D74052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FAADC-790D-4793-8214-ACD35D3BF47E}">
  <sheetPr codeName="Sheet23"/>
  <dimension ref="B1:N48"/>
  <sheetViews>
    <sheetView showGridLines="0" topLeftCell="B2" zoomScale="115" zoomScaleNormal="115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9.5703125" customWidth="1"/>
    <col min="7" max="7" width="20.28515625" customWidth="1"/>
    <col min="8" max="8" width="36.28515625" customWidth="1"/>
    <col min="9" max="9" width="9.28515625" customWidth="1"/>
    <col min="10" max="10" width="14.7109375" customWidth="1"/>
    <col min="11" max="11" width="62.7109375" customWidth="1"/>
    <col min="12" max="12" width="18.28515625" customWidth="1"/>
    <col min="13" max="13" width="22.28515625" customWidth="1"/>
    <col min="14" max="14" width="25.7109375" customWidth="1"/>
    <col min="15" max="15" width="23" customWidth="1"/>
    <col min="16" max="16" width="21" customWidth="1"/>
    <col min="17" max="17" width="15.28515625" customWidth="1"/>
    <col min="18" max="18" width="20.28515625" customWidth="1"/>
    <col min="19" max="19" width="20.7109375" customWidth="1"/>
    <col min="20" max="20" width="16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4" ht="15" hidden="1" customHeight="1"/>
    <row r="2" spans="2:14" ht="15" customHeight="1">
      <c r="F2" s="287" t="s">
        <v>581</v>
      </c>
      <c r="G2" s="287"/>
      <c r="H2" s="287"/>
      <c r="I2" s="287"/>
      <c r="J2" s="287"/>
      <c r="K2" s="287"/>
      <c r="L2" s="287"/>
      <c r="M2" s="287"/>
      <c r="N2" s="287"/>
    </row>
    <row r="3" spans="2:14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4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4">
      <c r="F5" t="s">
        <v>582</v>
      </c>
    </row>
    <row r="7" spans="2:14">
      <c r="C7" s="2" t="s">
        <v>152</v>
      </c>
      <c r="D7" s="12">
        <f>DCVer</f>
        <v>12.7</v>
      </c>
    </row>
    <row r="8" spans="2:14" ht="15" customHeight="1">
      <c r="F8" s="51"/>
      <c r="G8" s="51"/>
      <c r="H8" s="51"/>
      <c r="I8" s="51"/>
      <c r="J8" s="51"/>
      <c r="K8" s="51"/>
      <c r="L8" s="53"/>
      <c r="M8" s="53"/>
    </row>
    <row r="9" spans="2:14">
      <c r="B9" s="18"/>
      <c r="C9" s="18"/>
      <c r="D9" s="18"/>
      <c r="F9" s="51" t="s">
        <v>555</v>
      </c>
      <c r="G9" s="51" t="s">
        <v>778</v>
      </c>
      <c r="H9" s="51" t="s">
        <v>779</v>
      </c>
      <c r="I9" s="51" t="s">
        <v>780</v>
      </c>
      <c r="J9" s="51" t="s">
        <v>781</v>
      </c>
      <c r="K9" s="51" t="s">
        <v>556</v>
      </c>
      <c r="L9" s="53" t="s">
        <v>867</v>
      </c>
      <c r="M9" s="53" t="s">
        <v>1621</v>
      </c>
    </row>
    <row r="10" spans="2:14">
      <c r="B10" s="18" t="s">
        <v>151</v>
      </c>
      <c r="C10" s="18"/>
      <c r="D10" s="18"/>
      <c r="F10" s="51" t="s">
        <v>1622</v>
      </c>
      <c r="G10" s="51"/>
      <c r="H10" s="72" t="s">
        <v>396</v>
      </c>
      <c r="I10" s="53" t="s">
        <v>1623</v>
      </c>
      <c r="J10" s="53" t="s">
        <v>879</v>
      </c>
      <c r="K10" s="53"/>
      <c r="L10" s="72">
        <v>3000</v>
      </c>
      <c r="M10" s="72">
        <v>0.96</v>
      </c>
    </row>
    <row r="11" spans="2:14">
      <c r="B11" s="18" t="s">
        <v>155</v>
      </c>
      <c r="C11" s="18"/>
      <c r="D11" s="18"/>
      <c r="F11" s="51" t="s">
        <v>1624</v>
      </c>
      <c r="G11" s="51"/>
      <c r="H11" s="72" t="s">
        <v>1625</v>
      </c>
      <c r="I11" s="53" t="s">
        <v>1623</v>
      </c>
      <c r="J11" s="53" t="s">
        <v>879</v>
      </c>
      <c r="K11" s="53"/>
      <c r="L11" s="72">
        <v>3500</v>
      </c>
      <c r="M11" s="72">
        <v>0.96499999999999997</v>
      </c>
    </row>
    <row r="12" spans="2:14">
      <c r="B12" s="18"/>
      <c r="C12" s="18"/>
      <c r="D12" s="18"/>
      <c r="F12" s="51" t="s">
        <v>904</v>
      </c>
      <c r="G12" s="51"/>
      <c r="H12" s="72" t="s">
        <v>543</v>
      </c>
      <c r="I12" s="53" t="s">
        <v>1623</v>
      </c>
      <c r="J12" s="49" t="s">
        <v>1421</v>
      </c>
      <c r="K12" s="53"/>
      <c r="L12" s="72">
        <v>3000</v>
      </c>
      <c r="M12" s="72">
        <v>0.96199999999999997</v>
      </c>
    </row>
    <row r="13" spans="2:14">
      <c r="B13" s="18" t="s">
        <v>159</v>
      </c>
      <c r="C13" s="18"/>
      <c r="D13" s="18"/>
      <c r="F13" s="51" t="s">
        <v>1626</v>
      </c>
      <c r="G13" s="51"/>
      <c r="H13" s="50" t="s">
        <v>1627</v>
      </c>
      <c r="I13" s="53" t="s">
        <v>1623</v>
      </c>
      <c r="J13" s="53" t="s">
        <v>923</v>
      </c>
      <c r="K13" s="53"/>
      <c r="L13" s="50">
        <v>3000</v>
      </c>
      <c r="M13" s="50">
        <v>0.96</v>
      </c>
    </row>
    <row r="14" spans="2:14">
      <c r="B14" s="18" t="s">
        <v>162</v>
      </c>
      <c r="C14" s="18"/>
      <c r="D14" s="18"/>
      <c r="F14" s="51" t="s">
        <v>1628</v>
      </c>
      <c r="G14" s="51"/>
      <c r="H14" s="72" t="s">
        <v>1629</v>
      </c>
      <c r="I14" s="53" t="s">
        <v>1623</v>
      </c>
      <c r="J14" s="49" t="s">
        <v>1421</v>
      </c>
      <c r="K14" s="59"/>
      <c r="L14" s="72">
        <v>2000</v>
      </c>
      <c r="M14" s="72">
        <v>0.96399999999999997</v>
      </c>
    </row>
    <row r="15" spans="2:14">
      <c r="B15" s="18"/>
      <c r="C15" s="18"/>
      <c r="D15" s="18"/>
      <c r="F15" s="51" t="s">
        <v>1630</v>
      </c>
      <c r="G15" s="51"/>
      <c r="H15" s="72" t="s">
        <v>1631</v>
      </c>
      <c r="I15" s="53" t="s">
        <v>1623</v>
      </c>
      <c r="J15" s="49" t="s">
        <v>1421</v>
      </c>
      <c r="K15" s="53"/>
      <c r="L15" s="72">
        <v>2000</v>
      </c>
      <c r="M15" s="72">
        <v>0.91</v>
      </c>
    </row>
    <row r="16" spans="2:14">
      <c r="B16" s="18" t="s">
        <v>167</v>
      </c>
      <c r="C16" s="18"/>
      <c r="D16" s="18"/>
      <c r="F16" s="51" t="s">
        <v>1632</v>
      </c>
      <c r="G16" s="51"/>
      <c r="H16" s="72" t="s">
        <v>1633</v>
      </c>
      <c r="I16" s="53" t="s">
        <v>1623</v>
      </c>
      <c r="J16" s="49" t="s">
        <v>1421</v>
      </c>
      <c r="K16" s="53"/>
      <c r="L16" s="72">
        <v>1396</v>
      </c>
      <c r="M16" s="72">
        <v>0.89400000000000002</v>
      </c>
    </row>
    <row r="17" spans="2:13">
      <c r="B17" s="18" t="s">
        <v>170</v>
      </c>
      <c r="C17" s="18"/>
      <c r="D17" s="18"/>
      <c r="F17" s="51" t="s">
        <v>1634</v>
      </c>
      <c r="G17" s="69"/>
      <c r="H17" s="72" t="s">
        <v>1635</v>
      </c>
      <c r="I17" s="53" t="s">
        <v>1623</v>
      </c>
      <c r="J17" s="53" t="s">
        <v>1636</v>
      </c>
      <c r="K17" s="70"/>
      <c r="L17" s="72">
        <v>1160</v>
      </c>
      <c r="M17" s="72">
        <v>0.88</v>
      </c>
    </row>
    <row r="18" spans="2:13">
      <c r="B18" s="18" t="s">
        <v>173</v>
      </c>
      <c r="C18" s="18"/>
      <c r="D18" s="18"/>
      <c r="F18" s="51" t="s">
        <v>1637</v>
      </c>
      <c r="G18" s="69"/>
      <c r="H18" s="72" t="s">
        <v>1638</v>
      </c>
      <c r="I18" s="53" t="s">
        <v>1623</v>
      </c>
      <c r="J18" s="53" t="s">
        <v>1636</v>
      </c>
      <c r="K18" s="70"/>
      <c r="L18" s="72">
        <v>1362</v>
      </c>
      <c r="M18" s="72">
        <v>0.87</v>
      </c>
    </row>
    <row r="19" spans="2:13">
      <c r="B19" s="18"/>
      <c r="C19" s="18"/>
      <c r="D19" s="18"/>
      <c r="F19" s="51" t="s">
        <v>329</v>
      </c>
      <c r="G19" s="69"/>
      <c r="H19" s="71" t="s">
        <v>1639</v>
      </c>
      <c r="I19" s="53" t="s">
        <v>1623</v>
      </c>
      <c r="J19" s="53"/>
      <c r="K19" s="70"/>
      <c r="L19" s="50">
        <v>2000</v>
      </c>
      <c r="M19" s="50">
        <v>0.97</v>
      </c>
    </row>
    <row r="20" spans="2:13">
      <c r="B20" s="18" t="s">
        <v>176</v>
      </c>
      <c r="C20" s="18"/>
      <c r="D20" s="18"/>
      <c r="F20" s="51" t="s">
        <v>329</v>
      </c>
      <c r="G20" s="69"/>
      <c r="H20" s="71" t="s">
        <v>1640</v>
      </c>
      <c r="I20" s="53" t="s">
        <v>1623</v>
      </c>
      <c r="J20" s="53"/>
      <c r="K20" s="70"/>
      <c r="L20" s="72">
        <v>1000</v>
      </c>
      <c r="M20" s="72">
        <v>0.96</v>
      </c>
    </row>
    <row r="21" spans="2:13">
      <c r="B21" s="18"/>
      <c r="C21" s="18"/>
      <c r="D21" s="18"/>
    </row>
    <row r="22" spans="2:13">
      <c r="B22" s="18"/>
      <c r="C22" s="18"/>
      <c r="D22" s="18"/>
    </row>
    <row r="23" spans="2:13">
      <c r="B23" s="18"/>
      <c r="C23" s="18"/>
      <c r="D23" s="18"/>
    </row>
    <row r="24" spans="2:13">
      <c r="B24" s="18"/>
      <c r="C24" s="18"/>
      <c r="D24" s="18"/>
    </row>
    <row r="25" spans="2:13">
      <c r="B25" s="18" t="s">
        <v>182</v>
      </c>
      <c r="C25" s="18"/>
      <c r="D25" s="18"/>
    </row>
    <row r="26" spans="2:13">
      <c r="B26" s="285"/>
      <c r="C26" s="285"/>
      <c r="D26" s="285"/>
    </row>
    <row r="27" spans="2:13">
      <c r="B27" s="285"/>
      <c r="C27" s="285"/>
      <c r="D27" s="285"/>
    </row>
    <row r="28" spans="2:13">
      <c r="B28" s="293"/>
      <c r="C28" s="293"/>
      <c r="D28" s="293"/>
    </row>
    <row r="29" spans="2:13">
      <c r="B29" s="293"/>
      <c r="C29" s="293"/>
      <c r="D29" s="293"/>
    </row>
    <row r="30" spans="2:13">
      <c r="B30" s="293"/>
      <c r="C30" s="293"/>
      <c r="D30" s="293"/>
    </row>
    <row r="31" spans="2:13">
      <c r="B31" s="293"/>
      <c r="C31" s="293"/>
      <c r="D31" s="293"/>
    </row>
    <row r="32" spans="2:13">
      <c r="B32" s="289"/>
      <c r="C32" s="289"/>
      <c r="D32" s="289"/>
    </row>
    <row r="33" spans="2:4">
      <c r="B33" s="289"/>
      <c r="C33" s="289"/>
      <c r="D33" s="289"/>
    </row>
    <row r="34" spans="2:4">
      <c r="B34" s="289"/>
      <c r="C34" s="289"/>
      <c r="D34" s="289"/>
    </row>
    <row r="35" spans="2:4">
      <c r="B35" s="289"/>
      <c r="C35" s="289"/>
      <c r="D35" s="289"/>
    </row>
    <row r="36" spans="2:4">
      <c r="B36" s="289"/>
      <c r="C36" s="289"/>
      <c r="D36" s="289"/>
    </row>
    <row r="37" spans="2:4">
      <c r="B37" s="289"/>
      <c r="C37" s="289"/>
      <c r="D37" s="289"/>
    </row>
    <row r="38" spans="2:4">
      <c r="B38" s="289"/>
      <c r="C38" s="289"/>
      <c r="D38" s="289"/>
    </row>
    <row r="39" spans="2:4">
      <c r="B39" s="289"/>
      <c r="C39" s="289"/>
      <c r="D39" s="289"/>
    </row>
    <row r="40" spans="2:4">
      <c r="B40" s="289"/>
      <c r="C40" s="289"/>
      <c r="D40" s="289"/>
    </row>
    <row r="41" spans="2:4">
      <c r="B41" s="289"/>
      <c r="C41" s="289"/>
      <c r="D41" s="289"/>
    </row>
    <row r="42" spans="2:4">
      <c r="B42" s="289"/>
      <c r="C42" s="289"/>
      <c r="D42" s="289"/>
    </row>
    <row r="43" spans="2:4">
      <c r="B43" s="289"/>
      <c r="C43" s="289"/>
      <c r="D43" s="289"/>
    </row>
    <row r="44" spans="2:4">
      <c r="B44" s="289"/>
      <c r="C44" s="289"/>
      <c r="D44" s="289"/>
    </row>
    <row r="45" spans="2:4">
      <c r="B45" s="289"/>
      <c r="C45" s="289"/>
      <c r="D45" s="289"/>
    </row>
    <row r="46" spans="2:4">
      <c r="B46" s="289"/>
      <c r="C46" s="289"/>
      <c r="D46" s="289"/>
    </row>
    <row r="47" spans="2:4">
      <c r="B47" s="289"/>
      <c r="C47" s="289"/>
      <c r="D47" s="289"/>
    </row>
    <row r="48" spans="2:4">
      <c r="B48" s="289"/>
      <c r="C48" s="289"/>
      <c r="D48" s="289"/>
    </row>
  </sheetData>
  <mergeCells count="24">
    <mergeCell ref="B48:D48"/>
    <mergeCell ref="B42:D42"/>
    <mergeCell ref="B43:D43"/>
    <mergeCell ref="B44:D44"/>
    <mergeCell ref="B45:D45"/>
    <mergeCell ref="B46:D46"/>
    <mergeCell ref="B47:D47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F2:N4"/>
    <mergeCell ref="B26:D26"/>
    <mergeCell ref="B27:D27"/>
    <mergeCell ref="B28:D28"/>
    <mergeCell ref="B29:D29"/>
  </mergeCells>
  <hyperlinks>
    <hyperlink ref="B10" location="'DASH'!A1" display="DASHBOARD" xr:uid="{96FFFD41-2DAE-4DD0-9DA1-19B26AB246B6}"/>
    <hyperlink ref="B11" location="'DES-GL'!A1" display="DESIGN GUIDELINES" xr:uid="{DE3E933D-DD40-49BE-87D8-82A3D5A7707A}"/>
    <hyperlink ref="B13" location="'EXT-MAINS-DT'!A1" display="EXISTING POWER DESIGN" xr:uid="{05B27352-2874-425B-A1B6-1D1541908A09}"/>
    <hyperlink ref="B14" location="'EXT-CALC'!A1" display="EXISTING DEMAND" xr:uid="{D077F381-4B09-443C-B26A-CB607415F9EB}"/>
    <hyperlink ref="B16" location="'CALC'!A1" display="POWER CALCULATOR" xr:uid="{4EE34A1B-B975-4B6D-9A8C-9E49F5D946A8}"/>
    <hyperlink ref="B17" location="'PLBC-CALC'!A1" display="PLBC CALCULATOR" xr:uid="{4C53BF5D-5149-4DD7-A178-37F25CCE19D6}"/>
    <hyperlink ref="B18" location="'VDC'!A1" display="VD CALCULATOR" xr:uid="{97756267-9A8E-4FFD-BE4C-2D123C2712B3}"/>
    <hyperlink ref="B20" location="'PRP-SOL'!A1" display="PROPOSED POWER DESIGN" xr:uid="{B92E3923-599B-4BDA-8370-58CE81D6E9C4}"/>
    <hyperlink ref="B25" location="'DC'!A1" display="DOCUMENT CONTROL" xr:uid="{964E0A53-0F43-482F-8854-B47814F1C696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13DA-4380-4982-8A52-2A216191FC11}">
  <sheetPr codeName="Sheet37"/>
  <dimension ref="B1:Z147"/>
  <sheetViews>
    <sheetView showGridLines="0" topLeftCell="B29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6.7109375" customWidth="1"/>
    <col min="7" max="7" width="30.28515625" style="94" customWidth="1"/>
    <col min="8" max="14" width="15.28515625" style="94" customWidth="1"/>
    <col min="15" max="15" width="17.28515625" style="94" customWidth="1"/>
    <col min="16" max="16" width="15.28515625" style="94" customWidth="1"/>
    <col min="17" max="20" width="9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583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584</v>
      </c>
    </row>
    <row r="7" spans="2:16">
      <c r="C7" s="2" t="s">
        <v>152</v>
      </c>
      <c r="D7" s="12">
        <f>DCVer</f>
        <v>12.7</v>
      </c>
    </row>
    <row r="8" spans="2:16" ht="15" customHeight="1">
      <c r="F8" s="90"/>
      <c r="G8" s="96"/>
      <c r="L8" s="63" t="s">
        <v>1641</v>
      </c>
      <c r="M8" s="63"/>
    </row>
    <row r="9" spans="2:16">
      <c r="B9" s="18"/>
      <c r="C9" s="18"/>
      <c r="D9" s="18"/>
      <c r="F9" s="90"/>
      <c r="L9" s="63">
        <v>230</v>
      </c>
      <c r="M9" s="63"/>
    </row>
    <row r="10" spans="2:16" ht="15" customHeight="1">
      <c r="B10" s="18" t="s">
        <v>151</v>
      </c>
      <c r="C10" s="18"/>
      <c r="D10" s="18"/>
      <c r="F10" s="90"/>
      <c r="G10" s="96" t="s">
        <v>1642</v>
      </c>
    </row>
    <row r="11" spans="2:16">
      <c r="B11" s="18" t="s">
        <v>155</v>
      </c>
      <c r="C11" s="18"/>
      <c r="D11" s="18"/>
      <c r="F11" s="499" t="str">
        <f>'EXT-CALC'!M9</f>
        <v>ENABLED</v>
      </c>
      <c r="G11" s="63"/>
      <c r="H11" s="63" t="s">
        <v>388</v>
      </c>
      <c r="I11" s="63" t="s">
        <v>389</v>
      </c>
      <c r="J11" s="63" t="s">
        <v>390</v>
      </c>
      <c r="K11" s="63" t="s">
        <v>1643</v>
      </c>
      <c r="L11" s="63" t="s">
        <v>1644</v>
      </c>
      <c r="M11" s="63" t="s">
        <v>1645</v>
      </c>
      <c r="N11" s="63" t="s">
        <v>1646</v>
      </c>
      <c r="O11" s="63" t="s">
        <v>1647</v>
      </c>
      <c r="P11" s="63" t="s">
        <v>1648</v>
      </c>
    </row>
    <row r="12" spans="2:16">
      <c r="B12" s="18"/>
      <c r="C12" s="18"/>
      <c r="D12" s="18"/>
      <c r="F12" s="499"/>
      <c r="G12" s="63" t="s">
        <v>1649</v>
      </c>
      <c r="H12" s="63" t="e">
        <f>(IF(AND('EXT-CALC'!$I$54="L1",'EXT-CALC'!$I$67="Enabled"),VLOOKUP('EXT-CALC'!$J$62,DBRECT!$H$10:$M$100,5,FALSE),"0")+IF(AND('EXT-CALC'!$J$54="L1",'EXT-CALC'!$J$67="Enabled"),VLOOKUP('EXT-CALC'!$J$62,DBRECT!$H$10:$M$100,5,FALSE),"0")+IF(AND('EXT-CALC'!$K$54="L1",'EXT-CALC'!$K$67="Enabled"),VLOOKUP('EXT-CALC'!$J$62,DBRECT!$H$10:$M$100,5,FALSE),"0")+IF(AND('EXT-CALC'!$L$54="L1",'EXT-CALC'!$L$67="Enabled"),VLOOKUP('EXT-CALC'!$J$62,DBRECT!$H$10:$M$100,5,FALSE),"0")+IF(AND('EXT-CALC'!$M$54="L1",'EXT-CALC'!$M$67="Enabled"),VLOOKUP('EXT-CALC'!$J$62,DBRECT!$H$10:$M$100,5,FALSE),"0")+IF(AND('EXT-CALC'!$I$55="L1",'EXT-CALC'!$I$68="Enabled"),VLOOKUP('EXT-CALC'!$J$62,DBRECT!$H$10:$M$100,5,FALSE),"0")+IF(AND('EXT-CALC'!$J$55="L1",'EXT-CALC'!$J$68="Enabled"),VLOOKUP('EXT-CALC'!$J$62,DBRECT!$H$10:$M$100,5,FALSE),"0")+IF(AND('EXT-CALC'!$K$55="L1",'EXT-CALC'!$K$68="Enabled"),VLOOKUP('EXT-CALC'!$J$62,DBRECT!$H$10:$M$100,5,FALSE),"0")+IF(AND('EXT-CALC'!$L$55="L1",'EXT-CALC'!$L$68="Enabled"),VLOOKUP('EXT-CALC'!$J$62,DBRECT!$H$10:$M$100,5,FALSE),"0")+IF(AND('EXT-CALC'!$M$55="L1",'EXT-CALC'!$M$68="Enabled"),VLOOKUP('EXT-CALC'!$J$62,DBRECT!$H$10:$M$100,5,FALSE),"0")+IF(AND('EXT-CALC'!$I$56="L1",'EXT-CALC'!$I$69="Enabled"),VLOOKUP('EXT-CALC'!$J$62,DBRECT!$H$10:$M$100,5,FALSE),"0")+IF(AND('EXT-CALC'!$J$56="L1",'EXT-CALC'!$J$69="Enabled"),VLOOKUP('EXT-CALC'!$J$62,DBRECT!$H$10:$M$100,5,FALSE),"0")+IF(AND('EXT-CALC'!$K$56="L1",'EXT-CALC'!$K$69="Enabled"),VLOOKUP('EXT-CALC'!$J$62,DBRECT!$H$10:$M$100,5,FALSE),"0")+IF(AND('EXT-CALC'!$L$56="L1",'EXT-CALC'!$L$69="Enabled"),VLOOKUP('EXT-CALC'!$J$62,DBRECT!$H$10:$M$100,5,FALSE),"0")+IF(AND('EXT-CALC'!$M$56="L1",'EXT-CALC'!$M$69="Enabled"),VLOOKUP('EXT-CALC'!$J$62,DBRECT!$H$10:$M$100,5,FALSE),"0")+IF(AND('EXT-CALC'!$I$57="L1",'EXT-CALC'!$I$70="Enabled"),VLOOKUP('EXT-CALC'!$J$62,DBRECT!$H$10:$M$100,5,FALSE),"0")+IF(AND('EXT-CALC'!$J$57="L1",'EXT-CALC'!$J$70="Enabled"),VLOOKUP('EXT-CALC'!$J$62,DBRECT!$H$10:$M$100,5,FALSE),"0")+IF(AND('EXT-CALC'!$K$57="L1",'EXT-CALC'!$K$70="Enabled"),VLOOKUP('EXT-CALC'!$J$62,DBRECT!$H$10:$M$100,5,FALSE),"0")+IF(AND('EXT-CALC'!$L$57="L1",'EXT-CALC'!$L$70="Enabled"),VLOOKUP('EXT-CALC'!$J$62,DBRECT!$H$10:$M$100,5,FALSE),"0")+IF(AND('EXT-CALC'!$M$57="L1",'EXT-CALC'!$M$70="Enabled"),VLOOKUP('EXT-CALC'!$J$62,DBRECT!$H$10:$M$100,5,FALSE),"0"))*P12</f>
        <v>#N/A</v>
      </c>
      <c r="I12" s="63" t="e">
        <f>(IF(AND('EXT-CALC'!$I$54="L2",'EXT-CALC'!$I$67="Enabled"),VLOOKUP('EXT-CALC'!$J$62,DBRECT!$H$10:$M$100,5,FALSE),"0")+IF(AND('EXT-CALC'!$J$54="L2",'EXT-CALC'!$J$67="Enabled"),VLOOKUP('EXT-CALC'!$J$62,DBRECT!$H$10:$M$100,5,FALSE),"0")+IF(AND('EXT-CALC'!$K$54="L2",'EXT-CALC'!$K$67="Enabled"),VLOOKUP('EXT-CALC'!$J$62,DBRECT!$H$10:$M$100,5,FALSE),"0")+IF(AND('EXT-CALC'!$L$54="L2",'EXT-CALC'!$L$67="Enabled"),VLOOKUP('EXT-CALC'!$J$62,DBRECT!$H$10:$M$100,5,FALSE),"0")+IF(AND('EXT-CALC'!$M$54="L2",'EXT-CALC'!$M$67="Enabled"),VLOOKUP('EXT-CALC'!$J$62,DBRECT!$H$10:$M$100,5,FALSE),"0")+IF(AND('EXT-CALC'!$I$55="L2",'EXT-CALC'!$I$68="Enabled"),VLOOKUP('EXT-CALC'!$J$62,DBRECT!$H$10:$M$100,5,FALSE),"0")+IF(AND('EXT-CALC'!$J$55="L2",'EXT-CALC'!$J$68="Enabled"),VLOOKUP('EXT-CALC'!$J$62,DBRECT!$H$10:$M$100,5,FALSE),"0")+IF(AND('EXT-CALC'!$K$55="L2",'EXT-CALC'!$K$68="Enabled"),VLOOKUP('EXT-CALC'!$J$62,DBRECT!$H$10:$M$100,5,FALSE),"0")+IF(AND('EXT-CALC'!$L$55="L2",'EXT-CALC'!$L$68="Enabled"),VLOOKUP('EXT-CALC'!$J$62,DBRECT!$H$10:$M$100,5,FALSE),"0")+IF(AND('EXT-CALC'!$M$55="L2",'EXT-CALC'!$M$68="Enabled"),VLOOKUP('EXT-CALC'!$J$62,DBRECT!$H$10:$M$100,5,FALSE),"0")+IF(AND('EXT-CALC'!$I$56="L2",'EXT-CALC'!$I$69="Enabled"),VLOOKUP('EXT-CALC'!$J$62,DBRECT!$H$10:$M$100,5,FALSE),"0")+IF(AND('EXT-CALC'!$J$56="L2",'EXT-CALC'!$J$69="Enabled"),VLOOKUP('EXT-CALC'!$J$62,DBRECT!$H$10:$M$100,5,FALSE),"0")+IF(AND('EXT-CALC'!$K$56="L2",'EXT-CALC'!$K$69="Enabled"),VLOOKUP('EXT-CALC'!$J$62,DBRECT!$H$10:$M$100,5,FALSE),"0")+IF(AND('EXT-CALC'!$L$56="L2",'EXT-CALC'!$L$69="Enabled"),VLOOKUP('EXT-CALC'!$J$62,DBRECT!$H$10:$M$100,5,FALSE),"0")+IF(AND('EXT-CALC'!$M$56="L2",'EXT-CALC'!$M$69="Enabled"),VLOOKUP('EXT-CALC'!$J$62,DBRECT!$H$10:$M$100,5,FALSE),"0")+IF(AND('EXT-CALC'!$I$57="L2",'EXT-CALC'!$I$70="Enabled"),VLOOKUP('EXT-CALC'!$J$62,DBRECT!$H$10:$M$100,5,FALSE),"0")+IF(AND('EXT-CALC'!$J$57="L2",'EXT-CALC'!$J$70="Enabled"),VLOOKUP('EXT-CALC'!$J$62,DBRECT!$H$10:$M$100,5,FALSE),"0")+IF(AND('EXT-CALC'!$K$57="L2",'EXT-CALC'!$K$70="Enabled"),VLOOKUP('EXT-CALC'!$J$62,DBRECT!$H$10:$M$100,5,FALSE),"0")+IF(AND('EXT-CALC'!$L$57="L2",'EXT-CALC'!$L$70="Enabled"),VLOOKUP('EXT-CALC'!$J$62,DBRECT!$H$10:$M$100,5,FALSE),"0")+IF(AND('EXT-CALC'!$M$57="L2",'EXT-CALC'!$M$70="Enabled"),VLOOKUP('EXT-CALC'!$J$62,DBRECT!$H$10:$M$100,5,FALSE),"0"))*P12</f>
        <v>#N/A</v>
      </c>
      <c r="J12" s="63" t="e">
        <f>(IF(AND('EXT-CALC'!$I$54="L3",'EXT-CALC'!$I$67="Enabled"),VLOOKUP('EXT-CALC'!$J$62,DBRECT!$H$10:$M$100,5,FALSE),"0")+IF(AND('EXT-CALC'!$J$54="L3",'EXT-CALC'!$J$67="Enabled"),VLOOKUP('EXT-CALC'!$J$62,DBRECT!$H$10:$M$100,5,FALSE),"0")+IF(AND('EXT-CALC'!$K$54="L3",'EXT-CALC'!$K$67="Enabled"),VLOOKUP('EXT-CALC'!$J$62,DBRECT!$H$10:$M$100,5,FALSE),"0")+IF(AND('EXT-CALC'!$L$54="L3",'EXT-CALC'!$L$67="Enabled"),VLOOKUP('EXT-CALC'!$J$62,DBRECT!$H$10:$M$100,5,FALSE),"0")+IF(AND('EXT-CALC'!$M$54="L3",'EXT-CALC'!$M$67="Enabled"),VLOOKUP('EXT-CALC'!$J$62,DBRECT!$H$10:$M$100,5,FALSE),"0")+IF(AND('EXT-CALC'!$I$55="L3",'EXT-CALC'!$I$68="Enabled"),VLOOKUP('EXT-CALC'!$J$62,DBRECT!$H$10:$M$100,5,FALSE),"0")+IF(AND('EXT-CALC'!$J$55="L3",'EXT-CALC'!$J$68="Enabled"),VLOOKUP('EXT-CALC'!$J$62,DBRECT!$H$10:$M$100,5,FALSE),"0")+IF(AND('EXT-CALC'!$K$55="L3",'EXT-CALC'!$K$68="Enabled"),VLOOKUP('EXT-CALC'!$J$62,DBRECT!$H$10:$M$100,5,FALSE),"0")+IF(AND('EXT-CALC'!$L$55="L3",'EXT-CALC'!$L$68="Enabled"),VLOOKUP('EXT-CALC'!$J$62,DBRECT!$H$10:$M$100,5,FALSE),"0")+IF(AND('EXT-CALC'!$M$55="L3",'EXT-CALC'!$M$68="Enabled"),VLOOKUP('EXT-CALC'!$J$62,DBRECT!$H$10:$M$100,5,FALSE),"0")+IF(AND('EXT-CALC'!$I$56="L3",'EXT-CALC'!$I$69="Enabled"),VLOOKUP('EXT-CALC'!$J$62,DBRECT!$H$10:$M$100,5,FALSE),"0")+IF(AND('EXT-CALC'!$J$56="L3",'EXT-CALC'!$J$69="Enabled"),VLOOKUP('EXT-CALC'!$J$62,DBRECT!$H$10:$M$100,5,FALSE),"0")+IF(AND('EXT-CALC'!$K$56="L3",'EXT-CALC'!$K$69="Enabled"),VLOOKUP('EXT-CALC'!$J$62,DBRECT!$H$10:$M$100,5,FALSE),"0")+IF(AND('EXT-CALC'!$L$56="L3",'EXT-CALC'!$L$69="Enabled"),VLOOKUP('EXT-CALC'!$J$62,DBRECT!$H$10:$M$100,5,FALSE),"0")+IF(AND('EXT-CALC'!$M$56="L3",'EXT-CALC'!$M$69="Enabled"),VLOOKUP('EXT-CALC'!$J$62,DBRECT!$H$10:$M$100,5,FALSE),"0")+IF(AND('EXT-CALC'!$I$57="L3",'EXT-CALC'!$I$70="Enabled"),VLOOKUP('EXT-CALC'!$J$62,DBRECT!$H$10:$M$100,5,FALSE),"0")+IF(AND('EXT-CALC'!$J$57="L3",'EXT-CALC'!$J$70="Enabled"),VLOOKUP('EXT-CALC'!$J$62,DBRECT!$H$10:$M$100,5,FALSE),"0")+IF(AND('EXT-CALC'!$K$57="L3",'EXT-CALC'!$K$70="Enabled"),VLOOKUP('EXT-CALC'!$J$62,DBRECT!$H$10:$M$100,5,FALSE),"0")+IF(AND('EXT-CALC'!$L$57="L3",'EXT-CALC'!$L$70="Enabled"),VLOOKUP('EXT-CALC'!$J$62,DBRECT!$H$10:$M$100,5,FALSE),"0")+IF(AND('EXT-CALC'!$M$57="L3",'EXT-CALC'!$M$70="Enabled"),VLOOKUP('EXT-CALC'!$J$62,DBRECT!$H$10:$M$100,5,FALSE),"0"))*P12</f>
        <v>#N/A</v>
      </c>
      <c r="K12" s="63">
        <f>COUNTIF(H12:J12,"&lt;&gt;0")</f>
        <v>3</v>
      </c>
      <c r="L12" s="92" t="e">
        <f>SUM(H12:J12)</f>
        <v>#N/A</v>
      </c>
      <c r="M12" s="92">
        <f>'EXT-CALC'!J84</f>
        <v>0</v>
      </c>
      <c r="N12" s="92">
        <f>'EXT-CALC'!J85</f>
        <v>0</v>
      </c>
      <c r="O12" s="92">
        <f>'EXT-CALC'!J82</f>
        <v>0</v>
      </c>
      <c r="P12" s="63" t="e">
        <f>(VLOOKUP('EXT-CALC'!J62,DBRECT!$H$10:$M$100,6,FALSE))</f>
        <v>#N/A</v>
      </c>
    </row>
    <row r="13" spans="2:16">
      <c r="B13" s="18" t="s">
        <v>159</v>
      </c>
      <c r="C13" s="18"/>
      <c r="D13" s="18"/>
      <c r="F13" s="499"/>
      <c r="G13" s="63" t="s">
        <v>1650</v>
      </c>
      <c r="H13" s="92" t="e">
        <f>H12/L12*100</f>
        <v>#N/A</v>
      </c>
      <c r="I13" s="92" t="e">
        <f>I12/L12*100</f>
        <v>#N/A</v>
      </c>
      <c r="J13" s="92" t="e">
        <f>J12/L12*100</f>
        <v>#N/A</v>
      </c>
      <c r="L13" s="95"/>
      <c r="M13" s="95"/>
      <c r="N13" s="95"/>
      <c r="O13" s="95"/>
    </row>
    <row r="14" spans="2:16">
      <c r="B14" s="18" t="s">
        <v>162</v>
      </c>
      <c r="C14" s="18"/>
      <c r="D14" s="18"/>
      <c r="F14" s="499"/>
      <c r="N14" s="95"/>
      <c r="O14" s="95"/>
    </row>
    <row r="15" spans="2:16" ht="15" customHeight="1">
      <c r="B15" s="18"/>
      <c r="C15" s="18"/>
      <c r="D15" s="18"/>
      <c r="F15" s="499" t="s">
        <v>1645</v>
      </c>
      <c r="G15" s="63" t="s">
        <v>1651</v>
      </c>
      <c r="H15" s="92" t="e">
        <f>IF(H12=0,0,M12*(H13/100))</f>
        <v>#N/A</v>
      </c>
      <c r="I15" s="92" t="e">
        <f>IF(I12=0,0,M12*(I13/100))</f>
        <v>#N/A</v>
      </c>
      <c r="J15" s="92" t="e">
        <f>IF(J12=0,0,M12*(J13/100))</f>
        <v>#N/A</v>
      </c>
      <c r="N15" s="95"/>
      <c r="O15" s="95"/>
    </row>
    <row r="16" spans="2:16">
      <c r="B16" s="18" t="s">
        <v>167</v>
      </c>
      <c r="C16" s="18"/>
      <c r="D16" s="18"/>
      <c r="F16" s="499"/>
      <c r="G16" s="63" t="s">
        <v>1652</v>
      </c>
      <c r="H16" s="63" t="e">
        <f>IF(H15&gt;H12,H15-H12,0)</f>
        <v>#N/A</v>
      </c>
      <c r="I16" s="63" t="e">
        <f>IF(I15&gt;I12,I15-I12,0)</f>
        <v>#N/A</v>
      </c>
      <c r="J16" s="63" t="e">
        <f>IF(J15&gt;J12,J15-J12,0)</f>
        <v>#N/A</v>
      </c>
      <c r="K16" s="63">
        <f>COUNTIF(H16:J16,"&lt;&gt;0")</f>
        <v>3</v>
      </c>
      <c r="N16" s="95"/>
      <c r="O16" s="95"/>
    </row>
    <row r="17" spans="2:15">
      <c r="B17" s="18" t="s">
        <v>170</v>
      </c>
      <c r="C17" s="18"/>
      <c r="D17" s="18"/>
      <c r="F17" s="499"/>
      <c r="G17" s="63" t="s">
        <v>1653</v>
      </c>
      <c r="H17" s="92" t="e">
        <f>IFERROR(IF(H16&lt;&gt;0,H12,H16/K16),H15)</f>
        <v>#N/A</v>
      </c>
      <c r="I17" s="92" t="e">
        <f>IFERROR(IF(I16&lt;&gt;0,I12,I16/K16),I15)</f>
        <v>#N/A</v>
      </c>
      <c r="J17" s="92" t="e">
        <f>IFERROR(IF(J16&lt;&gt;0,J12,J16/K16),J15)</f>
        <v>#N/A</v>
      </c>
      <c r="N17" s="95"/>
      <c r="O17" s="95"/>
    </row>
    <row r="18" spans="2:15">
      <c r="B18" s="18" t="s">
        <v>173</v>
      </c>
      <c r="C18" s="18"/>
      <c r="D18" s="18"/>
      <c r="F18" s="499"/>
      <c r="G18" s="63" t="s">
        <v>1654</v>
      </c>
      <c r="H18" s="93">
        <f>IFERROR(H15/H12,0)</f>
        <v>0</v>
      </c>
      <c r="I18" s="93">
        <f>IFERROR(I15/I12,0)</f>
        <v>0</v>
      </c>
      <c r="J18" s="93">
        <f>IFERROR(J15/J12,0)</f>
        <v>0</v>
      </c>
      <c r="N18" s="95"/>
      <c r="O18" s="95"/>
    </row>
    <row r="19" spans="2:15">
      <c r="B19" s="18"/>
      <c r="C19" s="18"/>
      <c r="D19" s="18"/>
      <c r="F19" s="91"/>
      <c r="G19" s="98" t="s">
        <v>1655</v>
      </c>
      <c r="H19" s="99" t="e">
        <f>H15*(2-$P$12)</f>
        <v>#N/A</v>
      </c>
      <c r="I19" s="99" t="e">
        <f t="shared" ref="I19:J19" si="0">I15*(2-$P$12)</f>
        <v>#N/A</v>
      </c>
      <c r="J19" s="99" t="e">
        <f t="shared" si="0"/>
        <v>#N/A</v>
      </c>
      <c r="N19" s="95"/>
      <c r="O19" s="95"/>
    </row>
    <row r="20" spans="2:15" ht="15" customHeight="1">
      <c r="B20" s="18" t="s">
        <v>176</v>
      </c>
      <c r="C20" s="18"/>
      <c r="D20" s="18"/>
      <c r="F20" s="91"/>
      <c r="G20" s="98" t="s">
        <v>1656</v>
      </c>
      <c r="H20" s="99" t="e">
        <f>H15+H29*(2-$P$12)</f>
        <v>#N/A</v>
      </c>
      <c r="I20" s="99" t="e">
        <f>I15+I29*(2-$P$12)</f>
        <v>#N/A</v>
      </c>
      <c r="J20" s="99" t="e">
        <f>J15+J29*(2-$P$12)</f>
        <v>#N/A</v>
      </c>
      <c r="N20" s="95"/>
      <c r="O20" s="95"/>
    </row>
    <row r="21" spans="2:15">
      <c r="B21" s="18"/>
      <c r="C21" s="18"/>
      <c r="D21" s="18"/>
      <c r="F21" s="91"/>
      <c r="N21" s="95"/>
      <c r="O21" s="95"/>
    </row>
    <row r="22" spans="2:15">
      <c r="B22" s="18"/>
      <c r="C22" s="18"/>
      <c r="D22" s="18"/>
      <c r="F22" s="499" t="s">
        <v>1646</v>
      </c>
      <c r="G22" s="63" t="s">
        <v>1651</v>
      </c>
      <c r="H22" s="92" t="e">
        <f>IF(H12=0,0,N12*(H13/100))</f>
        <v>#N/A</v>
      </c>
      <c r="I22" s="92" t="e">
        <f>IF(I12=0,0,N12*(I13/100))</f>
        <v>#N/A</v>
      </c>
      <c r="J22" s="92" t="e">
        <f>IF(J12=0,0,N12*(J13/100))</f>
        <v>#N/A</v>
      </c>
      <c r="N22" s="95"/>
      <c r="O22" s="95"/>
    </row>
    <row r="23" spans="2:15">
      <c r="B23" s="18"/>
      <c r="C23" s="18"/>
      <c r="D23" s="18"/>
      <c r="F23" s="499"/>
      <c r="G23" s="63" t="s">
        <v>1652</v>
      </c>
      <c r="H23" s="92" t="e">
        <f>IF(H22&gt;H12,H22-H12,0)</f>
        <v>#N/A</v>
      </c>
      <c r="I23" s="92" t="e">
        <f>IF(I22&gt;I12,I22-I12,0)</f>
        <v>#N/A</v>
      </c>
      <c r="J23" s="92" t="e">
        <f>IF(J22&gt;J12,J22-J12,0)</f>
        <v>#N/A</v>
      </c>
      <c r="K23" s="63">
        <f>COUNTIF(H23:J23,"&lt;&gt;0")</f>
        <v>3</v>
      </c>
      <c r="N23" s="95"/>
      <c r="O23" s="95"/>
    </row>
    <row r="24" spans="2:15">
      <c r="B24" s="18"/>
      <c r="C24" s="18"/>
      <c r="D24" s="18"/>
      <c r="F24" s="499"/>
      <c r="G24" s="63" t="s">
        <v>1653</v>
      </c>
      <c r="H24" s="92" t="e">
        <f>IFERROR(IF(H23&lt;&gt;0,(H12*P12),H23/K23),H22)</f>
        <v>#N/A</v>
      </c>
      <c r="I24" s="92" t="e">
        <f>IFERROR(IF(I23&lt;&gt;0,(I12*P12),I23/K23),I22)</f>
        <v>#N/A</v>
      </c>
      <c r="J24" s="92" t="e">
        <f>IFERROR(IF(J23&lt;&gt;0,(J12*P12),J23/K23),J22)</f>
        <v>#N/A</v>
      </c>
      <c r="N24" s="95"/>
      <c r="O24" s="95"/>
    </row>
    <row r="25" spans="2:15">
      <c r="B25" s="18" t="s">
        <v>182</v>
      </c>
      <c r="C25" s="18"/>
      <c r="D25" s="18"/>
      <c r="F25" s="499"/>
      <c r="G25" s="63" t="s">
        <v>1654</v>
      </c>
      <c r="H25" s="93">
        <f>IFERROR(H22/H12,0)</f>
        <v>0</v>
      </c>
      <c r="I25" s="93">
        <f>IFERROR(I22/I12,0)</f>
        <v>0</v>
      </c>
      <c r="J25" s="93">
        <f>IFERROR(J22/J12,0)</f>
        <v>0</v>
      </c>
      <c r="N25" s="95"/>
      <c r="O25" s="95"/>
    </row>
    <row r="26" spans="2:15" ht="15" customHeight="1">
      <c r="B26" s="285"/>
      <c r="C26" s="285"/>
      <c r="D26" s="285"/>
      <c r="F26" s="91"/>
      <c r="G26" s="98" t="s">
        <v>1655</v>
      </c>
      <c r="H26" s="99" t="e">
        <f>H22*(2-$P$12)</f>
        <v>#N/A</v>
      </c>
      <c r="I26" s="99" t="e">
        <f t="shared" ref="I26:J26" si="1">I22*(2-$P$12)</f>
        <v>#N/A</v>
      </c>
      <c r="J26" s="99" t="e">
        <f t="shared" si="1"/>
        <v>#N/A</v>
      </c>
      <c r="N26" s="95"/>
      <c r="O26" s="95"/>
    </row>
    <row r="27" spans="2:15" ht="15" customHeight="1">
      <c r="B27" s="285"/>
      <c r="C27" s="285"/>
      <c r="D27" s="285"/>
      <c r="F27" s="91"/>
      <c r="G27" s="98" t="s">
        <v>1656</v>
      </c>
      <c r="H27" s="99" t="e">
        <f>H22+H29*(2-$P$12)</f>
        <v>#N/A</v>
      </c>
      <c r="I27" s="99" t="e">
        <f t="shared" ref="I27:J27" si="2">I22+I29*(2-$P$12)</f>
        <v>#N/A</v>
      </c>
      <c r="J27" s="99" t="e">
        <f t="shared" si="2"/>
        <v>#N/A</v>
      </c>
      <c r="N27" s="95"/>
      <c r="O27" s="95"/>
    </row>
    <row r="28" spans="2:15" ht="15" customHeight="1">
      <c r="B28" s="293"/>
      <c r="C28" s="293"/>
      <c r="D28" s="293"/>
      <c r="F28" s="91"/>
      <c r="G28"/>
      <c r="H28"/>
      <c r="I28"/>
      <c r="J28"/>
      <c r="N28" s="95"/>
      <c r="O28" s="95"/>
    </row>
    <row r="29" spans="2:15" ht="15" customHeight="1">
      <c r="B29" s="293"/>
      <c r="C29" s="293"/>
      <c r="D29" s="293"/>
      <c r="F29" s="91"/>
      <c r="G29" s="63" t="s">
        <v>1657</v>
      </c>
      <c r="H29" s="92" t="e">
        <f>IF(H12&lt;&gt;0,O12/K12,0)</f>
        <v>#N/A</v>
      </c>
      <c r="I29" s="92" t="e">
        <f>IF(I12&lt;&gt;0,O12/K12,0)</f>
        <v>#N/A</v>
      </c>
      <c r="J29" s="92" t="e">
        <f>IF(J12&lt;&gt;0,O12/K12,0)</f>
        <v>#N/A</v>
      </c>
      <c r="N29" s="95"/>
      <c r="O29" s="95"/>
    </row>
    <row r="30" spans="2:15">
      <c r="B30" s="293"/>
      <c r="C30" s="293"/>
      <c r="D30" s="293"/>
      <c r="F30" s="90"/>
      <c r="G30" s="63" t="s">
        <v>1658</v>
      </c>
      <c r="H30" s="92" t="e">
        <f>H12-H17</f>
        <v>#N/A</v>
      </c>
      <c r="I30" s="92" t="e">
        <f>I12-I17</f>
        <v>#N/A</v>
      </c>
      <c r="J30" s="92" t="e">
        <f>J12-J17</f>
        <v>#N/A</v>
      </c>
      <c r="N30" s="95"/>
      <c r="O30" s="95"/>
    </row>
    <row r="31" spans="2:15">
      <c r="B31" s="293"/>
      <c r="C31" s="293"/>
      <c r="D31" s="293"/>
      <c r="F31" s="90"/>
      <c r="G31" s="63" t="s">
        <v>417</v>
      </c>
      <c r="H31" s="92" t="e">
        <f>IF(H29&lt;H30,H29,H30)</f>
        <v>#N/A</v>
      </c>
      <c r="I31" s="92" t="e">
        <f>IF(I29&lt;I30,I29,I30)</f>
        <v>#N/A</v>
      </c>
      <c r="J31" s="92" t="e">
        <f>IF(J29&lt;J30,J29,J30)</f>
        <v>#N/A</v>
      </c>
      <c r="N31" s="95"/>
      <c r="O31" s="95"/>
    </row>
    <row r="32" spans="2:15">
      <c r="B32" s="289"/>
      <c r="C32" s="289"/>
      <c r="D32" s="289"/>
      <c r="F32" s="90"/>
      <c r="H32" s="95"/>
      <c r="I32" s="95"/>
      <c r="J32" s="95"/>
      <c r="N32" s="95"/>
      <c r="O32" s="95"/>
    </row>
    <row r="33" spans="2:16">
      <c r="B33" s="289"/>
      <c r="C33" s="289"/>
      <c r="D33" s="289"/>
      <c r="F33" s="90"/>
      <c r="G33" s="96" t="s">
        <v>1659</v>
      </c>
    </row>
    <row r="34" spans="2:16">
      <c r="B34" s="289"/>
      <c r="C34" s="289"/>
      <c r="D34" s="289"/>
      <c r="F34" s="499" t="str">
        <f>'EXT-CALC'!W9</f>
        <v>ENABLED</v>
      </c>
      <c r="G34" s="63"/>
      <c r="H34" s="63" t="s">
        <v>388</v>
      </c>
      <c r="I34" s="63" t="s">
        <v>389</v>
      </c>
      <c r="J34" s="63" t="s">
        <v>390</v>
      </c>
      <c r="K34" s="63" t="s">
        <v>1643</v>
      </c>
      <c r="L34" s="63" t="s">
        <v>1644</v>
      </c>
      <c r="M34" s="63" t="s">
        <v>1645</v>
      </c>
      <c r="N34" s="63" t="s">
        <v>1646</v>
      </c>
      <c r="O34" s="63" t="s">
        <v>1647</v>
      </c>
      <c r="P34" s="63" t="s">
        <v>1648</v>
      </c>
    </row>
    <row r="35" spans="2:16">
      <c r="B35" s="289"/>
      <c r="C35" s="289"/>
      <c r="D35" s="289"/>
      <c r="F35" s="499"/>
      <c r="G35" s="63" t="s">
        <v>1649</v>
      </c>
      <c r="H35" s="63" t="e">
        <f>(IF(AND('EXT-CALC'!$S$54="L1",'EXT-CALC'!$S$67="Enabled"),VLOOKUP('EXT-CALC'!$T$62,DBRECT!$H$10:$M$100,5,FALSE),"0")+IF(AND('EXT-CALC'!$T$54="L1",'EXT-CALC'!$T$67="Enabled"),VLOOKUP('EXT-CALC'!$T$62,DBRECT!$H$10:$M$100,5,FALSE),"0")+IF(AND('EXT-CALC'!$U$54="L1",'EXT-CALC'!$U$67="Enabled"),VLOOKUP('EXT-CALC'!$T$62,DBRECT!$H$10:$M$100,5,FALSE),"0")+IF(AND('EXT-CALC'!$V$54="L1",'EXT-CALC'!$V$67="Enabled"),VLOOKUP('EXT-CALC'!$T$62,DBRECT!$H$10:$M$100,5,FALSE),"0")+IF(AND('EXT-CALC'!$W$54="L1",'EXT-CALC'!$W$67="Enabled"),VLOOKUP('EXT-CALC'!$T$62,DBRECT!$H$10:$M$100,5,FALSE),"0")+IF(AND('EXT-CALC'!$S$55="L1",'EXT-CALC'!$S$68="Enabled"),VLOOKUP('EXT-CALC'!$T$62,DBRECT!$H$10:$M$100,5,FALSE),"0")+IF(AND('EXT-CALC'!$T$55="L1",'EXT-CALC'!$T$68="Enabled"),VLOOKUP('EXT-CALC'!$T$62,DBRECT!$H$10:$M$100,5,FALSE),"0")+IF(AND('EXT-CALC'!$U$55="L1",'EXT-CALC'!$U$68="Enabled"),VLOOKUP('EXT-CALC'!$T$62,DBRECT!$H$10:$M$100,5,FALSE),"0")+IF(AND('EXT-CALC'!$V$55="L1",'EXT-CALC'!$V$68="Enabled"),VLOOKUP('EXT-CALC'!$T$62,DBRECT!$H$10:$M$100,5,FALSE),"0")+IF(AND('EXT-CALC'!$W$55="L1",'EXT-CALC'!$W$68="Enabled"),VLOOKUP('EXT-CALC'!$T$62,DBRECT!$H$10:$M$100,5,FALSE),"0")+IF(AND('EXT-CALC'!$S$56="L1",'EXT-CALC'!$S$69="Enabled"),VLOOKUP('EXT-CALC'!$T$62,DBRECT!$H$10:$M$100,5,FALSE),"0")+IF(AND('EXT-CALC'!$T$56="L1",'EXT-CALC'!$T$69="Enabled"),VLOOKUP('EXT-CALC'!$T$62,DBRECT!$H$10:$M$100,5,FALSE),"0")+IF(AND('EXT-CALC'!$U$56="L1",'EXT-CALC'!$U$69="Enabled"),VLOOKUP('EXT-CALC'!$T$62,DBRECT!$H$10:$M$100,5,FALSE),"0")+IF(AND('EXT-CALC'!$V$56="L1",'EXT-CALC'!$V$69="Enabled"),VLOOKUP('EXT-CALC'!$T$62,DBRECT!$H$10:$M$100,5,FALSE),"0")+IF(AND('EXT-CALC'!$W$56="L1",'EXT-CALC'!$W$69="Enabled"),VLOOKUP('EXT-CALC'!$T$62,DBRECT!$H$10:$M$100,5,FALSE),"0")+IF(AND('EXT-CALC'!$S$57="L1",'EXT-CALC'!$S$70="Enabled"),VLOOKUP('EXT-CALC'!$T$62,DBRECT!$H$10:$M$100,5,FALSE),"0")+IF(AND('EXT-CALC'!$T$57="L1",'EXT-CALC'!$T$70="Enabled"),VLOOKUP('EXT-CALC'!$T$62,DBRECT!$H$10:$M$100,5,FALSE),"0")+IF(AND('EXT-CALC'!$U$57="L1",'EXT-CALC'!$U$70="Enabled"),VLOOKUP('EXT-CALC'!$T$62,DBRECT!$H$10:$M$100,5,FALSE),"0")+IF(AND('EXT-CALC'!$V$57="L1",'EXT-CALC'!$V$70="Enabled"),VLOOKUP('EXT-CALC'!$T$62,DBRECT!$H$10:$M$100,5,FALSE),"0")+IF(AND('EXT-CALC'!$W$57="L1",'EXT-CALC'!$W$70="Enabled"),VLOOKUP('EXT-CALC'!$T$62,DBRECT!$H$10:$M$100,5,FALSE),"0"))*P35</f>
        <v>#N/A</v>
      </c>
      <c r="I35" s="63" t="e">
        <f>(IF(AND('EXT-CALC'!$S$54="L2",'EXT-CALC'!$S$67="Enabled"),VLOOKUP('EXT-CALC'!$T$62,DBRECT!$H$10:$M$100,5,FALSE),"0")+IF(AND('EXT-CALC'!$T$54="L2",'EXT-CALC'!$T$67="Enabled"),VLOOKUP('EXT-CALC'!$T$62,DBRECT!$H$10:$M$100,5,FALSE),"0")+IF(AND('EXT-CALC'!$U$54="L2",'EXT-CALC'!$U$67="Enabled"),VLOOKUP('EXT-CALC'!$T$62,DBRECT!$H$10:$M$100,5,FALSE),"0")+IF(AND('EXT-CALC'!$V$54="L2",'EXT-CALC'!$V$67="Enabled"),VLOOKUP('EXT-CALC'!$T$62,DBRECT!$H$10:$M$100,5,FALSE),"0")+IF(AND('EXT-CALC'!$W$54="L2",'EXT-CALC'!$W$67="Enabled"),VLOOKUP('EXT-CALC'!$T$62,DBRECT!$H$10:$M$100,5,FALSE),"0")+IF(AND('EXT-CALC'!$S$55="L2",'EXT-CALC'!$S$68="Enabled"),VLOOKUP('EXT-CALC'!$T$62,DBRECT!$H$10:$M$100,5,FALSE),"0")+IF(AND('EXT-CALC'!$T$55="L2",'EXT-CALC'!$T$68="Enabled"),VLOOKUP('EXT-CALC'!$T$62,DBRECT!$H$10:$M$100,5,FALSE),"0")+IF(AND('EXT-CALC'!$U$55="L2",'EXT-CALC'!$U$68="Enabled"),VLOOKUP('EXT-CALC'!$T$62,DBRECT!$H$10:$M$100,5,FALSE),"0")+IF(AND('EXT-CALC'!$V$55="L2",'EXT-CALC'!$V$68="Enabled"),VLOOKUP('EXT-CALC'!$T$62,DBRECT!$H$10:$M$100,5,FALSE),"0")+IF(AND('EXT-CALC'!$W$55="L2",'EXT-CALC'!$W$68="Enabled"),VLOOKUP('EXT-CALC'!$T$62,DBRECT!$H$10:$M$100,5,FALSE),"0")+IF(AND('EXT-CALC'!$S$56="L2",'EXT-CALC'!$S$69="Enabled"),VLOOKUP('EXT-CALC'!$T$62,DBRECT!$H$10:$M$100,5,FALSE),"0")+IF(AND('EXT-CALC'!$T$56="L2",'EXT-CALC'!$T$69="Enabled"),VLOOKUP('EXT-CALC'!$T$62,DBRECT!$H$10:$M$100,5,FALSE),"0")+IF(AND('EXT-CALC'!$U$56="L2",'EXT-CALC'!$U$69="Enabled"),VLOOKUP('EXT-CALC'!$T$62,DBRECT!$H$10:$M$100,5,FALSE),"0")+IF(AND('EXT-CALC'!$V$56="L2",'EXT-CALC'!$V$69="Enabled"),VLOOKUP('EXT-CALC'!$T$62,DBRECT!$H$10:$M$100,5,FALSE),"0")+IF(AND('EXT-CALC'!$W$56="L2",'EXT-CALC'!$W$69="Enabled"),VLOOKUP('EXT-CALC'!$T$62,DBRECT!$H$10:$M$100,5,FALSE),"0")+IF(AND('EXT-CALC'!$S$57="L2",'EXT-CALC'!$S$70="Enabled"),VLOOKUP('EXT-CALC'!$T$62,DBRECT!$H$10:$M$100,5,FALSE),"0")+IF(AND('EXT-CALC'!$T$57="L2",'EXT-CALC'!$T$70="Enabled"),VLOOKUP('EXT-CALC'!$T$62,DBRECT!$H$10:$M$100,5,FALSE),"0")+IF(AND('EXT-CALC'!$U$57="L2",'EXT-CALC'!$U$70="Enabled"),VLOOKUP('EXT-CALC'!$T$62,DBRECT!$H$10:$M$100,5,FALSE),"0")+IF(AND('EXT-CALC'!$V$57="L2",'EXT-CALC'!$V$70="Enabled"),VLOOKUP('EXT-CALC'!$T$62,DBRECT!$H$10:$M$100,5,FALSE),"0")+IF(AND('EXT-CALC'!$W$57="L2",'EXT-CALC'!$W$70="Enabled"),VLOOKUP('EXT-CALC'!$T$62,DBRECT!$H$10:$M$100,5,FALSE),"0"))*P35</f>
        <v>#N/A</v>
      </c>
      <c r="J35" s="63" t="e">
        <f>(IF(AND('EXT-CALC'!$S$54="L3",'EXT-CALC'!$S$67="Enabled"),VLOOKUP('EXT-CALC'!$T$62,DBRECT!$H$10:$M$100,5,FALSE),"0")+IF(AND('EXT-CALC'!$T$54="L3",'EXT-CALC'!$T$67="Enabled"),VLOOKUP('EXT-CALC'!$T$62,DBRECT!$H$10:$M$100,5,FALSE),"0")+IF(AND('EXT-CALC'!$U$54="L3",'EXT-CALC'!$U$67="Enabled"),VLOOKUP('EXT-CALC'!$T$62,DBRECT!$H$10:$M$100,5,FALSE),"0")+IF(AND('EXT-CALC'!$V$54="L3",'EXT-CALC'!$V$67="Enabled"),VLOOKUP('EXT-CALC'!$T$62,DBRECT!$H$10:$M$100,5,FALSE),"0")+IF(AND('EXT-CALC'!$W$54="L3",'EXT-CALC'!$W$67="Enabled"),VLOOKUP('EXT-CALC'!$T$62,DBRECT!$H$10:$M$100,5,FALSE),"0")+IF(AND('EXT-CALC'!$S$55="L3",'EXT-CALC'!$S$68="Enabled"),VLOOKUP('EXT-CALC'!$T$62,DBRECT!$H$10:$M$100,5,FALSE),"0")+IF(AND('EXT-CALC'!$T$55="L3",'EXT-CALC'!$T$68="Enabled"),VLOOKUP('EXT-CALC'!$T$62,DBRECT!$H$10:$M$100,5,FALSE),"0")+IF(AND('EXT-CALC'!$U$55="L3",'EXT-CALC'!$U$68="Enabled"),VLOOKUP('EXT-CALC'!$T$62,DBRECT!$H$10:$M$100,5,FALSE),"0")+IF(AND('EXT-CALC'!$V$55="L3",'EXT-CALC'!$V$68="Enabled"),VLOOKUP('EXT-CALC'!$T$62,DBRECT!$H$10:$M$100,5,FALSE),"0")+IF(AND('EXT-CALC'!$W$55="L3",'EXT-CALC'!$W$68="Enabled"),VLOOKUP('EXT-CALC'!$T$62,DBRECT!$H$10:$M$100,5,FALSE),"0")+IF(AND('EXT-CALC'!$S$56="L3",'EXT-CALC'!$S$69="Enabled"),VLOOKUP('EXT-CALC'!$T$62,DBRECT!$H$10:$M$100,5,FALSE),"0")+IF(AND('EXT-CALC'!$T$56="L3",'EXT-CALC'!$T$69="Enabled"),VLOOKUP('EXT-CALC'!$T$62,DBRECT!$H$10:$M$100,5,FALSE),"0")+IF(AND('EXT-CALC'!$U$56="L3",'EXT-CALC'!$U$69="Enabled"),VLOOKUP('EXT-CALC'!$T$62,DBRECT!$H$10:$M$100,5,FALSE),"0")+IF(AND('EXT-CALC'!$V$56="L3",'EXT-CALC'!$V$69="Enabled"),VLOOKUP('EXT-CALC'!$T$62,DBRECT!$H$10:$M$100,5,FALSE),"0")+IF(AND('EXT-CALC'!$W$56="L3",'EXT-CALC'!$W$69="Enabled"),VLOOKUP('EXT-CALC'!$T$62,DBRECT!$H$10:$M$100,5,FALSE),"0")+IF(AND('EXT-CALC'!$S$57="L3",'EXT-CALC'!$S$70="Enabled"),VLOOKUP('EXT-CALC'!$T$62,DBRECT!$H$10:$M$100,5,FALSE),"0")+IF(AND('EXT-CALC'!$T$57="L3",'EXT-CALC'!$T$70="Enabled"),VLOOKUP('EXT-CALC'!$T$62,DBRECT!$H$10:$M$100,5,FALSE),"0")+IF(AND('EXT-CALC'!$U$57="L3",'EXT-CALC'!$U$70="Enabled"),VLOOKUP('EXT-CALC'!$T$62,DBRECT!$H$10:$M$100,5,FALSE),"0")+IF(AND('EXT-CALC'!$V$57="L3",'EXT-CALC'!$V$70="Enabled"),VLOOKUP('EXT-CALC'!$T$62,DBRECT!$H$10:$M$100,5,FALSE),"0")+IF(AND('EXT-CALC'!$W$57="L3",'EXT-CALC'!$W$70="Enabled"),VLOOKUP('EXT-CALC'!$T$62,DBRECT!$H$10:$M$100,5,FALSE),"0"))*P35</f>
        <v>#N/A</v>
      </c>
      <c r="K35" s="63">
        <f>COUNTIF(H35:J35,"&lt;&gt;0")</f>
        <v>3</v>
      </c>
      <c r="L35" s="92" t="e">
        <f>SUM(H35:J35)</f>
        <v>#N/A</v>
      </c>
      <c r="M35" s="92">
        <f>IF(F34="DISABLED",0,'EXT-CALC'!T84)</f>
        <v>0</v>
      </c>
      <c r="N35" s="92">
        <f>IF(F34="DISABLED",0,'EXT-CALC'!T85)</f>
        <v>0</v>
      </c>
      <c r="O35" s="92">
        <f>IF(F34="DISABLED",0,'EXT-CALC'!T82)</f>
        <v>0</v>
      </c>
      <c r="P35" s="63" t="e">
        <f>(VLOOKUP('EXT-CALC'!T62,DBRECT!$H$10:$M$100,6,FALSE))</f>
        <v>#N/A</v>
      </c>
    </row>
    <row r="36" spans="2:16">
      <c r="B36" s="289"/>
      <c r="C36" s="289"/>
      <c r="D36" s="289"/>
      <c r="F36" s="499"/>
      <c r="G36" s="63" t="s">
        <v>1650</v>
      </c>
      <c r="H36" s="92">
        <f>IFERROR(H35/L35*100,0)</f>
        <v>0</v>
      </c>
      <c r="I36" s="92">
        <f>IFERROR(I35/L35*100,0)</f>
        <v>0</v>
      </c>
      <c r="J36" s="92">
        <f>IFERROR(J35/L35*100,0)</f>
        <v>0</v>
      </c>
      <c r="L36" s="95"/>
      <c r="M36" s="95"/>
      <c r="N36" s="95"/>
      <c r="O36" s="95"/>
    </row>
    <row r="37" spans="2:16">
      <c r="B37" s="289"/>
      <c r="C37" s="289"/>
      <c r="D37" s="289"/>
      <c r="F37" s="499"/>
      <c r="N37" s="95"/>
      <c r="O37" s="95"/>
    </row>
    <row r="38" spans="2:16">
      <c r="B38" s="289"/>
      <c r="C38" s="289"/>
      <c r="D38" s="289"/>
      <c r="F38" s="499" t="s">
        <v>1645</v>
      </c>
      <c r="G38" s="63" t="s">
        <v>1651</v>
      </c>
      <c r="H38" s="92" t="e">
        <f>IF(H35=0,0,M35*(H36/100))</f>
        <v>#N/A</v>
      </c>
      <c r="I38" s="92" t="e">
        <f>IF(I35=0,0,M35*(I36/100))</f>
        <v>#N/A</v>
      </c>
      <c r="J38" s="92" t="e">
        <f>IF(J35=0,0,M35*(J36/100))</f>
        <v>#N/A</v>
      </c>
      <c r="N38" s="95"/>
      <c r="O38" s="95"/>
    </row>
    <row r="39" spans="2:16">
      <c r="B39" s="289"/>
      <c r="C39" s="289"/>
      <c r="D39" s="289"/>
      <c r="F39" s="499"/>
      <c r="G39" s="63" t="s">
        <v>1652</v>
      </c>
      <c r="H39" s="63" t="e">
        <f>IF(H38&gt;H35,H38-H35,0)</f>
        <v>#N/A</v>
      </c>
      <c r="I39" s="63" t="e">
        <f>IF(I38&gt;I35,I38-I35,0)</f>
        <v>#N/A</v>
      </c>
      <c r="J39" s="63" t="e">
        <f>IF(J38&gt;J35,J38-J35,0)</f>
        <v>#N/A</v>
      </c>
      <c r="K39" s="63">
        <f>COUNTIF(H39:J39,"&lt;&gt;0")</f>
        <v>3</v>
      </c>
      <c r="N39" s="95"/>
      <c r="O39" s="95"/>
    </row>
    <row r="40" spans="2:16">
      <c r="B40" s="289"/>
      <c r="C40" s="289"/>
      <c r="D40" s="289"/>
      <c r="F40" s="499"/>
      <c r="G40" s="63" t="s">
        <v>1653</v>
      </c>
      <c r="H40" s="92" t="e">
        <f>IFERROR(IF(H39&lt;&gt;0,H35,H39/K39),H38)</f>
        <v>#N/A</v>
      </c>
      <c r="I40" s="92" t="e">
        <f>IFERROR(IF(I39&lt;&gt;0,I35,I39/K39),I38)</f>
        <v>#N/A</v>
      </c>
      <c r="J40" s="92" t="e">
        <f>IFERROR(IF(J39&lt;&gt;0,J35,J39/K39),J38)</f>
        <v>#N/A</v>
      </c>
      <c r="N40" s="95"/>
      <c r="O40" s="95"/>
    </row>
    <row r="41" spans="2:16">
      <c r="B41" s="289"/>
      <c r="C41" s="289"/>
      <c r="D41" s="289"/>
      <c r="F41" s="499"/>
      <c r="G41" s="63" t="s">
        <v>1654</v>
      </c>
      <c r="H41" s="93">
        <f>IFERROR(H38/H35,0)</f>
        <v>0</v>
      </c>
      <c r="I41" s="93">
        <f>IFERROR(I38/I35,0)</f>
        <v>0</v>
      </c>
      <c r="J41" s="93">
        <f>IFERROR(J38/J35,0)</f>
        <v>0</v>
      </c>
      <c r="N41" s="95"/>
      <c r="O41" s="95"/>
    </row>
    <row r="42" spans="2:16">
      <c r="B42" s="289"/>
      <c r="C42" s="289"/>
      <c r="D42" s="289"/>
      <c r="F42" s="91"/>
      <c r="G42" s="98" t="s">
        <v>1655</v>
      </c>
      <c r="H42" s="99" t="e">
        <f>H38*(2-$P$35)</f>
        <v>#N/A</v>
      </c>
      <c r="I42" s="99" t="e">
        <f t="shared" ref="I42:J42" si="3">I38*(2-$P$35)</f>
        <v>#N/A</v>
      </c>
      <c r="J42" s="99" t="e">
        <f t="shared" si="3"/>
        <v>#N/A</v>
      </c>
      <c r="N42" s="95"/>
      <c r="O42" s="95"/>
    </row>
    <row r="43" spans="2:16">
      <c r="B43" s="289"/>
      <c r="C43" s="289"/>
      <c r="D43" s="289"/>
      <c r="F43" s="91"/>
      <c r="G43" s="98" t="s">
        <v>1656</v>
      </c>
      <c r="H43" s="99" t="e">
        <f>H38+H52*(2-$P$35)</f>
        <v>#N/A</v>
      </c>
      <c r="I43" s="99" t="e">
        <f t="shared" ref="I43:J43" si="4">I38+I52*(2-$P$35)</f>
        <v>#N/A</v>
      </c>
      <c r="J43" s="99" t="e">
        <f t="shared" si="4"/>
        <v>#N/A</v>
      </c>
      <c r="N43" s="95"/>
      <c r="O43" s="95"/>
    </row>
    <row r="44" spans="2:16">
      <c r="B44" s="289"/>
      <c r="C44" s="289"/>
      <c r="D44" s="289"/>
      <c r="F44" s="91"/>
      <c r="N44" s="95"/>
      <c r="O44" s="95"/>
    </row>
    <row r="45" spans="2:16">
      <c r="B45" s="289"/>
      <c r="C45" s="289"/>
      <c r="D45" s="289"/>
      <c r="F45" s="499" t="s">
        <v>1646</v>
      </c>
      <c r="G45" s="63" t="s">
        <v>1651</v>
      </c>
      <c r="H45" s="92" t="e">
        <f>IF(H35=0,0,N35*(H36/100))</f>
        <v>#N/A</v>
      </c>
      <c r="I45" s="92" t="e">
        <f>IF(I35=0,0,N35*(I36/100))</f>
        <v>#N/A</v>
      </c>
      <c r="J45" s="92" t="e">
        <f>IF(J35=0,0,N35*(J36/100))</f>
        <v>#N/A</v>
      </c>
      <c r="N45" s="95"/>
      <c r="O45" s="95"/>
    </row>
    <row r="46" spans="2:16">
      <c r="B46" s="289"/>
      <c r="C46" s="289"/>
      <c r="D46" s="289"/>
      <c r="F46" s="499"/>
      <c r="G46" s="63" t="s">
        <v>1652</v>
      </c>
      <c r="H46" s="92" t="e">
        <f>IF(H45&gt;H35,H45-H35,0)</f>
        <v>#N/A</v>
      </c>
      <c r="I46" s="92" t="e">
        <f>IF(I45&gt;I35,I45-I35,0)</f>
        <v>#N/A</v>
      </c>
      <c r="J46" s="92" t="e">
        <f>IF(J45&gt;J35,J45-J35,0)</f>
        <v>#N/A</v>
      </c>
      <c r="K46" s="63">
        <f>COUNTIF(H46:J46,"&lt;&gt;0")</f>
        <v>3</v>
      </c>
      <c r="N46" s="95"/>
      <c r="O46" s="95"/>
    </row>
    <row r="47" spans="2:16">
      <c r="B47" s="289"/>
      <c r="C47" s="289"/>
      <c r="D47" s="289"/>
      <c r="F47" s="499"/>
      <c r="G47" s="63" t="s">
        <v>1653</v>
      </c>
      <c r="H47" s="92" t="e">
        <f>IFERROR(IF(H46&lt;&gt;0,H35,H46/K46),H45)</f>
        <v>#N/A</v>
      </c>
      <c r="I47" s="92" t="e">
        <f>IFERROR(IF(I46&lt;&gt;0,I35,I46/K46),I45)</f>
        <v>#N/A</v>
      </c>
      <c r="J47" s="92" t="e">
        <f>IFERROR(IF(J46&lt;&gt;0,J35,J46/K46),J45)</f>
        <v>#N/A</v>
      </c>
      <c r="N47" s="95"/>
      <c r="O47" s="95"/>
    </row>
    <row r="48" spans="2:16">
      <c r="B48" s="289"/>
      <c r="C48" s="289"/>
      <c r="D48" s="289"/>
      <c r="F48" s="499"/>
      <c r="G48" s="63" t="s">
        <v>1654</v>
      </c>
      <c r="H48" s="93">
        <f>IFERROR(H45/H35,0)</f>
        <v>0</v>
      </c>
      <c r="I48" s="93">
        <f>IFERROR(I45/I35,0)</f>
        <v>0</v>
      </c>
      <c r="J48" s="93">
        <f>IFERROR(J45/J35,0)</f>
        <v>0</v>
      </c>
      <c r="N48" s="95"/>
      <c r="O48" s="95"/>
    </row>
    <row r="49" spans="6:16">
      <c r="F49" s="91"/>
      <c r="G49" s="98" t="s">
        <v>1655</v>
      </c>
      <c r="H49" s="99" t="e">
        <f>H45*(2-$P$35)</f>
        <v>#N/A</v>
      </c>
      <c r="I49" s="99" t="e">
        <f t="shared" ref="I49:J49" si="5">I45*(2-$P$35)</f>
        <v>#N/A</v>
      </c>
      <c r="J49" s="99" t="e">
        <f t="shared" si="5"/>
        <v>#N/A</v>
      </c>
      <c r="N49" s="95"/>
      <c r="O49" s="95"/>
    </row>
    <row r="50" spans="6:16">
      <c r="F50" s="91"/>
      <c r="G50" s="98" t="s">
        <v>1656</v>
      </c>
      <c r="H50" s="99" t="e">
        <f>H45+H52*(2-$P$35)</f>
        <v>#N/A</v>
      </c>
      <c r="I50" s="99" t="e">
        <f t="shared" ref="I50:J50" si="6">I45+I52*(2-$P$35)</f>
        <v>#N/A</v>
      </c>
      <c r="J50" s="99" t="e">
        <f t="shared" si="6"/>
        <v>#N/A</v>
      </c>
      <c r="N50" s="95"/>
      <c r="O50" s="95"/>
    </row>
    <row r="51" spans="6:16">
      <c r="G51"/>
      <c r="H51"/>
      <c r="I51"/>
      <c r="J51"/>
      <c r="K51"/>
      <c r="L51"/>
      <c r="M51"/>
      <c r="N51"/>
      <c r="O51"/>
      <c r="P51"/>
    </row>
    <row r="52" spans="6:16">
      <c r="F52" s="91"/>
      <c r="G52" s="63" t="s">
        <v>1657</v>
      </c>
      <c r="H52" s="92" t="e">
        <f>IF(H35&lt;&gt;0,O35/K35,0)</f>
        <v>#N/A</v>
      </c>
      <c r="I52" s="92" t="e">
        <f>IF(I35&lt;&gt;0,O35/K35,0)</f>
        <v>#N/A</v>
      </c>
      <c r="J52" s="92" t="e">
        <f>IF(J35&lt;&gt;0,O35/K35,0)</f>
        <v>#N/A</v>
      </c>
      <c r="N52" s="95"/>
      <c r="O52" s="95"/>
    </row>
    <row r="53" spans="6:16">
      <c r="F53" s="90"/>
      <c r="G53" s="63" t="s">
        <v>1658</v>
      </c>
      <c r="H53" s="92" t="e">
        <f>H35-H40</f>
        <v>#N/A</v>
      </c>
      <c r="I53" s="92" t="e">
        <f>I35-I40</f>
        <v>#N/A</v>
      </c>
      <c r="J53" s="92" t="e">
        <f>J35-J40</f>
        <v>#N/A</v>
      </c>
      <c r="N53" s="95"/>
      <c r="O53" s="95"/>
    </row>
    <row r="54" spans="6:16">
      <c r="F54" s="90"/>
      <c r="G54" s="63" t="s">
        <v>417</v>
      </c>
      <c r="H54" s="92" t="e">
        <f>IF(H52&lt;H53,H52,H53)</f>
        <v>#N/A</v>
      </c>
      <c r="I54" s="92" t="e">
        <f>IF(I52&lt;I53,I52,I53)</f>
        <v>#N/A</v>
      </c>
      <c r="J54" s="92" t="e">
        <f>IF(J52&lt;J53,J52,J53)</f>
        <v>#N/A</v>
      </c>
    </row>
    <row r="55" spans="6:16">
      <c r="F55" s="90"/>
    </row>
    <row r="56" spans="6:16">
      <c r="F56" s="90"/>
      <c r="G56" s="96" t="s">
        <v>1660</v>
      </c>
    </row>
    <row r="57" spans="6:16">
      <c r="F57" s="499" t="str">
        <f>'EXT-CALC'!AG9</f>
        <v>DISABLED</v>
      </c>
      <c r="G57" s="63"/>
      <c r="H57" s="63" t="s">
        <v>388</v>
      </c>
      <c r="I57" s="63" t="s">
        <v>389</v>
      </c>
      <c r="J57" s="63" t="s">
        <v>390</v>
      </c>
      <c r="K57" s="63" t="s">
        <v>1643</v>
      </c>
      <c r="L57" s="63" t="s">
        <v>1644</v>
      </c>
      <c r="M57" s="63" t="s">
        <v>1645</v>
      </c>
      <c r="N57" s="63" t="s">
        <v>1646</v>
      </c>
      <c r="O57" s="63" t="s">
        <v>1647</v>
      </c>
      <c r="P57" s="63" t="s">
        <v>1648</v>
      </c>
    </row>
    <row r="58" spans="6:16">
      <c r="F58" s="499"/>
      <c r="G58" s="63" t="s">
        <v>1649</v>
      </c>
      <c r="H58" s="63">
        <f>(IF(AND('EXT-CALC'!$AC$54="L1",'EXT-CALC'!$AC$67="Enabled"),VLOOKUP('EXT-CALC'!$AD$62,DBRECT!$H$10:$M$100,5,FALSE),"0")+IF(AND('EXT-CALC'!$AD$54="L1",'EXT-CALC'!$AD$67="Enabled"),VLOOKUP('EXT-CALC'!$AD$62,DBRECT!$H$10:$M$100,5,FALSE),"0")+IF(AND('EXT-CALC'!$AE$54="L1",'EXT-CALC'!$AE$67="Enabled"),VLOOKUP('EXT-CALC'!$AD$62,DBRECT!$H$10:$M$100,5,FALSE),"0")+IF(AND('EXT-CALC'!$AF$54="L1",'EXT-CALC'!$AF$67="Enabled"),VLOOKUP('EXT-CALC'!$AD$62,DBRECT!$H$10:$M$100,5,FALSE),"0")+IF(AND('EXT-CALC'!$AG$54="L1",'EXT-CALC'!$AG$67="Enabled"),VLOOKUP('EXT-CALC'!$AD$62,DBRECT!$H$10:$M$100,5,FALSE),"0")+IF(AND('EXT-CALC'!$AC$55="L1",'EXT-CALC'!$AC$68="Enabled"),VLOOKUP('EXT-CALC'!$AD$62,DBRECT!$H$10:$M$100,5,FALSE),"0")+IF(AND('EXT-CALC'!$AD$55="L1",'EXT-CALC'!$AD$68="Enabled"),VLOOKUP('EXT-CALC'!$AD$62,DBRECT!$H$10:$M$100,5,FALSE),"0")+IF(AND('EXT-CALC'!$AE$55="L1",'EXT-CALC'!$AE$68="Enabled"),VLOOKUP('EXT-CALC'!$AD$62,DBRECT!$H$10:$M$100,5,FALSE),"0")+IF(AND('EXT-CALC'!$AF$55="L1",'EXT-CALC'!$AF$68="Enabled"),VLOOKUP('EXT-CALC'!$AD$62,DBRECT!$H$10:$M$100,5,FALSE),"0")+IF(AND('EXT-CALC'!$AG$55="L1",'EXT-CALC'!$AG$68="Enabled"),VLOOKUP('EXT-CALC'!$AD$62,DBRECT!$H$10:$M$100,5,FALSE),"0")+IF(AND('EXT-CALC'!$AC$56="L1",'EXT-CALC'!$AC$69="Enabled"),VLOOKUP('EXT-CALC'!$AD$62,DBRECT!$H$10:$M$100,5,FALSE),"0")+IF(AND('EXT-CALC'!$AD$56="L1",'EXT-CALC'!$AD$69="Enabled"),VLOOKUP('EXT-CALC'!$AD$62,DBRECT!$H$10:$M$100,5,FALSE),"0")+IF(AND('EXT-CALC'!$AE$56="L1",'EXT-CALC'!$AE$69="Enabled"),VLOOKUP('EXT-CALC'!$AD$62,DBRECT!$H$10:$M$100,5,FALSE),"0")+IF(AND('EXT-CALC'!$AF$56="L1",'EXT-CALC'!$AF$69="Enabled"),VLOOKUP('EXT-CALC'!$AD$62,DBRECT!$H$10:$M$100,5,FALSE),"0")+IF(AND('EXT-CALC'!$AG$56="L1",'EXT-CALC'!$AG$69="Enabled"),VLOOKUP('EXT-CALC'!$AD$62,DBRECT!$H$10:$M$100,5,FALSE),"0")+IF(AND('EXT-CALC'!$AC$57="L1",'EXT-CALC'!$AC$70="Enabled"),VLOOKUP('EXT-CALC'!$AD$62,DBRECT!$H$10:$M$100,5,FALSE),"0")+IF(AND('EXT-CALC'!$AD$57="L1",'EXT-CALC'!$AD$70="Enabled"),VLOOKUP('EXT-CALC'!$AD$62,DBRECT!$H$10:$M$100,5,FALSE),"0")+IF(AND('EXT-CALC'!$AE$57="L1",'EXT-CALC'!$AE$70="Enabled"),VLOOKUP('EXT-CALC'!$AD$62,DBRECT!$H$10:$M$100,5,FALSE),"0")+IF(AND('EXT-CALC'!$AF$57="L1",'EXT-CALC'!$AF$70="Enabled"),VLOOKUP('EXT-CALC'!$AD$62,DBRECT!$H$10:$M$100,5,FALSE),"0")+IF(AND('EXT-CALC'!$AG$57="L1",'EXT-CALC'!$AG$70="Enabled"),VLOOKUP('EXT-CALC'!$AD$62,DBRECT!$H$10:$M$100,5,FALSE),"0"))*P58</f>
        <v>5772</v>
      </c>
      <c r="I58" s="63">
        <f>(IF(AND('EXT-CALC'!$AC$54="L2",'EXT-CALC'!$AC$67="Enabled"),VLOOKUP('EXT-CALC'!$AD$62,DBRECT!$H$10:$M$100,5,FALSE),"0")+IF(AND('EXT-CALC'!$AD$54="L2",'EXT-CALC'!$AD$67="Enabled"),VLOOKUP('EXT-CALC'!$AD$62,DBRECT!$H$10:$M$100,5,FALSE),"0")+IF(AND('EXT-CALC'!$AE$54="L2",'EXT-CALC'!$AE$67="Enabled"),VLOOKUP('EXT-CALC'!$AD$62,DBRECT!$H$10:$M$100,5,FALSE),"0")+IF(AND('EXT-CALC'!$AF$54="L2",'EXT-CALC'!$AF$67="Enabled"),VLOOKUP('EXT-CALC'!$AD$62,DBRECT!$H$10:$M$100,5,FALSE),"0")+IF(AND('EXT-CALC'!$AG$54="L2",'EXT-CALC'!$AG$67="Enabled"),VLOOKUP('EXT-CALC'!$AD$62,DBRECT!$H$10:$M$100,5,FALSE),"0")+IF(AND('EXT-CALC'!$AC$55="L2",'EXT-CALC'!$AC$68="Enabled"),VLOOKUP('EXT-CALC'!$AD$62,DBRECT!$H$10:$M$100,5,FALSE),"0")+IF(AND('EXT-CALC'!$AD$55="L2",'EXT-CALC'!$AD$68="Enabled"),VLOOKUP('EXT-CALC'!$AD$62,DBRECT!$H$10:$M$100,5,FALSE),"0")+IF(AND('EXT-CALC'!$AE$55="L2",'EXT-CALC'!$AE$68="Enabled"),VLOOKUP('EXT-CALC'!$AD$62,DBRECT!$H$10:$M$100,5,FALSE),"0")+IF(AND('EXT-CALC'!$AF$55="L2",'EXT-CALC'!$AF$68="Enabled"),VLOOKUP('EXT-CALC'!$AD$62,DBRECT!$H$10:$M$100,5,FALSE),"0")+IF(AND('EXT-CALC'!$AG$55="L2",'EXT-CALC'!$AG$68="Enabled"),VLOOKUP('EXT-CALC'!$AD$62,DBRECT!$H$10:$M$100,5,FALSE),"0")+IF(AND('EXT-CALC'!$AC$56="L2",'EXT-CALC'!$AC$69="Enabled"),VLOOKUP('EXT-CALC'!$AD$62,DBRECT!$H$10:$M$100,5,FALSE),"0")+IF(AND('EXT-CALC'!$AD$56="L2",'EXT-CALC'!$AD$69="Enabled"),VLOOKUP('EXT-CALC'!$AD$62,DBRECT!$H$10:$M$100,5,FALSE),"0")+IF(AND('EXT-CALC'!$AE$56="L2",'EXT-CALC'!$AE$69="Enabled"),VLOOKUP('EXT-CALC'!$AD$62,DBRECT!$H$10:$M$100,5,FALSE),"0")+IF(AND('EXT-CALC'!$AF$56="L2",'EXT-CALC'!$AF$69="Enabled"),VLOOKUP('EXT-CALC'!$AD$62,DBRECT!$H$10:$M$100,5,FALSE),"0")+IF(AND('EXT-CALC'!$AG$56="L2",'EXT-CALC'!$AG$69="Enabled"),VLOOKUP('EXT-CALC'!$AD$62,DBRECT!$H$10:$M$100,5,FALSE),"0")+IF(AND('EXT-CALC'!$AC$57="L2",'EXT-CALC'!$AC$70="Enabled"),VLOOKUP('EXT-CALC'!$AD$62,DBRECT!$H$10:$M$100,5,FALSE),"0")+IF(AND('EXT-CALC'!$AD$57="L2",'EXT-CALC'!$AD$70="Enabled"),VLOOKUP('EXT-CALC'!$AD$62,DBRECT!$H$10:$M$100,5,FALSE),"0")+IF(AND('EXT-CALC'!$AE$57="L2",'EXT-CALC'!$AE$70="Enabled"),VLOOKUP('EXT-CALC'!$AD$62,DBRECT!$H$10:$M$100,5,FALSE),"0")+IF(AND('EXT-CALC'!$AF$57="L2",'EXT-CALC'!$AF$70="Enabled"),VLOOKUP('EXT-CALC'!$AD$62,DBRECT!$H$10:$M$100,5,FALSE),"0")+IF(AND('EXT-CALC'!$AG$57="L2",'EXT-CALC'!$AG$70="Enabled"),VLOOKUP('EXT-CALC'!$AD$62,DBRECT!$H$10:$M$100,5,FALSE),"0"))*P58</f>
        <v>5772</v>
      </c>
      <c r="J58" s="63">
        <f>(IF(AND('EXT-CALC'!$AC$54="L3",'EXT-CALC'!$AC$67="Enabled"),VLOOKUP('EXT-CALC'!$AD$62,DBRECT!$H$10:$M$100,5,FALSE),"0")+IF(AND('EXT-CALC'!$AD$54="L3",'EXT-CALC'!$AD$67="Enabled"),VLOOKUP('EXT-CALC'!$AD$62,DBRECT!$H$10:$M$100,5,FALSE),"0")+IF(AND('EXT-CALC'!$AE$54="L3",'EXT-CALC'!$AE$67="Enabled"),VLOOKUP('EXT-CALC'!$AD$62,DBRECT!$H$10:$M$100,5,FALSE),"0")+IF(AND('EXT-CALC'!$AF$54="L3",'EXT-CALC'!$AF$67="Enabled"),VLOOKUP('EXT-CALC'!$AD$62,DBRECT!$H$10:$M$100,5,FALSE),"0")+IF(AND('EXT-CALC'!$AG$54="L3",'EXT-CALC'!$AG$67="Enabled"),VLOOKUP('EXT-CALC'!$AD$62,DBRECT!$H$10:$M$100,5,FALSE),"0")+IF(AND('EXT-CALC'!$AC$55="L3",'EXT-CALC'!$AC$68="Enabled"),VLOOKUP('EXT-CALC'!$AD$62,DBRECT!$H$10:$M$100,5,FALSE),"0")+IF(AND('EXT-CALC'!$AD$55="L3",'EXT-CALC'!$AD$68="Enabled"),VLOOKUP('EXT-CALC'!$AD$62,DBRECT!$H$10:$M$100,5,FALSE),"0")+IF(AND('EXT-CALC'!$AE$55="L3",'EXT-CALC'!$AE$68="Enabled"),VLOOKUP('EXT-CALC'!$AD$62,DBRECT!$H$10:$M$100,5,FALSE),"0")+IF(AND('EXT-CALC'!$AF$55="L3",'EXT-CALC'!$AF$68="Enabled"),VLOOKUP('EXT-CALC'!$AD$62,DBRECT!$H$10:$M$100,5,FALSE),"0")+IF(AND('EXT-CALC'!$AG$55="L3",'EXT-CALC'!$AG$68="Enabled"),VLOOKUP('EXT-CALC'!$AD$62,DBRECT!$H$10:$M$100,5,FALSE),"0")+IF(AND('EXT-CALC'!$AC$56="L3",'EXT-CALC'!$AC$69="Enabled"),VLOOKUP('EXT-CALC'!$AD$62,DBRECT!$H$10:$M$100,5,FALSE),"0")+IF(AND('EXT-CALC'!$AD$56="L3",'EXT-CALC'!$AD$69="Enabled"),VLOOKUP('EXT-CALC'!$AD$62,DBRECT!$H$10:$M$100,5,FALSE),"0")+IF(AND('EXT-CALC'!$AE$56="L3",'EXT-CALC'!$AE$69="Enabled"),VLOOKUP('EXT-CALC'!$AD$62,DBRECT!$H$10:$M$100,5,FALSE),"0")+IF(AND('EXT-CALC'!$AF$56="L3",'EXT-CALC'!$AF$69="Enabled"),VLOOKUP('EXT-CALC'!$AD$62,DBRECT!$H$10:$M$100,5,FALSE),"0")+IF(AND('EXT-CALC'!$AG$56="L3",'EXT-CALC'!$AG$69="Enabled"),VLOOKUP('EXT-CALC'!$AD$62,DBRECT!$H$10:$M$100,5,FALSE),"0")+IF(AND('EXT-CALC'!$AC$57="L3",'EXT-CALC'!$AC$70="Enabled"),VLOOKUP('EXT-CALC'!$AD$62,DBRECT!$H$10:$M$100,5,FALSE),"0")+IF(AND('EXT-CALC'!$AD$57="L3",'EXT-CALC'!$AD$70="Enabled"),VLOOKUP('EXT-CALC'!$AD$62,DBRECT!$H$10:$M$100,5,FALSE),"0")+IF(AND('EXT-CALC'!$AE$57="L3",'EXT-CALC'!$AE$70="Enabled"),VLOOKUP('EXT-CALC'!$AD$62,DBRECT!$H$10:$M$100,5,FALSE),"0")+IF(AND('EXT-CALC'!$AF$57="L3",'EXT-CALC'!$AF$70="Enabled"),VLOOKUP('EXT-CALC'!$AD$62,DBRECT!$H$10:$M$100,5,FALSE),"0")+IF(AND('EXT-CALC'!$AG$57="L3",'EXT-CALC'!$AG$70="Enabled"),VLOOKUP('EXT-CALC'!$AD$62,DBRECT!$H$10:$M$100,5,FALSE),"0"))*P58</f>
        <v>5772</v>
      </c>
      <c r="K58" s="63">
        <f>COUNTIF(H58:J58,"&lt;&gt;0")</f>
        <v>3</v>
      </c>
      <c r="L58" s="92">
        <f>SUM(H58:J58)</f>
        <v>17316</v>
      </c>
      <c r="M58" s="92">
        <f>IF(F57="DISABLED",0,'EXT-CALC'!AD84)</f>
        <v>0</v>
      </c>
      <c r="N58" s="92">
        <f>IF(F57="DISABLED",0,'EXT-CALC'!AD85)</f>
        <v>0</v>
      </c>
      <c r="O58" s="92">
        <f>IF(F57="DISABLED",0,'EXT-CALC'!AD82)</f>
        <v>0</v>
      </c>
      <c r="P58" s="63">
        <f>(VLOOKUP('EXT-CALC'!AD62,DBRECT!$H$10:$M$100,6,FALSE))</f>
        <v>0.96199999999999997</v>
      </c>
    </row>
    <row r="59" spans="6:16">
      <c r="F59" s="499"/>
      <c r="G59" s="63" t="s">
        <v>1650</v>
      </c>
      <c r="H59" s="92">
        <f>IFERROR(H58/L58*100,0)</f>
        <v>33.333333333333329</v>
      </c>
      <c r="I59" s="92">
        <f>IFERROR(I58/L58*100,0)</f>
        <v>33.333333333333329</v>
      </c>
      <c r="J59" s="92">
        <f>IFERROR(J58/L58*100,0)</f>
        <v>33.333333333333329</v>
      </c>
      <c r="L59" s="95"/>
      <c r="M59" s="95"/>
      <c r="N59" s="95"/>
      <c r="O59" s="95"/>
    </row>
    <row r="60" spans="6:16">
      <c r="F60" s="499"/>
      <c r="N60" s="95"/>
      <c r="O60" s="95"/>
    </row>
    <row r="61" spans="6:16">
      <c r="F61" s="499" t="s">
        <v>1645</v>
      </c>
      <c r="G61" s="63" t="s">
        <v>1651</v>
      </c>
      <c r="H61" s="92">
        <f>IF(H58=0,0,M58*(H59/100))</f>
        <v>0</v>
      </c>
      <c r="I61" s="92">
        <f>IF(I58=0,0,M58*(I59/100))</f>
        <v>0</v>
      </c>
      <c r="J61" s="92">
        <f>IF(J58=0,0,M58*(J59/100))</f>
        <v>0</v>
      </c>
      <c r="N61" s="95"/>
      <c r="O61" s="95"/>
    </row>
    <row r="62" spans="6:16">
      <c r="F62" s="499"/>
      <c r="G62" s="63" t="s">
        <v>1652</v>
      </c>
      <c r="H62" s="63">
        <f>IF(H61&gt;H58,H61-H58,0)</f>
        <v>0</v>
      </c>
      <c r="I62" s="63">
        <f>IF(I61&gt;I58,I61-I58,0)</f>
        <v>0</v>
      </c>
      <c r="J62" s="63">
        <f>IF(J61&gt;J58,J61-J58,0)</f>
        <v>0</v>
      </c>
      <c r="K62" s="63">
        <f>COUNTIF(H62:J62,"&lt;&gt;0")</f>
        <v>0</v>
      </c>
      <c r="N62" s="95"/>
      <c r="O62" s="95"/>
    </row>
    <row r="63" spans="6:16">
      <c r="F63" s="499"/>
      <c r="G63" s="63" t="s">
        <v>1653</v>
      </c>
      <c r="H63" s="92">
        <f>IFERROR(IF(H62&lt;&gt;0,H58,H62/K62),H61)</f>
        <v>0</v>
      </c>
      <c r="I63" s="92">
        <f>IFERROR(IF(I62&lt;&gt;0,I58,I62/K62),I61)</f>
        <v>0</v>
      </c>
      <c r="J63" s="92">
        <f>IFERROR(IF(J62&lt;&gt;0,J58,J62/K62),J61)</f>
        <v>0</v>
      </c>
      <c r="N63" s="95"/>
      <c r="O63" s="95"/>
    </row>
    <row r="64" spans="6:16">
      <c r="F64" s="499"/>
      <c r="G64" s="63" t="s">
        <v>1654</v>
      </c>
      <c r="H64" s="93">
        <f>IFERROR(H61/H58,0)</f>
        <v>0</v>
      </c>
      <c r="I64" s="93">
        <f>IFERROR(I61/I58,0)</f>
        <v>0</v>
      </c>
      <c r="J64" s="93">
        <f>IFERROR(J61/J58,0)</f>
        <v>0</v>
      </c>
      <c r="N64" s="95"/>
      <c r="O64" s="95"/>
    </row>
    <row r="65" spans="6:15">
      <c r="F65" s="91"/>
      <c r="G65" s="98" t="s">
        <v>1655</v>
      </c>
      <c r="H65" s="99">
        <f>H61*(2-$P$58)</f>
        <v>0</v>
      </c>
      <c r="I65" s="99">
        <f t="shared" ref="I65:J65" si="7">I61*(2-$P$58)</f>
        <v>0</v>
      </c>
      <c r="J65" s="99">
        <f t="shared" si="7"/>
        <v>0</v>
      </c>
      <c r="N65" s="95"/>
      <c r="O65" s="95"/>
    </row>
    <row r="66" spans="6:15">
      <c r="F66" s="91"/>
      <c r="G66" s="98" t="s">
        <v>1656</v>
      </c>
      <c r="H66" s="99">
        <f>H61+H75*(2-$P$58)</f>
        <v>0</v>
      </c>
      <c r="I66" s="99">
        <f t="shared" ref="I66:J66" si="8">I61+I75*(2-$P$58)</f>
        <v>0</v>
      </c>
      <c r="J66" s="99">
        <f t="shared" si="8"/>
        <v>0</v>
      </c>
      <c r="N66" s="95"/>
      <c r="O66" s="95"/>
    </row>
    <row r="67" spans="6:15">
      <c r="F67" s="91"/>
      <c r="H67" s="95"/>
      <c r="I67" s="95"/>
      <c r="J67" s="95"/>
      <c r="N67" s="95"/>
      <c r="O67" s="95"/>
    </row>
    <row r="68" spans="6:15">
      <c r="F68" s="499" t="s">
        <v>1646</v>
      </c>
      <c r="G68" s="63" t="s">
        <v>1651</v>
      </c>
      <c r="H68" s="92">
        <f>IF(H58=0,0,N58*(H59/100))</f>
        <v>0</v>
      </c>
      <c r="I68" s="92">
        <f>IF(I58=0,0,N58*(I59/100))</f>
        <v>0</v>
      </c>
      <c r="J68" s="92">
        <f>IF(J58=0,0,N58*(J59/100))</f>
        <v>0</v>
      </c>
      <c r="N68" s="95"/>
      <c r="O68" s="95"/>
    </row>
    <row r="69" spans="6:15">
      <c r="F69" s="499"/>
      <c r="G69" s="63" t="s">
        <v>1652</v>
      </c>
      <c r="H69" s="92">
        <f>IF(H68&gt;H58,H68-H58,0)</f>
        <v>0</v>
      </c>
      <c r="I69" s="92">
        <f>IF(I68&gt;I58,I68-I58,0)</f>
        <v>0</v>
      </c>
      <c r="J69" s="92">
        <f>IF(J68&gt;J58,J68-J58,0)</f>
        <v>0</v>
      </c>
      <c r="K69" s="63">
        <f>COUNTIF(H69:J69,"&lt;&gt;0")</f>
        <v>0</v>
      </c>
      <c r="N69" s="95"/>
      <c r="O69" s="95"/>
    </row>
    <row r="70" spans="6:15">
      <c r="F70" s="499"/>
      <c r="G70" s="63" t="s">
        <v>1653</v>
      </c>
      <c r="H70" s="92">
        <f>IFERROR(IF(H69&lt;&gt;0,H58,H69/K69),H68)</f>
        <v>0</v>
      </c>
      <c r="I70" s="92">
        <f>IFERROR(IF(I69&lt;&gt;0,I58,I69/K69),I68)</f>
        <v>0</v>
      </c>
      <c r="J70" s="92">
        <f>IFERROR(IF(J69&lt;&gt;0,J58,J69/K69),J68)</f>
        <v>0</v>
      </c>
      <c r="N70" s="95"/>
      <c r="O70" s="95"/>
    </row>
    <row r="71" spans="6:15">
      <c r="F71" s="499"/>
      <c r="G71" s="63" t="s">
        <v>1654</v>
      </c>
      <c r="H71" s="93">
        <f>IFERROR(H68/H58,0)</f>
        <v>0</v>
      </c>
      <c r="I71" s="93">
        <f>IFERROR(I68/I58,0)</f>
        <v>0</v>
      </c>
      <c r="J71" s="93">
        <f>IFERROR(J68/J58,0)</f>
        <v>0</v>
      </c>
      <c r="N71" s="95"/>
      <c r="O71" s="95"/>
    </row>
    <row r="72" spans="6:15">
      <c r="F72" s="91"/>
      <c r="G72" s="98" t="s">
        <v>1655</v>
      </c>
      <c r="H72" s="99">
        <f>H68*(2-$P$58)</f>
        <v>0</v>
      </c>
      <c r="I72" s="99">
        <f t="shared" ref="I72:J72" si="9">I68*(2-$P$58)</f>
        <v>0</v>
      </c>
      <c r="J72" s="99">
        <f t="shared" si="9"/>
        <v>0</v>
      </c>
      <c r="N72" s="95"/>
      <c r="O72" s="95"/>
    </row>
    <row r="73" spans="6:15">
      <c r="F73" s="91"/>
      <c r="G73" s="98" t="s">
        <v>1656</v>
      </c>
      <c r="H73" s="99">
        <f>H68+H75*(2-$P$58)</f>
        <v>0</v>
      </c>
      <c r="I73" s="99">
        <f t="shared" ref="I73:J73" si="10">I68+I75*(2-$P$58)</f>
        <v>0</v>
      </c>
      <c r="J73" s="99">
        <f t="shared" si="10"/>
        <v>0</v>
      </c>
      <c r="N73" s="95"/>
      <c r="O73" s="95"/>
    </row>
    <row r="74" spans="6:15">
      <c r="F74" s="91"/>
      <c r="G74"/>
      <c r="H74"/>
      <c r="I74"/>
      <c r="J74"/>
      <c r="K74"/>
      <c r="N74" s="95"/>
      <c r="O74" s="95"/>
    </row>
    <row r="75" spans="6:15">
      <c r="F75" s="91"/>
      <c r="G75" s="63" t="s">
        <v>1657</v>
      </c>
      <c r="H75" s="92">
        <f>IF(H58&lt;&gt;0,O58/K58,0)</f>
        <v>0</v>
      </c>
      <c r="I75" s="92">
        <f>IF(I58&lt;&gt;0,O58/K58,0)</f>
        <v>0</v>
      </c>
      <c r="J75" s="92">
        <f>IF(J58&lt;&gt;0,O58/K58,0)</f>
        <v>0</v>
      </c>
      <c r="N75" s="95"/>
      <c r="O75" s="95"/>
    </row>
    <row r="76" spans="6:15">
      <c r="F76" s="90"/>
      <c r="G76" s="63" t="s">
        <v>1658</v>
      </c>
      <c r="H76" s="92">
        <f>H58-H63</f>
        <v>5772</v>
      </c>
      <c r="I76" s="92">
        <f>I58-I63</f>
        <v>5772</v>
      </c>
      <c r="J76" s="92">
        <f>J58-J63</f>
        <v>5772</v>
      </c>
      <c r="N76" s="95"/>
      <c r="O76" s="95"/>
    </row>
    <row r="77" spans="6:15">
      <c r="F77" s="90"/>
      <c r="G77" s="63" t="s">
        <v>417</v>
      </c>
      <c r="H77" s="92">
        <f>IF(H75&lt;H76,H75,H76)</f>
        <v>0</v>
      </c>
      <c r="I77" s="92">
        <f>IF(I75&lt;I76,I75,I76)</f>
        <v>0</v>
      </c>
      <c r="J77" s="92">
        <f>IF(J75&lt;J76,J75,J76)</f>
        <v>0</v>
      </c>
    </row>
    <row r="78" spans="6:15">
      <c r="F78" s="90"/>
    </row>
    <row r="79" spans="6:15">
      <c r="F79" s="90"/>
    </row>
    <row r="80" spans="6:15">
      <c r="F80" s="90"/>
    </row>
    <row r="81" spans="7:26">
      <c r="G81"/>
      <c r="H81"/>
      <c r="I81"/>
      <c r="J81"/>
      <c r="K81"/>
      <c r="L81"/>
      <c r="M81"/>
      <c r="N81"/>
      <c r="O81"/>
      <c r="P81"/>
    </row>
    <row r="82" spans="7:26">
      <c r="G82"/>
      <c r="H82"/>
      <c r="I82"/>
      <c r="J82"/>
      <c r="K82"/>
      <c r="L82"/>
      <c r="M82"/>
      <c r="N82"/>
      <c r="O82"/>
      <c r="P82"/>
    </row>
    <row r="83" spans="7:26">
      <c r="G83"/>
      <c r="H83"/>
      <c r="I83"/>
      <c r="J83"/>
      <c r="K83"/>
      <c r="L83"/>
      <c r="M83"/>
      <c r="N83"/>
      <c r="O83"/>
      <c r="P83"/>
    </row>
    <row r="84" spans="7:26">
      <c r="G84"/>
      <c r="H84"/>
      <c r="I84"/>
      <c r="J84"/>
      <c r="K84"/>
      <c r="L84"/>
      <c r="M84"/>
      <c r="N84"/>
      <c r="O84"/>
      <c r="P84"/>
    </row>
    <row r="85" spans="7:26">
      <c r="G85"/>
      <c r="H85"/>
      <c r="I85"/>
      <c r="J85"/>
      <c r="K85"/>
      <c r="L85"/>
      <c r="M85"/>
      <c r="N85"/>
      <c r="O85"/>
      <c r="P85"/>
    </row>
    <row r="86" spans="7:26">
      <c r="G86"/>
      <c r="H86"/>
      <c r="I86"/>
      <c r="J86"/>
      <c r="K86"/>
      <c r="L86"/>
      <c r="M86"/>
      <c r="N86"/>
      <c r="O86"/>
      <c r="P86"/>
    </row>
    <row r="87" spans="7:26">
      <c r="G87"/>
      <c r="H87"/>
      <c r="I87"/>
      <c r="J87"/>
      <c r="K87"/>
      <c r="L87"/>
      <c r="M87"/>
      <c r="N87"/>
      <c r="O87"/>
      <c r="P87"/>
    </row>
    <row r="88" spans="7:26">
      <c r="G88"/>
      <c r="H88"/>
      <c r="I88"/>
      <c r="J88"/>
      <c r="K88"/>
      <c r="L88"/>
      <c r="M88"/>
      <c r="N88"/>
      <c r="O88"/>
      <c r="P88"/>
    </row>
    <row r="89" spans="7:26">
      <c r="G89"/>
      <c r="H89"/>
      <c r="I89"/>
      <c r="J89"/>
      <c r="K89"/>
      <c r="L89"/>
      <c r="M89"/>
      <c r="N89"/>
      <c r="O89"/>
      <c r="P89"/>
    </row>
    <row r="90" spans="7:26">
      <c r="G90"/>
      <c r="H90"/>
      <c r="I90"/>
      <c r="J90"/>
      <c r="K90"/>
      <c r="L90"/>
      <c r="M90"/>
      <c r="N90"/>
      <c r="O90"/>
      <c r="P90"/>
    </row>
    <row r="91" spans="7:26">
      <c r="G91"/>
      <c r="H91"/>
      <c r="I91"/>
      <c r="J91"/>
      <c r="K91"/>
      <c r="L91"/>
      <c r="M91"/>
      <c r="N91"/>
      <c r="O91"/>
      <c r="P91"/>
    </row>
    <row r="92" spans="7:26">
      <c r="G92"/>
      <c r="H92"/>
      <c r="I92"/>
      <c r="J92"/>
      <c r="K92"/>
      <c r="L92"/>
      <c r="M92"/>
      <c r="N92"/>
      <c r="O92"/>
      <c r="P92"/>
    </row>
    <row r="93" spans="7:26">
      <c r="G93"/>
      <c r="H93"/>
      <c r="I93"/>
      <c r="J93"/>
      <c r="K93"/>
      <c r="L93"/>
      <c r="M93"/>
      <c r="N93"/>
      <c r="O93"/>
      <c r="P93"/>
    </row>
    <row r="94" spans="7:26">
      <c r="G94"/>
      <c r="H94"/>
      <c r="I94"/>
      <c r="J94"/>
      <c r="K94"/>
      <c r="L94"/>
      <c r="M94"/>
      <c r="N94"/>
      <c r="O94"/>
      <c r="P94"/>
    </row>
    <row r="95" spans="7:26">
      <c r="G95"/>
      <c r="H95"/>
      <c r="I95"/>
      <c r="J95"/>
      <c r="K95"/>
      <c r="L95"/>
      <c r="M95"/>
      <c r="N95"/>
      <c r="O95"/>
      <c r="P95"/>
    </row>
    <row r="96" spans="7:26">
      <c r="G96"/>
      <c r="H96"/>
      <c r="I96"/>
      <c r="J96"/>
      <c r="K96"/>
      <c r="L96"/>
      <c r="M96"/>
      <c r="N96"/>
      <c r="O96"/>
      <c r="P96"/>
    </row>
    <row r="97" spans="7:16">
      <c r="G97"/>
      <c r="H97"/>
      <c r="I97"/>
      <c r="J97"/>
      <c r="K97"/>
      <c r="L97"/>
      <c r="M97"/>
      <c r="N97"/>
      <c r="O97"/>
      <c r="P97"/>
    </row>
    <row r="98" spans="7:16">
      <c r="G98"/>
      <c r="H98"/>
      <c r="I98"/>
      <c r="J98"/>
      <c r="K98"/>
      <c r="L98"/>
      <c r="M98"/>
      <c r="N98"/>
      <c r="O98"/>
      <c r="P98"/>
    </row>
    <row r="99" spans="7:16">
      <c r="G99"/>
      <c r="H99"/>
      <c r="I99"/>
      <c r="J99"/>
      <c r="K99"/>
      <c r="L99"/>
      <c r="M99"/>
      <c r="N99"/>
      <c r="O99"/>
      <c r="P99"/>
    </row>
    <row r="100" spans="7:16">
      <c r="G100"/>
      <c r="H100"/>
      <c r="I100"/>
      <c r="J100"/>
      <c r="K100"/>
      <c r="L100"/>
      <c r="M100"/>
      <c r="N100"/>
      <c r="O100"/>
      <c r="P100"/>
    </row>
    <row r="101" spans="7:16">
      <c r="G101"/>
      <c r="H101"/>
      <c r="I101"/>
      <c r="J101"/>
      <c r="K101"/>
      <c r="L101"/>
      <c r="M101"/>
      <c r="N101"/>
      <c r="O101"/>
      <c r="P101"/>
    </row>
    <row r="102" spans="7:16">
      <c r="G102"/>
      <c r="H102"/>
      <c r="I102"/>
      <c r="J102"/>
      <c r="K102"/>
      <c r="L102"/>
      <c r="M102"/>
      <c r="N102"/>
      <c r="O102"/>
      <c r="P102"/>
    </row>
    <row r="103" spans="7:16">
      <c r="G103"/>
      <c r="H103"/>
      <c r="I103"/>
      <c r="J103"/>
      <c r="K103"/>
      <c r="L103"/>
      <c r="M103"/>
      <c r="N103"/>
      <c r="O103"/>
      <c r="P103"/>
    </row>
    <row r="104" spans="7:16">
      <c r="G104"/>
      <c r="H104"/>
      <c r="I104"/>
      <c r="J104"/>
      <c r="K104"/>
      <c r="L104"/>
      <c r="M104"/>
      <c r="N104"/>
      <c r="O104"/>
      <c r="P104"/>
    </row>
    <row r="105" spans="7:16">
      <c r="G105"/>
      <c r="H105"/>
      <c r="I105"/>
      <c r="J105"/>
      <c r="K105"/>
      <c r="L105"/>
      <c r="M105"/>
      <c r="N105"/>
      <c r="O105"/>
      <c r="P105"/>
    </row>
    <row r="106" spans="7:16">
      <c r="G106"/>
      <c r="H106"/>
      <c r="I106"/>
      <c r="J106"/>
      <c r="K106"/>
      <c r="L106"/>
      <c r="M106"/>
      <c r="N106"/>
      <c r="O106"/>
      <c r="P106"/>
    </row>
    <row r="107" spans="7:16">
      <c r="G107"/>
      <c r="H107"/>
      <c r="I107"/>
      <c r="J107"/>
      <c r="K107"/>
      <c r="L107"/>
      <c r="M107"/>
      <c r="N107"/>
      <c r="O107"/>
      <c r="P107"/>
    </row>
    <row r="108" spans="7:16">
      <c r="G108"/>
      <c r="H108"/>
      <c r="I108"/>
      <c r="J108"/>
      <c r="K108"/>
      <c r="L108"/>
      <c r="M108"/>
      <c r="N108"/>
      <c r="O108"/>
      <c r="P108"/>
    </row>
    <row r="109" spans="7:16">
      <c r="G109"/>
      <c r="H109"/>
      <c r="I109"/>
      <c r="J109"/>
      <c r="K109"/>
      <c r="L109"/>
      <c r="M109"/>
      <c r="N109"/>
      <c r="O109"/>
      <c r="P109"/>
    </row>
    <row r="110" spans="7:16">
      <c r="G110"/>
      <c r="H110"/>
      <c r="I110"/>
      <c r="J110"/>
      <c r="K110"/>
      <c r="L110"/>
      <c r="M110"/>
      <c r="N110"/>
      <c r="O110"/>
      <c r="P110"/>
    </row>
    <row r="111" spans="7:16">
      <c r="G111"/>
      <c r="H111"/>
      <c r="I111"/>
      <c r="J111"/>
      <c r="K111"/>
      <c r="L111"/>
      <c r="M111"/>
      <c r="N111"/>
      <c r="O111"/>
      <c r="P111"/>
    </row>
    <row r="112" spans="7:16">
      <c r="G112"/>
      <c r="H112"/>
      <c r="I112"/>
      <c r="J112"/>
      <c r="K112"/>
      <c r="L112"/>
      <c r="M112"/>
      <c r="N112"/>
      <c r="O112"/>
      <c r="P112"/>
    </row>
    <row r="113" spans="7:16">
      <c r="G113"/>
      <c r="H113"/>
      <c r="I113"/>
      <c r="J113"/>
      <c r="K113"/>
      <c r="L113"/>
      <c r="M113"/>
      <c r="N113"/>
      <c r="O113"/>
      <c r="P113"/>
    </row>
    <row r="114" spans="7:16">
      <c r="G114"/>
      <c r="H114"/>
      <c r="I114"/>
      <c r="J114"/>
      <c r="K114"/>
      <c r="L114"/>
      <c r="M114"/>
      <c r="N114"/>
      <c r="O114"/>
      <c r="P114"/>
    </row>
    <row r="115" spans="7:16">
      <c r="G115"/>
      <c r="H115"/>
      <c r="I115"/>
      <c r="J115"/>
      <c r="K115"/>
      <c r="L115"/>
      <c r="M115"/>
      <c r="N115"/>
      <c r="O115"/>
      <c r="P115"/>
    </row>
    <row r="116" spans="7:16">
      <c r="G116"/>
      <c r="H116"/>
      <c r="I116"/>
      <c r="J116"/>
      <c r="K116"/>
      <c r="L116"/>
      <c r="M116"/>
      <c r="N116"/>
      <c r="O116"/>
      <c r="P116"/>
    </row>
    <row r="117" spans="7:16">
      <c r="G117"/>
      <c r="H117"/>
      <c r="I117"/>
      <c r="J117"/>
      <c r="K117"/>
      <c r="L117"/>
      <c r="M117"/>
      <c r="N117"/>
      <c r="O117"/>
      <c r="P117"/>
    </row>
    <row r="118" spans="7:16">
      <c r="G118"/>
      <c r="H118"/>
      <c r="I118"/>
      <c r="J118"/>
      <c r="K118"/>
      <c r="L118"/>
      <c r="M118"/>
      <c r="N118"/>
      <c r="O118"/>
      <c r="P118"/>
    </row>
    <row r="119" spans="7:16">
      <c r="G119"/>
      <c r="H119"/>
      <c r="I119"/>
      <c r="J119"/>
      <c r="K119"/>
      <c r="L119"/>
      <c r="M119"/>
      <c r="N119"/>
      <c r="O119"/>
      <c r="P119"/>
    </row>
    <row r="120" spans="7:16">
      <c r="G120"/>
      <c r="H120"/>
      <c r="I120"/>
      <c r="J120"/>
      <c r="K120"/>
      <c r="L120"/>
      <c r="M120"/>
      <c r="N120"/>
      <c r="O120"/>
      <c r="P120"/>
    </row>
    <row r="121" spans="7:16">
      <c r="G121"/>
      <c r="H121"/>
      <c r="I121"/>
      <c r="J121"/>
      <c r="K121"/>
      <c r="L121"/>
      <c r="M121"/>
      <c r="N121"/>
      <c r="O121"/>
      <c r="P121"/>
    </row>
    <row r="122" spans="7:16">
      <c r="G122"/>
      <c r="H122"/>
      <c r="I122"/>
      <c r="J122"/>
      <c r="K122"/>
      <c r="L122"/>
      <c r="M122"/>
      <c r="N122"/>
      <c r="O122"/>
      <c r="P122"/>
    </row>
    <row r="123" spans="7:16">
      <c r="G123"/>
      <c r="H123"/>
      <c r="I123"/>
      <c r="J123"/>
      <c r="K123"/>
      <c r="L123"/>
      <c r="M123"/>
      <c r="N123"/>
      <c r="O123"/>
      <c r="P123"/>
    </row>
    <row r="124" spans="7:16">
      <c r="G124"/>
      <c r="H124"/>
      <c r="I124"/>
      <c r="J124"/>
      <c r="K124"/>
      <c r="L124"/>
      <c r="M124"/>
      <c r="N124"/>
      <c r="O124"/>
      <c r="P124"/>
    </row>
    <row r="125" spans="7:16">
      <c r="G125"/>
      <c r="H125"/>
      <c r="I125"/>
      <c r="J125"/>
      <c r="K125"/>
      <c r="L125"/>
      <c r="M125"/>
      <c r="N125"/>
      <c r="O125"/>
      <c r="P125"/>
    </row>
    <row r="126" spans="7:16">
      <c r="G126"/>
      <c r="H126"/>
      <c r="I126"/>
      <c r="J126"/>
      <c r="K126"/>
      <c r="L126"/>
      <c r="M126"/>
      <c r="N126"/>
      <c r="O126"/>
      <c r="P126"/>
    </row>
    <row r="127" spans="7:16">
      <c r="G127"/>
      <c r="H127"/>
      <c r="I127"/>
      <c r="J127"/>
      <c r="K127"/>
      <c r="L127"/>
      <c r="M127"/>
      <c r="N127"/>
      <c r="O127"/>
      <c r="P127"/>
    </row>
    <row r="128" spans="7:16">
      <c r="G128"/>
      <c r="H128"/>
      <c r="I128"/>
      <c r="J128"/>
      <c r="K128"/>
      <c r="L128"/>
      <c r="M128"/>
      <c r="N128"/>
      <c r="O128"/>
      <c r="P128"/>
    </row>
    <row r="129" spans="7:16">
      <c r="G129"/>
      <c r="H129"/>
      <c r="I129"/>
      <c r="J129"/>
      <c r="K129"/>
      <c r="L129"/>
      <c r="M129"/>
      <c r="N129"/>
      <c r="O129"/>
      <c r="P129"/>
    </row>
    <row r="130" spans="7:16">
      <c r="G130"/>
      <c r="H130"/>
      <c r="I130"/>
      <c r="J130"/>
      <c r="K130"/>
      <c r="L130"/>
      <c r="M130"/>
      <c r="N130"/>
      <c r="O130"/>
      <c r="P130"/>
    </row>
    <row r="131" spans="7:16">
      <c r="G131"/>
      <c r="H131"/>
      <c r="I131"/>
      <c r="J131"/>
      <c r="K131"/>
      <c r="L131"/>
      <c r="M131"/>
      <c r="N131"/>
      <c r="O131"/>
      <c r="P131"/>
    </row>
    <row r="132" spans="7:16">
      <c r="G132"/>
      <c r="H132"/>
      <c r="I132"/>
      <c r="J132"/>
      <c r="K132"/>
      <c r="L132"/>
      <c r="M132"/>
      <c r="N132"/>
      <c r="O132"/>
      <c r="P132"/>
    </row>
    <row r="133" spans="7:16">
      <c r="G133"/>
      <c r="H133"/>
      <c r="I133"/>
      <c r="J133"/>
      <c r="K133"/>
      <c r="L133"/>
      <c r="M133"/>
      <c r="N133"/>
      <c r="O133"/>
      <c r="P133"/>
    </row>
    <row r="134" spans="7:16">
      <c r="G134"/>
      <c r="H134"/>
      <c r="I134"/>
      <c r="J134"/>
      <c r="K134"/>
      <c r="L134"/>
      <c r="M134"/>
      <c r="N134"/>
      <c r="O134"/>
      <c r="P134"/>
    </row>
    <row r="135" spans="7:16">
      <c r="G135"/>
      <c r="H135"/>
      <c r="I135"/>
      <c r="J135"/>
      <c r="K135"/>
      <c r="L135"/>
      <c r="M135"/>
      <c r="N135"/>
      <c r="O135"/>
      <c r="P135"/>
    </row>
    <row r="136" spans="7:16">
      <c r="G136"/>
      <c r="H136"/>
      <c r="I136"/>
      <c r="J136"/>
      <c r="K136"/>
      <c r="L136"/>
      <c r="M136"/>
      <c r="N136"/>
      <c r="O136"/>
      <c r="P136"/>
    </row>
    <row r="137" spans="7:16">
      <c r="G137"/>
      <c r="H137"/>
      <c r="I137"/>
      <c r="J137"/>
      <c r="K137"/>
      <c r="L137"/>
      <c r="M137"/>
      <c r="N137"/>
      <c r="O137"/>
      <c r="P137"/>
    </row>
    <row r="138" spans="7:16">
      <c r="G138"/>
      <c r="H138"/>
      <c r="I138"/>
      <c r="J138"/>
      <c r="K138"/>
      <c r="L138"/>
      <c r="M138"/>
      <c r="N138"/>
      <c r="O138"/>
      <c r="P138"/>
    </row>
    <row r="139" spans="7:16">
      <c r="G139"/>
      <c r="H139"/>
      <c r="I139"/>
      <c r="J139"/>
      <c r="K139"/>
      <c r="L139"/>
      <c r="M139"/>
      <c r="N139"/>
      <c r="O139"/>
      <c r="P139"/>
    </row>
    <row r="140" spans="7:16">
      <c r="G140"/>
      <c r="H140"/>
      <c r="I140"/>
      <c r="J140"/>
      <c r="K140"/>
      <c r="L140"/>
      <c r="M140"/>
      <c r="N140"/>
      <c r="O140"/>
      <c r="P140"/>
    </row>
    <row r="141" spans="7:16">
      <c r="G141"/>
      <c r="H141"/>
      <c r="I141"/>
      <c r="J141"/>
      <c r="K141"/>
      <c r="L141"/>
      <c r="M141"/>
      <c r="N141"/>
      <c r="O141"/>
      <c r="P141"/>
    </row>
    <row r="142" spans="7:16">
      <c r="G142"/>
      <c r="H142"/>
      <c r="I142"/>
      <c r="J142"/>
      <c r="K142"/>
      <c r="L142"/>
      <c r="M142"/>
      <c r="N142"/>
      <c r="O142"/>
      <c r="P142"/>
    </row>
    <row r="143" spans="7:16">
      <c r="G143"/>
      <c r="H143"/>
      <c r="I143"/>
      <c r="J143"/>
      <c r="K143"/>
      <c r="L143"/>
      <c r="M143"/>
      <c r="N143"/>
      <c r="O143"/>
      <c r="P143"/>
    </row>
    <row r="144" spans="7:16">
      <c r="G144"/>
      <c r="H144"/>
      <c r="I144"/>
      <c r="J144"/>
      <c r="K144"/>
      <c r="L144"/>
      <c r="M144"/>
      <c r="N144"/>
      <c r="O144"/>
      <c r="P144"/>
    </row>
    <row r="145" spans="7:16">
      <c r="G145"/>
      <c r="H145"/>
      <c r="I145"/>
      <c r="J145"/>
      <c r="K145"/>
      <c r="L145"/>
      <c r="M145"/>
      <c r="N145"/>
      <c r="O145"/>
      <c r="P145"/>
    </row>
    <row r="146" spans="7:16">
      <c r="G146"/>
      <c r="H146"/>
      <c r="I146"/>
      <c r="J146"/>
      <c r="K146"/>
      <c r="L146"/>
      <c r="M146"/>
      <c r="N146"/>
      <c r="O146"/>
      <c r="P146"/>
    </row>
    <row r="147" spans="7:16">
      <c r="G147"/>
      <c r="H147"/>
      <c r="I147"/>
      <c r="J147"/>
      <c r="K147"/>
      <c r="L147"/>
      <c r="M147"/>
      <c r="N147"/>
      <c r="O147"/>
      <c r="P147"/>
    </row>
  </sheetData>
  <mergeCells count="33">
    <mergeCell ref="F57:F60"/>
    <mergeCell ref="F61:F64"/>
    <mergeCell ref="F68:F71"/>
    <mergeCell ref="B42:D42"/>
    <mergeCell ref="B43:D43"/>
    <mergeCell ref="B44:D44"/>
    <mergeCell ref="B45:D45"/>
    <mergeCell ref="F45:F48"/>
    <mergeCell ref="B46:D46"/>
    <mergeCell ref="B47:D47"/>
    <mergeCell ref="B48:D48"/>
    <mergeCell ref="B34:D34"/>
    <mergeCell ref="F34:F37"/>
    <mergeCell ref="B35:D35"/>
    <mergeCell ref="B36:D36"/>
    <mergeCell ref="B37:D37"/>
    <mergeCell ref="B38:D38"/>
    <mergeCell ref="F38:F41"/>
    <mergeCell ref="B39:D39"/>
    <mergeCell ref="B40:D40"/>
    <mergeCell ref="B41:D41"/>
    <mergeCell ref="B33:D33"/>
    <mergeCell ref="F2:N4"/>
    <mergeCell ref="F11:F14"/>
    <mergeCell ref="F15:F18"/>
    <mergeCell ref="F22:F25"/>
    <mergeCell ref="B26:D26"/>
    <mergeCell ref="B27:D27"/>
    <mergeCell ref="B28:D28"/>
    <mergeCell ref="B29:D29"/>
    <mergeCell ref="B30:D30"/>
    <mergeCell ref="B31:D31"/>
    <mergeCell ref="B32:D32"/>
  </mergeCells>
  <hyperlinks>
    <hyperlink ref="B10" location="'DASH'!A1" display="DASHBOARD" xr:uid="{8452D333-6A0D-4954-A665-FBF86008B3E1}"/>
    <hyperlink ref="B11" location="'DES-GL'!A1" display="DESIGN GUIDELINES" xr:uid="{B0414BE3-488C-4D47-A0E0-9F2BEB538166}"/>
    <hyperlink ref="B13" location="'EXT-MAINS-DT'!A1" display="EXISTING POWER DESIGN" xr:uid="{52FE0663-5BF3-4D5D-A812-6F33467D39DB}"/>
    <hyperlink ref="B14" location="'EXT-CALC'!A1" display="EXISTING DEMAND" xr:uid="{389D977A-33B5-4198-927C-87673DB2F989}"/>
    <hyperlink ref="B16" location="'CALC'!A1" display="POWER CALCULATOR" xr:uid="{541CCAE7-2543-411B-B4FA-45DBF277A430}"/>
    <hyperlink ref="B17" location="'PLBC-CALC'!A1" display="PLBC CALCULATOR" xr:uid="{E5335A9D-E525-4E59-914C-9E8723556DDA}"/>
    <hyperlink ref="B18" location="'VDC'!A1" display="VD CALCULATOR" xr:uid="{D6CB6E3A-344A-43B5-AC22-0A87ADCFA74E}"/>
    <hyperlink ref="B20" location="'PRP-SOL'!A1" display="PROPOSED POWER DESIGN" xr:uid="{F2A0CF51-1495-422B-81B7-18CBCA304AD0}"/>
    <hyperlink ref="B25" location="'DC'!A1" display="DOCUMENT CONTROL" xr:uid="{1878056D-A246-416F-8249-F67752D29FC2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FEA7-6D35-4324-A907-9C37929C79D3}">
  <sheetPr codeName="Sheet26"/>
  <dimension ref="B1:Z147"/>
  <sheetViews>
    <sheetView showGridLines="0" topLeftCell="B11" zoomScaleNormal="100" workbookViewId="0">
      <selection activeCell="F30" sqref="F30:P30"/>
    </sheetView>
  </sheetViews>
  <sheetFormatPr defaultRowHeight="14.45"/>
  <cols>
    <col min="1" max="1" width="0" hidden="1" customWidth="1"/>
    <col min="2" max="4" width="9.28515625" style="1"/>
    <col min="6" max="6" width="16.7109375" customWidth="1"/>
    <col min="7" max="7" width="30.28515625" style="94" customWidth="1"/>
    <col min="8" max="14" width="15.28515625" style="94" customWidth="1"/>
    <col min="15" max="15" width="17.28515625" style="94" customWidth="1"/>
    <col min="16" max="16" width="15.28515625" style="94" customWidth="1"/>
    <col min="17" max="20" width="9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585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584</v>
      </c>
    </row>
    <row r="7" spans="2:16">
      <c r="C7" s="2" t="s">
        <v>152</v>
      </c>
      <c r="D7" s="12">
        <f>DCVer</f>
        <v>12.7</v>
      </c>
    </row>
    <row r="8" spans="2:16" ht="15" customHeight="1">
      <c r="F8" s="90"/>
      <c r="G8" s="96"/>
      <c r="L8" s="63" t="s">
        <v>1641</v>
      </c>
      <c r="M8" s="63"/>
    </row>
    <row r="9" spans="2:16">
      <c r="B9" s="18"/>
      <c r="C9" s="18"/>
      <c r="D9" s="18"/>
      <c r="F9" s="90"/>
      <c r="L9" s="63">
        <v>230</v>
      </c>
      <c r="M9" s="63"/>
    </row>
    <row r="10" spans="2:16" ht="15" customHeight="1">
      <c r="B10" s="18" t="s">
        <v>151</v>
      </c>
      <c r="C10" s="18"/>
      <c r="D10" s="18"/>
      <c r="F10" s="90"/>
      <c r="G10" s="96" t="s">
        <v>1642</v>
      </c>
    </row>
    <row r="11" spans="2:16">
      <c r="B11" s="18" t="s">
        <v>155</v>
      </c>
      <c r="C11" s="18"/>
      <c r="D11" s="18"/>
      <c r="F11" s="499" t="str">
        <f>CALC!M9</f>
        <v>ENABLED</v>
      </c>
      <c r="G11" s="63"/>
      <c r="H11" s="63" t="s">
        <v>388</v>
      </c>
      <c r="I11" s="63" t="s">
        <v>389</v>
      </c>
      <c r="J11" s="63" t="s">
        <v>390</v>
      </c>
      <c r="K11" s="63" t="s">
        <v>1643</v>
      </c>
      <c r="L11" s="63" t="s">
        <v>1644</v>
      </c>
      <c r="M11" s="63" t="s">
        <v>1645</v>
      </c>
      <c r="N11" s="63" t="s">
        <v>1646</v>
      </c>
      <c r="O11" s="63" t="s">
        <v>1647</v>
      </c>
      <c r="P11" s="63" t="s">
        <v>1648</v>
      </c>
    </row>
    <row r="12" spans="2:16">
      <c r="B12" s="18"/>
      <c r="C12" s="18"/>
      <c r="D12" s="18"/>
      <c r="F12" s="499"/>
      <c r="G12" s="63" t="s">
        <v>1649</v>
      </c>
      <c r="H12" s="63">
        <f>(IF(AND(CALC!$I$54="L1",CALC!$I$67="Enabled"),VLOOKUP(CALC!$J$62,DBRECT!$H$10:$M$100,5,FALSE),"0")+IF(AND(CALC!$J$54="L1",CALC!$J$67="Enabled"),VLOOKUP(CALC!$J$62,DBRECT!$H$10:$M$100,5,FALSE),"0")+IF(AND(CALC!$K$54="L1",CALC!$K$67="Enabled"),VLOOKUP(CALC!$J$62,DBRECT!$H$10:$M$100,5,FALSE),"0")+IF(AND(CALC!$L$54="L1",CALC!$L$67="Enabled"),VLOOKUP(CALC!$J$62,DBRECT!$H$10:$M$100,5,FALSE),"0")+IF(AND(CALC!$M$54="L1",CALC!$M$67="Enabled"),VLOOKUP(CALC!$J$62,DBRECT!$H$10:$M$100,5,FALSE),"0")+IF(AND(CALC!$I$55="L1",CALC!$I$68="Enabled"),VLOOKUP(CALC!$J$62,DBRECT!$H$10:$M$100,5,FALSE),"0")+IF(AND(CALC!$J$55="L1",CALC!$J$68="Enabled"),VLOOKUP(CALC!$J$62,DBRECT!$H$10:$M$100,5,FALSE),"0")+IF(AND(CALC!$K$55="L1",CALC!$K$68="Enabled"),VLOOKUP(CALC!$J$62,DBRECT!$H$10:$M$100,5,FALSE),"0")+IF(AND(CALC!$L$55="L1",CALC!$L$68="Enabled"),VLOOKUP(CALC!$J$62,DBRECT!$H$10:$M$100,5,FALSE),"0")+IF(AND(CALC!$M$55="L1",CALC!$M$68="Enabled"),VLOOKUP(CALC!$J$62,DBRECT!$H$10:$M$100,5,FALSE),"0")+IF(AND(CALC!$I$56="L1",CALC!$I$69="Enabled"),VLOOKUP(CALC!$J$62,DBRECT!$H$10:$M$100,5,FALSE),"0")+IF(AND(CALC!$J$56="L1",CALC!$J$69="Enabled"),VLOOKUP(CALC!$J$62,DBRECT!$H$10:$M$100,5,FALSE),"0")+IF(AND(CALC!$K$56="L1",CALC!$K$69="Enabled"),VLOOKUP(CALC!$J$62,DBRECT!$H$10:$M$100,5,FALSE),"0")+IF(AND(CALC!$L$56="L1",CALC!$L$69="Enabled"),VLOOKUP(CALC!$J$62,DBRECT!$H$10:$M$100,5,FALSE),"0")+IF(AND(CALC!$M$56="L1",CALC!$M$69="Enabled"),VLOOKUP(CALC!$J$62,DBRECT!$H$10:$M$100,5,FALSE),"0")+IF(AND(CALC!$I$57="L1",CALC!$I$70="Enabled"),VLOOKUP(CALC!$J$62,DBRECT!$H$10:$M$100,5,FALSE),"0")+IF(AND(CALC!$J$57="L1",CALC!$J$70="Enabled"),VLOOKUP(CALC!$J$62,DBRECT!$H$10:$M$100,5,FALSE),"0")+IF(AND(CALC!$K$57="L1",CALC!$K$70="Enabled"),VLOOKUP(CALC!$J$62,DBRECT!$H$10:$M$100,5,FALSE),"0")+IF(AND(CALC!$L$57="L1",CALC!$L$70="Enabled"),VLOOKUP(CALC!$J$62,DBRECT!$H$10:$M$100,5,FALSE),"0")+IF(AND(CALC!$M$57="L1",CALC!$M$70="Enabled"),VLOOKUP(CALC!$J$62,DBRECT!$H$10:$M$100,5,FALSE),"0"))*P12</f>
        <v>5760</v>
      </c>
      <c r="I12" s="63">
        <f>(IF(AND(CALC!$I$54="L2",CALC!$I$67="Enabled"),VLOOKUP(CALC!$J$62,DBRECT!$H$10:$M$100,5,FALSE),"0")+IF(AND(CALC!$J$54="L2",CALC!$J$67="Enabled"),VLOOKUP(CALC!$J$62,DBRECT!$H$10:$M$100,5,FALSE),"0")+IF(AND(CALC!$K$54="L2",CALC!$K$67="Enabled"),VLOOKUP(CALC!$J$62,DBRECT!$H$10:$M$100,5,FALSE),"0")+IF(AND(CALC!$L$54="L2",CALC!$L$67="Enabled"),VLOOKUP(CALC!$J$62,DBRECT!$H$10:$M$100,5,FALSE),"0")+IF(AND(CALC!$M$54="L2",CALC!$M$67="Enabled"),VLOOKUP(CALC!$J$62,DBRECT!$H$10:$M$100,5,FALSE),"0")+IF(AND(CALC!$I$55="L2",CALC!$I$68="Enabled"),VLOOKUP(CALC!$J$62,DBRECT!$H$10:$M$100,5,FALSE),"0")+IF(AND(CALC!$J$55="L2",CALC!$J$68="Enabled"),VLOOKUP(CALC!$J$62,DBRECT!$H$10:$M$100,5,FALSE),"0")+IF(AND(CALC!$K$55="L2",CALC!$K$68="Enabled"),VLOOKUP(CALC!$J$62,DBRECT!$H$10:$M$100,5,FALSE),"0")+IF(AND(CALC!$L$55="L2",CALC!$L$68="Enabled"),VLOOKUP(CALC!$J$62,DBRECT!$H$10:$M$100,5,FALSE),"0")+IF(AND(CALC!$M$55="L2",CALC!$M$68="Enabled"),VLOOKUP(CALC!$J$62,DBRECT!$H$10:$M$100,5,FALSE),"0")+IF(AND(CALC!$I$56="L2",CALC!$I$69="Enabled"),VLOOKUP(CALC!$J$62,DBRECT!$H$10:$M$100,5,FALSE),"0")+IF(AND(CALC!$J$56="L2",CALC!$J$69="Enabled"),VLOOKUP(CALC!$J$62,DBRECT!$H$10:$M$100,5,FALSE),"0")+IF(AND(CALC!$K$56="L2",CALC!$K$69="Enabled"),VLOOKUP(CALC!$J$62,DBRECT!$H$10:$M$100,5,FALSE),"0")+IF(AND(CALC!$L$56="L2",CALC!$L$69="Enabled"),VLOOKUP(CALC!$J$62,DBRECT!$H$10:$M$100,5,FALSE),"0")+IF(AND(CALC!$M$56="L2",CALC!$M$69="Enabled"),VLOOKUP(CALC!$J$62,DBRECT!$H$10:$M$100,5,FALSE),"0")+IF(AND(CALC!$I$57="L2",CALC!$I$70="Enabled"),VLOOKUP(CALC!$J$62,DBRECT!$H$10:$M$100,5,FALSE),"0")+IF(AND(CALC!$J$57="L2",CALC!$J$70="Enabled"),VLOOKUP(CALC!$J$62,DBRECT!$H$10:$M$100,5,FALSE),"0")+IF(AND(CALC!$K$57="L2",CALC!$K$70="Enabled"),VLOOKUP(CALC!$J$62,DBRECT!$H$10:$M$100,5,FALSE),"0")+IF(AND(CALC!$L$57="L2",CALC!$L$70="Enabled"),VLOOKUP(CALC!$J$62,DBRECT!$H$10:$M$100,5,FALSE),"0")+IF(AND(CALC!$M$57="L2",CALC!$M$70="Enabled"),VLOOKUP(CALC!$J$62,DBRECT!$H$10:$M$100,5,FALSE),"0"))*P12</f>
        <v>5760</v>
      </c>
      <c r="J12" s="63">
        <f>(IF(AND(CALC!$I$54="L3",CALC!$I$67="Enabled"),VLOOKUP(CALC!$J$62,DBRECT!$H$10:$M$100,5,FALSE),"0")+IF(AND(CALC!$J$54="L3",CALC!$J$67="Enabled"),VLOOKUP(CALC!$J$62,DBRECT!$H$10:$M$100,5,FALSE),"0")+IF(AND(CALC!$K$54="L3",CALC!$K$67="Enabled"),VLOOKUP(CALC!$J$62,DBRECT!$H$10:$M$100,5,FALSE),"0")+IF(AND(CALC!$L$54="L3",CALC!$L$67="Enabled"),VLOOKUP(CALC!$J$62,DBRECT!$H$10:$M$100,5,FALSE),"0")+IF(AND(CALC!$M$54="L3",CALC!$M$67="Enabled"),VLOOKUP(CALC!$J$62,DBRECT!$H$10:$M$100,5,FALSE),"0")+IF(AND(CALC!$I$55="L3",CALC!$I$68="Enabled"),VLOOKUP(CALC!$J$62,DBRECT!$H$10:$M$100,5,FALSE),"0")+IF(AND(CALC!$J$55="L3",CALC!$J$68="Enabled"),VLOOKUP(CALC!$J$62,DBRECT!$H$10:$M$100,5,FALSE),"0")+IF(AND(CALC!$K$55="L3",CALC!$K$68="Enabled"),VLOOKUP(CALC!$J$62,DBRECT!$H$10:$M$100,5,FALSE),"0")+IF(AND(CALC!$L$55="L3",CALC!$L$68="Enabled"),VLOOKUP(CALC!$J$62,DBRECT!$H$10:$M$100,5,FALSE),"0")+IF(AND(CALC!$M$55="L3",CALC!$M$68="Enabled"),VLOOKUP(CALC!$J$62,DBRECT!$H$10:$M$100,5,FALSE),"0")+IF(AND(CALC!$I$56="L3",CALC!$I$69="Enabled"),VLOOKUP(CALC!$J$62,DBRECT!$H$10:$M$100,5,FALSE),"0")+IF(AND(CALC!$J$56="L3",CALC!$J$69="Enabled"),VLOOKUP(CALC!$J$62,DBRECT!$H$10:$M$100,5,FALSE),"0")+IF(AND(CALC!$K$56="L3",CALC!$K$69="Enabled"),VLOOKUP(CALC!$J$62,DBRECT!$H$10:$M$100,5,FALSE),"0")+IF(AND(CALC!$L$56="L3",CALC!$L$69="Enabled"),VLOOKUP(CALC!$J$62,DBRECT!$H$10:$M$100,5,FALSE),"0")+IF(AND(CALC!$M$56="L3",CALC!$M$69="Enabled"),VLOOKUP(CALC!$J$62,DBRECT!$H$10:$M$100,5,FALSE),"0")+IF(AND(CALC!$I$57="L3",CALC!$I$70="Enabled"),VLOOKUP(CALC!$J$62,DBRECT!$H$10:$M$100,5,FALSE),"0")+IF(AND(CALC!$J$57="L3",CALC!$J$70="Enabled"),VLOOKUP(CALC!$J$62,DBRECT!$H$10:$M$100,5,FALSE),"0")+IF(AND(CALC!$K$57="L3",CALC!$K$70="Enabled"),VLOOKUP(CALC!$J$62,DBRECT!$H$10:$M$100,5,FALSE),"0")+IF(AND(CALC!$L$57="L3",CALC!$L$70="Enabled"),VLOOKUP(CALC!$J$62,DBRECT!$H$10:$M$100,5,FALSE),"0")+IF(AND(CALC!$M$57="L3",CALC!$M$70="Enabled"),VLOOKUP(CALC!$J$62,DBRECT!$H$10:$M$100,5,FALSE),"0"))*P12</f>
        <v>5760</v>
      </c>
      <c r="K12" s="63">
        <f>COUNTIF(H12:J12,"&lt;&gt;0")</f>
        <v>3</v>
      </c>
      <c r="L12" s="92">
        <f>SUM(H12:J12)</f>
        <v>17280</v>
      </c>
      <c r="M12" s="92">
        <f>CALC!J86</f>
        <v>6241.4</v>
      </c>
      <c r="N12" s="92">
        <f>CALC!J87</f>
        <v>11106.75</v>
      </c>
      <c r="O12" s="92">
        <f>CALC!J84</f>
        <v>2675</v>
      </c>
      <c r="P12" s="63">
        <f>(VLOOKUP(CALC!J62,DBRECT!$H$10:$M$100,6,FALSE))</f>
        <v>0.96</v>
      </c>
    </row>
    <row r="13" spans="2:16">
      <c r="B13" s="18" t="s">
        <v>159</v>
      </c>
      <c r="C13" s="18"/>
      <c r="D13" s="18"/>
      <c r="F13" s="499"/>
      <c r="G13" s="63" t="s">
        <v>1650</v>
      </c>
      <c r="H13" s="92">
        <f>H12/L12*100</f>
        <v>33.333333333333329</v>
      </c>
      <c r="I13" s="92">
        <f>I12/L12*100</f>
        <v>33.333333333333329</v>
      </c>
      <c r="J13" s="92">
        <f>J12/L12*100</f>
        <v>33.333333333333329</v>
      </c>
      <c r="L13" s="95"/>
      <c r="M13" s="95"/>
      <c r="N13" s="95"/>
      <c r="O13" s="95"/>
    </row>
    <row r="14" spans="2:16">
      <c r="B14" s="18" t="s">
        <v>162</v>
      </c>
      <c r="C14" s="18"/>
      <c r="D14" s="18"/>
      <c r="F14" s="499"/>
      <c r="N14" s="95"/>
      <c r="O14" s="95"/>
    </row>
    <row r="15" spans="2:16" ht="15" customHeight="1">
      <c r="B15" s="18"/>
      <c r="C15" s="18"/>
      <c r="D15" s="18"/>
      <c r="F15" s="499" t="s">
        <v>1645</v>
      </c>
      <c r="G15" s="63" t="s">
        <v>1651</v>
      </c>
      <c r="H15" s="92">
        <f>IF(H12=0,0,M12*(H13/100))</f>
        <v>2080.4666666666662</v>
      </c>
      <c r="I15" s="92">
        <f>IF(I12=0,0,M12*(I13/100))</f>
        <v>2080.4666666666662</v>
      </c>
      <c r="J15" s="92">
        <f>IF(J12=0,0,M12*(J13/100))</f>
        <v>2080.4666666666662</v>
      </c>
      <c r="N15" s="95"/>
      <c r="O15" s="95"/>
    </row>
    <row r="16" spans="2:16">
      <c r="B16" s="18" t="s">
        <v>167</v>
      </c>
      <c r="C16" s="18"/>
      <c r="D16" s="18"/>
      <c r="F16" s="499"/>
      <c r="G16" s="63" t="s">
        <v>1652</v>
      </c>
      <c r="H16" s="63">
        <f>IF(H15&gt;H12,H15-H12,0)</f>
        <v>0</v>
      </c>
      <c r="I16" s="63">
        <f>IF(I15&gt;I12,I15-I12,0)</f>
        <v>0</v>
      </c>
      <c r="J16" s="63">
        <f>IF(J15&gt;J12,J15-J12,0)</f>
        <v>0</v>
      </c>
      <c r="K16" s="63">
        <f>COUNTIF(H16:J16,"&lt;&gt;0")</f>
        <v>0</v>
      </c>
      <c r="N16" s="95"/>
      <c r="O16" s="95"/>
    </row>
    <row r="17" spans="2:15">
      <c r="B17" s="18" t="s">
        <v>170</v>
      </c>
      <c r="C17" s="18"/>
      <c r="D17" s="18"/>
      <c r="F17" s="499"/>
      <c r="G17" s="63" t="s">
        <v>1653</v>
      </c>
      <c r="H17" s="92">
        <f>IFERROR(IF(H16&lt;&gt;0,H12,H16/K16),H15)</f>
        <v>2080.4666666666662</v>
      </c>
      <c r="I17" s="92">
        <f>IFERROR(IF(I16&lt;&gt;0,I12,I16/K16),I15)</f>
        <v>2080.4666666666662</v>
      </c>
      <c r="J17" s="92">
        <f>IFERROR(IF(J16&lt;&gt;0,J12,J16/K16),J15)</f>
        <v>2080.4666666666662</v>
      </c>
      <c r="N17" s="95"/>
      <c r="O17" s="95"/>
    </row>
    <row r="18" spans="2:15">
      <c r="B18" s="18" t="s">
        <v>173</v>
      </c>
      <c r="C18" s="18"/>
      <c r="D18" s="18"/>
      <c r="F18" s="499"/>
      <c r="G18" s="63" t="s">
        <v>1654</v>
      </c>
      <c r="H18" s="93">
        <f>IFERROR(H15/H12,0)</f>
        <v>0.36119212962962954</v>
      </c>
      <c r="I18" s="93">
        <f>IFERROR(I15/I12,0)</f>
        <v>0.36119212962962954</v>
      </c>
      <c r="J18" s="93">
        <f>IFERROR(J15/J12,0)</f>
        <v>0.36119212962962954</v>
      </c>
      <c r="N18" s="95"/>
      <c r="O18" s="95"/>
    </row>
    <row r="19" spans="2:15">
      <c r="B19" s="18"/>
      <c r="C19" s="18"/>
      <c r="D19" s="18"/>
      <c r="F19" s="91"/>
      <c r="G19" s="98" t="s">
        <v>1655</v>
      </c>
      <c r="H19" s="99">
        <f>H15*(2-$P$12)</f>
        <v>2163.6853333333329</v>
      </c>
      <c r="I19" s="99">
        <f t="shared" ref="I19:J19" si="0">I15*(2-$P$12)</f>
        <v>2163.6853333333329</v>
      </c>
      <c r="J19" s="99">
        <f t="shared" si="0"/>
        <v>2163.6853333333329</v>
      </c>
      <c r="N19" s="95"/>
      <c r="O19" s="95"/>
    </row>
    <row r="20" spans="2:15" ht="15" customHeight="1">
      <c r="B20" s="18" t="s">
        <v>176</v>
      </c>
      <c r="C20" s="18"/>
      <c r="D20" s="18"/>
      <c r="F20" s="91"/>
      <c r="G20" s="98" t="s">
        <v>1656</v>
      </c>
      <c r="H20" s="230">
        <f>H15+H29*(2-$P$12)</f>
        <v>3007.7999999999997</v>
      </c>
      <c r="I20" s="99">
        <f>I15+I29*(2-$P$12)</f>
        <v>3007.7999999999997</v>
      </c>
      <c r="J20" s="99">
        <f>J15+J29*(2-$P$12)</f>
        <v>3007.7999999999997</v>
      </c>
      <c r="N20" s="95"/>
      <c r="O20" s="95"/>
    </row>
    <row r="21" spans="2:15">
      <c r="B21" s="18"/>
      <c r="C21" s="18"/>
      <c r="D21" s="18"/>
      <c r="F21" s="91"/>
      <c r="N21" s="95"/>
      <c r="O21" s="95"/>
    </row>
    <row r="22" spans="2:15">
      <c r="B22" s="18"/>
      <c r="C22" s="18"/>
      <c r="D22" s="18"/>
      <c r="F22" s="499" t="s">
        <v>1646</v>
      </c>
      <c r="G22" s="63" t="s">
        <v>1651</v>
      </c>
      <c r="H22" s="92">
        <f>IF(H12=0,0,N12*(H13/100))</f>
        <v>3702.2499999999991</v>
      </c>
      <c r="I22" s="92">
        <f>IF(I12=0,0,N12*(I13/100))</f>
        <v>3702.2499999999991</v>
      </c>
      <c r="J22" s="92">
        <f>IF(J12=0,0,N12*(J13/100))</f>
        <v>3702.2499999999991</v>
      </c>
      <c r="N22" s="95"/>
      <c r="O22" s="95"/>
    </row>
    <row r="23" spans="2:15">
      <c r="B23" s="18"/>
      <c r="C23" s="18"/>
      <c r="D23" s="18"/>
      <c r="F23" s="499"/>
      <c r="G23" s="63" t="s">
        <v>1652</v>
      </c>
      <c r="H23" s="92">
        <f>IF(H22&gt;H12,H22-H12,0)</f>
        <v>0</v>
      </c>
      <c r="I23" s="92">
        <f>IF(I22&gt;I12,I22-I12,0)</f>
        <v>0</v>
      </c>
      <c r="J23" s="92">
        <f>IF(J22&gt;J12,J22-J12,0)</f>
        <v>0</v>
      </c>
      <c r="K23" s="63">
        <f>COUNTIF(H23:J23,"&lt;&gt;0")</f>
        <v>0</v>
      </c>
      <c r="N23" s="95"/>
      <c r="O23" s="95"/>
    </row>
    <row r="24" spans="2:15">
      <c r="B24" s="18"/>
      <c r="C24" s="18"/>
      <c r="D24" s="18"/>
      <c r="F24" s="499"/>
      <c r="G24" s="63" t="s">
        <v>1653</v>
      </c>
      <c r="H24" s="92">
        <f>IFERROR(IF(H23&lt;&gt;0,(H12*P12),H23/K23),H22)</f>
        <v>3702.2499999999991</v>
      </c>
      <c r="I24" s="92">
        <f>IFERROR(IF(I23&lt;&gt;0,(I12*P12),I23/K23),I22)</f>
        <v>3702.2499999999991</v>
      </c>
      <c r="J24" s="92">
        <f>IFERROR(IF(J23&lt;&gt;0,(J12*P12),J23/K23),J22)</f>
        <v>3702.2499999999991</v>
      </c>
      <c r="N24" s="95"/>
      <c r="O24" s="95"/>
    </row>
    <row r="25" spans="2:15">
      <c r="B25" s="18" t="s">
        <v>182</v>
      </c>
      <c r="C25" s="18"/>
      <c r="D25" s="18"/>
      <c r="F25" s="499"/>
      <c r="G25" s="63" t="s">
        <v>1654</v>
      </c>
      <c r="H25" s="93">
        <f>IFERROR(H22/H12,0)</f>
        <v>0.64275173611111092</v>
      </c>
      <c r="I25" s="93">
        <f>IFERROR(I22/I12,0)</f>
        <v>0.64275173611111092</v>
      </c>
      <c r="J25" s="93">
        <f>IFERROR(J22/J12,0)</f>
        <v>0.64275173611111092</v>
      </c>
      <c r="N25" s="95"/>
      <c r="O25" s="95"/>
    </row>
    <row r="26" spans="2:15" ht="15" customHeight="1">
      <c r="B26" s="285"/>
      <c r="C26" s="285"/>
      <c r="D26" s="285"/>
      <c r="F26" s="91"/>
      <c r="G26" s="98" t="s">
        <v>1655</v>
      </c>
      <c r="H26" s="240">
        <f>H22*(2-$P$12)</f>
        <v>3850.3399999999992</v>
      </c>
      <c r="I26" s="99">
        <f t="shared" ref="I26:J26" si="1">I22*(2-$P$12)</f>
        <v>3850.3399999999992</v>
      </c>
      <c r="J26" s="99">
        <f t="shared" si="1"/>
        <v>3850.3399999999992</v>
      </c>
      <c r="N26" s="95"/>
      <c r="O26" s="95"/>
    </row>
    <row r="27" spans="2:15" ht="15" customHeight="1">
      <c r="B27" s="285"/>
      <c r="C27" s="285"/>
      <c r="D27" s="285"/>
      <c r="F27" s="91"/>
      <c r="G27" s="98" t="s">
        <v>1656</v>
      </c>
      <c r="H27" s="99">
        <f>H22+H29*(2-$P$12)</f>
        <v>4629.5833333333321</v>
      </c>
      <c r="I27" s="99">
        <f t="shared" ref="I27:J27" si="2">I22+I29*(2-$P$12)</f>
        <v>4629.5833333333321</v>
      </c>
      <c r="J27" s="99">
        <f t="shared" si="2"/>
        <v>4629.5833333333321</v>
      </c>
      <c r="N27" s="95"/>
      <c r="O27" s="95"/>
    </row>
    <row r="28" spans="2:15" ht="15" customHeight="1">
      <c r="B28" s="293"/>
      <c r="C28" s="293"/>
      <c r="D28" s="293"/>
      <c r="F28" s="91"/>
      <c r="G28"/>
      <c r="H28"/>
      <c r="I28"/>
      <c r="J28"/>
      <c r="N28" s="95"/>
      <c r="O28" s="95"/>
    </row>
    <row r="29" spans="2:15" ht="15" customHeight="1">
      <c r="B29" s="293"/>
      <c r="C29" s="293"/>
      <c r="D29" s="293"/>
      <c r="F29" s="91"/>
      <c r="G29" s="63" t="s">
        <v>1657</v>
      </c>
      <c r="H29" s="92">
        <f>IF(H12&lt;&gt;0,O12/K12,0)</f>
        <v>891.66666666666663</v>
      </c>
      <c r="I29" s="92">
        <f>IF(I12&lt;&gt;0,O12/K12,0)</f>
        <v>891.66666666666663</v>
      </c>
      <c r="J29" s="92">
        <f>IF(J12&lt;&gt;0,O12/K12,0)</f>
        <v>891.66666666666663</v>
      </c>
      <c r="N29" s="95"/>
      <c r="O29" s="95"/>
    </row>
    <row r="30" spans="2:15">
      <c r="B30" s="293"/>
      <c r="C30" s="293"/>
      <c r="D30" s="293"/>
      <c r="F30" s="90"/>
      <c r="G30" s="63" t="s">
        <v>1658</v>
      </c>
      <c r="H30" s="92">
        <f>H12-H17</f>
        <v>3679.5333333333338</v>
      </c>
      <c r="I30" s="92">
        <f>I12-I17</f>
        <v>3679.5333333333338</v>
      </c>
      <c r="J30" s="92">
        <f>J12-J17</f>
        <v>3679.5333333333338</v>
      </c>
      <c r="N30" s="95"/>
      <c r="O30" s="95"/>
    </row>
    <row r="31" spans="2:15">
      <c r="B31" s="293"/>
      <c r="C31" s="293"/>
      <c r="D31" s="293"/>
      <c r="F31" s="90"/>
      <c r="G31" s="63" t="s">
        <v>417</v>
      </c>
      <c r="H31" s="92">
        <f>IF(H29&lt;H30,H29,H30)</f>
        <v>891.66666666666663</v>
      </c>
      <c r="I31" s="92">
        <f>IF(I29&lt;I30,I29,I30)</f>
        <v>891.66666666666663</v>
      </c>
      <c r="J31" s="92">
        <f>IF(J29&lt;J30,J29,J30)</f>
        <v>891.66666666666663</v>
      </c>
      <c r="N31" s="95"/>
      <c r="O31" s="95"/>
    </row>
    <row r="32" spans="2:15">
      <c r="B32" s="289"/>
      <c r="C32" s="289"/>
      <c r="D32" s="289"/>
      <c r="F32" s="90"/>
      <c r="H32" s="95"/>
      <c r="I32" s="95"/>
      <c r="J32" s="95"/>
      <c r="N32" s="95"/>
      <c r="O32" s="95"/>
    </row>
    <row r="33" spans="2:16">
      <c r="B33" s="289"/>
      <c r="C33" s="289"/>
      <c r="D33" s="289"/>
      <c r="F33" s="90"/>
      <c r="G33" s="96" t="s">
        <v>1659</v>
      </c>
    </row>
    <row r="34" spans="2:16">
      <c r="B34" s="289"/>
      <c r="C34" s="289"/>
      <c r="D34" s="289"/>
      <c r="F34" s="499" t="str">
        <f>CALC!W9</f>
        <v>ENABLED</v>
      </c>
      <c r="G34" s="63"/>
      <c r="H34" s="63" t="s">
        <v>388</v>
      </c>
      <c r="I34" s="63" t="s">
        <v>389</v>
      </c>
      <c r="J34" s="63" t="s">
        <v>390</v>
      </c>
      <c r="K34" s="63" t="s">
        <v>1643</v>
      </c>
      <c r="L34" s="63" t="s">
        <v>1644</v>
      </c>
      <c r="M34" s="63" t="s">
        <v>1645</v>
      </c>
      <c r="N34" s="63" t="s">
        <v>1646</v>
      </c>
      <c r="O34" s="63" t="s">
        <v>1647</v>
      </c>
      <c r="P34" s="63" t="s">
        <v>1648</v>
      </c>
    </row>
    <row r="35" spans="2:16">
      <c r="B35" s="289"/>
      <c r="C35" s="289"/>
      <c r="D35" s="289"/>
      <c r="F35" s="499"/>
      <c r="G35" s="63" t="s">
        <v>1649</v>
      </c>
      <c r="H35" s="63">
        <f>IFERROR((IF(AND(CALC!$S$54="L1",CALC!$S$67="Enabled"),VLOOKUP(CALC!$T$62,DBRECT!$H$10:$M$100,5,FALSE),"0")+IF(AND(CALC!$T$54="L1",CALC!$T$67="Enabled"),VLOOKUP(CALC!$T$62,DBRECT!$H$10:$M$100,5,FALSE),"0")+IF(AND(CALC!$U$54="L1",CALC!$U$67="Enabled"),VLOOKUP(CALC!$T$62,DBRECT!$H$10:$M$100,5,FALSE),"0")+IF(AND(CALC!$V$54="L1",CALC!$V$67="Enabled"),VLOOKUP(CALC!$T$62,DBRECT!$H$10:$M$100,5,FALSE),"0")+IF(AND(CALC!$W$54="L1",CALC!$W$67="Enabled"),VLOOKUP(CALC!$T$62,DBRECT!$H$10:$M$100,5,FALSE),"0")+IF(AND(CALC!$S$55="L1",CALC!$S$68="Enabled"),VLOOKUP(CALC!$T$62,DBRECT!$H$10:$M$100,5,FALSE),"0")+IF(AND(CALC!$T$55="L1",CALC!$T$68="Enabled"),VLOOKUP(CALC!$T$62,DBRECT!$H$10:$M$100,5,FALSE),"0")+IF(AND(CALC!$U$55="L1",CALC!$U$68="Enabled"),VLOOKUP(CALC!$T$62,DBRECT!$H$10:$M$100,5,FALSE),"0")+IF(AND(CALC!$V$55="L1",CALC!$V$68="Enabled"),VLOOKUP(CALC!$T$62,DBRECT!$H$10:$M$100,5,FALSE),"0")+IF(AND(CALC!$W$55="L1",CALC!$W$68="Enabled"),VLOOKUP(CALC!$T$62,DBRECT!$H$10:$M$100,5,FALSE),"0")+IF(AND(CALC!$S$56="L1",CALC!$S$69="Enabled"),VLOOKUP(CALC!$T$62,DBRECT!$H$10:$M$100,5,FALSE),"0")+IF(AND(CALC!$T$56="L1",CALC!$T$69="Enabled"),VLOOKUP(CALC!$T$62,DBRECT!$H$10:$M$100,5,FALSE),"0")+IF(AND(CALC!$U$56="L1",CALC!$U$69="Enabled"),VLOOKUP(CALC!$T$62,DBRECT!$H$10:$M$100,5,FALSE),"0")+IF(AND(CALC!$V$56="L1",CALC!$V$69="Enabled"),VLOOKUP(CALC!$T$62,DBRECT!$H$10:$M$100,5,FALSE),"0")+IF(AND(CALC!$W$56="L1",CALC!$W$69="Enabled"),VLOOKUP(CALC!$T$62,DBRECT!$H$10:$M$100,5,FALSE),"0")+IF(AND(CALC!$S$57="L1",CALC!$S$70="Enabled"),VLOOKUP(CALC!$T$62,DBRECT!$H$10:$M$100,5,FALSE),"0")+IF(AND(CALC!$T$57="L1",CALC!$T$70="Enabled"),VLOOKUP(CALC!$T$62,DBRECT!$H$10:$M$100,5,FALSE),"0")+IF(AND(CALC!$U$57="L1",CALC!$U$70="Enabled"),VLOOKUP(CALC!$T$62,DBRECT!$H$10:$M$100,5,FALSE),"0")+IF(AND(CALC!$V$57="L1",CALC!$V$70="Enabled"),VLOOKUP(CALC!$T$62,DBRECT!$H$10:$M$100,5,FALSE),"0")+IF(AND(CALC!$W$57="L1",CALC!$W$70="Enabled"),VLOOKUP(CALC!$T$62,DBRECT!$H$10:$M$100,5,FALSE),"0"))*P35,0)</f>
        <v>5760</v>
      </c>
      <c r="I35" s="63">
        <f>IFERROR((IF(AND(CALC!$S$54="L2",CALC!$S$67="Enabled"),VLOOKUP(CALC!$T$62,DBRECT!$H$10:$M$100,5,FALSE),"0")+IF(AND(CALC!$T$54="L2",CALC!$T$67="Enabled"),VLOOKUP(CALC!$T$62,DBRECT!$H$10:$M$100,5,FALSE),"0")+IF(AND(CALC!$U$54="L2",CALC!$U$67="Enabled"),VLOOKUP(CALC!$T$62,DBRECT!$H$10:$M$100,5,FALSE),"0")+IF(AND(CALC!$V$54="L2",CALC!$V$67="Enabled"),VLOOKUP(CALC!$T$62,DBRECT!$H$10:$M$100,5,FALSE),"0")+IF(AND(CALC!$W$54="L2",CALC!$W$67="Enabled"),VLOOKUP(CALC!$T$62,DBRECT!$H$10:$M$100,5,FALSE),"0")+IF(AND(CALC!$S$55="L2",CALC!$S$68="Enabled"),VLOOKUP(CALC!$T$62,DBRECT!$H$10:$M$100,5,FALSE),"0")+IF(AND(CALC!$T$55="L2",CALC!$T$68="Enabled"),VLOOKUP(CALC!$T$62,DBRECT!$H$10:$M$100,5,FALSE),"0")+IF(AND(CALC!$U$55="L2",CALC!$U$68="Enabled"),VLOOKUP(CALC!$T$62,DBRECT!$H$10:$M$100,5,FALSE),"0")+IF(AND(CALC!$V$55="L2",CALC!$V$68="Enabled"),VLOOKUP(CALC!$T$62,DBRECT!$H$10:$M$100,5,FALSE),"0")+IF(AND(CALC!$W$55="L2",CALC!$W$68="Enabled"),VLOOKUP(CALC!$T$62,DBRECT!$H$10:$M$100,5,FALSE),"0")+IF(AND(CALC!$S$56="L2",CALC!$S$69="Enabled"),VLOOKUP(CALC!$T$62,DBRECT!$H$10:$M$100,5,FALSE),"0")+IF(AND(CALC!$T$56="L2",CALC!$T$69="Enabled"),VLOOKUP(CALC!$T$62,DBRECT!$H$10:$M$100,5,FALSE),"0")+IF(AND(CALC!$U$56="L2",CALC!$U$69="Enabled"),VLOOKUP(CALC!$T$62,DBRECT!$H$10:$M$100,5,FALSE),"0")+IF(AND(CALC!$V$56="L2",CALC!$V$69="Enabled"),VLOOKUP(CALC!$T$62,DBRECT!$H$10:$M$100,5,FALSE),"0")+IF(AND(CALC!$W$56="L2",CALC!$W$69="Enabled"),VLOOKUP(CALC!$T$62,DBRECT!$H$10:$M$100,5,FALSE),"0")+IF(AND(CALC!$S$57="L2",CALC!$S$70="Enabled"),VLOOKUP(CALC!$T$62,DBRECT!$H$10:$M$100,5,FALSE),"0")+IF(AND(CALC!$T$57="L2",CALC!$T$70="Enabled"),VLOOKUP(CALC!$T$62,DBRECT!$H$10:$M$100,5,FALSE),"0")+IF(AND(CALC!$U$57="L2",CALC!$U$70="Enabled"),VLOOKUP(CALC!$T$62,DBRECT!$H$10:$M$100,5,FALSE),"0")+IF(AND(CALC!$V$57="L2",CALC!$V$70="Enabled"),VLOOKUP(CALC!$T$62,DBRECT!$H$10:$M$100,5,FALSE),"0")+IF(AND(CALC!$W$57="L2",CALC!$W$70="Enabled"),VLOOKUP(CALC!$T$62,DBRECT!$H$10:$M$100,5,FALSE),"0"))*P35,0)</f>
        <v>5760</v>
      </c>
      <c r="J35" s="63">
        <f>IFERROR((IF(AND(CALC!$S$54="L3",CALC!$S$67="Enabled"),VLOOKUP(CALC!$T$62,DBRECT!$H$10:$M$100,5,FALSE),"0")+IF(AND(CALC!$T$54="L3",CALC!$T$67="Enabled"),VLOOKUP(CALC!$T$62,DBRECT!$H$10:$M$100,5,FALSE),"0")+IF(AND(CALC!$U$54="L3",CALC!$U$67="Enabled"),VLOOKUP(CALC!$T$62,DBRECT!$H$10:$M$100,5,FALSE),"0")+IF(AND(CALC!$V$54="L3",CALC!$V$67="Enabled"),VLOOKUP(CALC!$T$62,DBRECT!$H$10:$M$100,5,FALSE),"0")+IF(AND(CALC!$W$54="L3",CALC!$W$67="Enabled"),VLOOKUP(CALC!$T$62,DBRECT!$H$10:$M$100,5,FALSE),"0")+IF(AND(CALC!$S$55="L3",CALC!$S$68="Enabled"),VLOOKUP(CALC!$T$62,DBRECT!$H$10:$M$100,5,FALSE),"0")+IF(AND(CALC!$T$55="L3",CALC!$T$68="Enabled"),VLOOKUP(CALC!$T$62,DBRECT!$H$10:$M$100,5,FALSE),"0")+IF(AND(CALC!$U$55="L3",CALC!$U$68="Enabled"),VLOOKUP(CALC!$T$62,DBRECT!$H$10:$M$100,5,FALSE),"0")+IF(AND(CALC!$V$55="L3",CALC!$V$68="Enabled"),VLOOKUP(CALC!$T$62,DBRECT!$H$10:$M$100,5,FALSE),"0")+IF(AND(CALC!$W$55="L3",CALC!$W$68="Enabled"),VLOOKUP(CALC!$T$62,DBRECT!$H$10:$M$100,5,FALSE),"0")+IF(AND(CALC!$S$56="L3",CALC!$S$69="Enabled"),VLOOKUP(CALC!$T$62,DBRECT!$H$10:$M$100,5,FALSE),"0")+IF(AND(CALC!$T$56="L3",CALC!$T$69="Enabled"),VLOOKUP(CALC!$T$62,DBRECT!$H$10:$M$100,5,FALSE),"0")+IF(AND(CALC!$U$56="L3",CALC!$U$69="Enabled"),VLOOKUP(CALC!$T$62,DBRECT!$H$10:$M$100,5,FALSE),"0")+IF(AND(CALC!$V$56="L3",CALC!$V$69="Enabled"),VLOOKUP(CALC!$T$62,DBRECT!$H$10:$M$100,5,FALSE),"0")+IF(AND(CALC!$W$56="L3",CALC!$W$69="Enabled"),VLOOKUP(CALC!$T$62,DBRECT!$H$10:$M$100,5,FALSE),"0")+IF(AND(CALC!$S$57="L3",CALC!$S$70="Enabled"),VLOOKUP(CALC!$T$62,DBRECT!$H$10:$M$100,5,FALSE),"0")+IF(AND(CALC!$T$57="L3",CALC!$T$70="Enabled"),VLOOKUP(CALC!$T$62,DBRECT!$H$10:$M$100,5,FALSE),"0")+IF(AND(CALC!$U$57="L3",CALC!$U$70="Enabled"),VLOOKUP(CALC!$T$62,DBRECT!$H$10:$M$100,5,FALSE),"0")+IF(AND(CALC!$V$57="L3",CALC!$V$70="Enabled"),VLOOKUP(CALC!$T$62,DBRECT!$H$10:$M$100,5,FALSE),"0")+IF(AND(CALC!$W$57="L3",CALC!$W$70="Enabled"),VLOOKUP(CALC!$T$62,DBRECT!$H$10:$M$100,5,FALSE),"0"))*P35,0)</f>
        <v>5760</v>
      </c>
      <c r="K35" s="63">
        <f>COUNTIF(H35:J35,"&lt;&gt;0")</f>
        <v>3</v>
      </c>
      <c r="L35" s="92">
        <f>IFERROR(SUM(H35:J35),0)</f>
        <v>17280</v>
      </c>
      <c r="M35" s="92">
        <f>IF(F34="DISABLED",0,CALC!T86)</f>
        <v>8605.4</v>
      </c>
      <c r="N35" s="92">
        <f>IF(F34="DISABLED",0,CALC!T87)</f>
        <v>10349.6</v>
      </c>
      <c r="O35" s="92">
        <f>IF(F34="DISABLED",0,CALC!T84)</f>
        <v>2675</v>
      </c>
      <c r="P35" s="63">
        <f>IFERROR((VLOOKUP(CALC!T62,DBRECT!$H$10:$M$100,6,FALSE)),0)</f>
        <v>0.96</v>
      </c>
    </row>
    <row r="36" spans="2:16">
      <c r="B36" s="289"/>
      <c r="C36" s="289"/>
      <c r="D36" s="289"/>
      <c r="F36" s="499"/>
      <c r="G36" s="63" t="s">
        <v>1650</v>
      </c>
      <c r="H36" s="92">
        <f>IFERROR(H35/L35*100,0)</f>
        <v>33.333333333333329</v>
      </c>
      <c r="I36" s="92">
        <f>IFERROR(I35/L35*100,0)</f>
        <v>33.333333333333329</v>
      </c>
      <c r="J36" s="92">
        <f>IFERROR(J35/L35*100,0)</f>
        <v>33.333333333333329</v>
      </c>
      <c r="L36" s="95"/>
      <c r="M36" s="95"/>
      <c r="N36" s="95"/>
      <c r="O36" s="95"/>
    </row>
    <row r="37" spans="2:16">
      <c r="B37" s="289"/>
      <c r="C37" s="289"/>
      <c r="D37" s="289"/>
      <c r="F37" s="499"/>
      <c r="N37" s="95"/>
      <c r="O37" s="95"/>
    </row>
    <row r="38" spans="2:16">
      <c r="B38" s="289"/>
      <c r="C38" s="289"/>
      <c r="D38" s="289"/>
      <c r="F38" s="499" t="s">
        <v>1645</v>
      </c>
      <c r="G38" s="63" t="s">
        <v>1651</v>
      </c>
      <c r="H38" s="92">
        <f>IF(H35=0,0,M35*(H36/100))</f>
        <v>2868.4666666666658</v>
      </c>
      <c r="I38" s="92">
        <f>IF(I35=0,0,M35*(I36/100))</f>
        <v>2868.4666666666658</v>
      </c>
      <c r="J38" s="92">
        <f>IF(J35=0,0,M35*(J36/100))</f>
        <v>2868.4666666666658</v>
      </c>
      <c r="N38" s="95"/>
      <c r="O38" s="95"/>
    </row>
    <row r="39" spans="2:16">
      <c r="B39" s="289"/>
      <c r="C39" s="289"/>
      <c r="D39" s="289"/>
      <c r="F39" s="499"/>
      <c r="G39" s="63" t="s">
        <v>1652</v>
      </c>
      <c r="H39" s="63">
        <f>IF(H38&gt;H35,H38-H35,0)</f>
        <v>0</v>
      </c>
      <c r="I39" s="63">
        <f>IF(I38&gt;I35,I38-I35,0)</f>
        <v>0</v>
      </c>
      <c r="J39" s="63">
        <f>IF(J38&gt;J35,J38-J35,0)</f>
        <v>0</v>
      </c>
      <c r="K39" s="63">
        <f>COUNTIF(H39:J39,"&lt;&gt;0")</f>
        <v>0</v>
      </c>
      <c r="N39" s="95"/>
      <c r="O39" s="95"/>
    </row>
    <row r="40" spans="2:16">
      <c r="B40" s="289"/>
      <c r="C40" s="289"/>
      <c r="D40" s="289"/>
      <c r="F40" s="499"/>
      <c r="G40" s="63" t="s">
        <v>1653</v>
      </c>
      <c r="H40" s="92">
        <f>IFERROR(IF(H39&lt;&gt;0,H35,H39/K39),H38)</f>
        <v>2868.4666666666658</v>
      </c>
      <c r="I40" s="92">
        <f>IFERROR(IF(I39&lt;&gt;0,I35,I39/K39),I38)</f>
        <v>2868.4666666666658</v>
      </c>
      <c r="J40" s="92">
        <f>IFERROR(IF(J39&lt;&gt;0,J35,J39/K39),J38)</f>
        <v>2868.4666666666658</v>
      </c>
      <c r="N40" s="95"/>
      <c r="O40" s="95"/>
    </row>
    <row r="41" spans="2:16">
      <c r="B41" s="289"/>
      <c r="C41" s="289"/>
      <c r="D41" s="289"/>
      <c r="F41" s="499"/>
      <c r="G41" s="63" t="s">
        <v>1654</v>
      </c>
      <c r="H41" s="93">
        <f>IFERROR(H38/H35,0)</f>
        <v>0.49799768518518506</v>
      </c>
      <c r="I41" s="93">
        <f>IFERROR(I38/I35,0)</f>
        <v>0.49799768518518506</v>
      </c>
      <c r="J41" s="93">
        <f>IFERROR(J38/J35,0)</f>
        <v>0.49799768518518506</v>
      </c>
      <c r="N41" s="95"/>
      <c r="O41" s="95"/>
    </row>
    <row r="42" spans="2:16">
      <c r="B42" s="289"/>
      <c r="C42" s="289"/>
      <c r="D42" s="289"/>
      <c r="F42" s="91"/>
      <c r="G42" s="98" t="s">
        <v>1655</v>
      </c>
      <c r="H42" s="230">
        <f>H38*(2-$P$35)</f>
        <v>2983.2053333333324</v>
      </c>
      <c r="I42" s="99">
        <f t="shared" ref="I42:J42" si="3">I38*(2-$P$35)</f>
        <v>2983.2053333333324</v>
      </c>
      <c r="J42" s="99">
        <f t="shared" si="3"/>
        <v>2983.2053333333324</v>
      </c>
      <c r="N42" s="95"/>
      <c r="O42" s="95"/>
    </row>
    <row r="43" spans="2:16">
      <c r="B43" s="289"/>
      <c r="C43" s="289"/>
      <c r="D43" s="289"/>
      <c r="F43" s="91"/>
      <c r="G43" s="98" t="s">
        <v>1656</v>
      </c>
      <c r="H43" s="99">
        <f>H38+H52*(2-$P$35)</f>
        <v>3795.7999999999993</v>
      </c>
      <c r="I43" s="99">
        <f t="shared" ref="I43:J43" si="4">I38+I52*(2-$P$35)</f>
        <v>3795.7999999999993</v>
      </c>
      <c r="J43" s="99">
        <f t="shared" si="4"/>
        <v>3795.7999999999993</v>
      </c>
      <c r="N43" s="95"/>
      <c r="O43" s="95"/>
    </row>
    <row r="44" spans="2:16">
      <c r="B44" s="289"/>
      <c r="C44" s="289"/>
      <c r="D44" s="289"/>
      <c r="F44" s="91"/>
      <c r="N44" s="95"/>
      <c r="O44" s="95"/>
    </row>
    <row r="45" spans="2:16">
      <c r="B45" s="289"/>
      <c r="C45" s="289"/>
      <c r="D45" s="289"/>
      <c r="F45" s="499" t="s">
        <v>1646</v>
      </c>
      <c r="G45" s="63" t="s">
        <v>1651</v>
      </c>
      <c r="H45" s="92">
        <f>IF(H35=0,0,N35*(H36/100))</f>
        <v>3449.8666666666659</v>
      </c>
      <c r="I45" s="92">
        <f>IF(I35=0,0,N35*(I36/100))</f>
        <v>3449.8666666666659</v>
      </c>
      <c r="J45" s="92">
        <f>IF(J35=0,0,N35*(J36/100))</f>
        <v>3449.8666666666659</v>
      </c>
      <c r="N45" s="95"/>
      <c r="O45" s="95"/>
    </row>
    <row r="46" spans="2:16">
      <c r="B46" s="289"/>
      <c r="C46" s="289"/>
      <c r="D46" s="289"/>
      <c r="F46" s="499"/>
      <c r="G46" s="63" t="s">
        <v>1652</v>
      </c>
      <c r="H46" s="92">
        <f>IF(H45&gt;H35,H45-H35,0)</f>
        <v>0</v>
      </c>
      <c r="I46" s="92">
        <f>IF(I45&gt;I35,I45-I35,0)</f>
        <v>0</v>
      </c>
      <c r="J46" s="92">
        <f>IF(J45&gt;J35,J45-J35,0)</f>
        <v>0</v>
      </c>
      <c r="K46" s="63">
        <f>COUNTIF(H46:J46,"&lt;&gt;0")</f>
        <v>0</v>
      </c>
      <c r="N46" s="95"/>
      <c r="O46" s="95"/>
    </row>
    <row r="47" spans="2:16">
      <c r="B47" s="289"/>
      <c r="C47" s="289"/>
      <c r="D47" s="289"/>
      <c r="F47" s="499"/>
      <c r="G47" s="63" t="s">
        <v>1653</v>
      </c>
      <c r="H47" s="92">
        <f>IFERROR(IF(H46&lt;&gt;0,H35,H46/K46),H45)</f>
        <v>3449.8666666666659</v>
      </c>
      <c r="I47" s="92">
        <f>IFERROR(IF(I46&lt;&gt;0,I35,I46/K46),I45)</f>
        <v>3449.8666666666659</v>
      </c>
      <c r="J47" s="92">
        <f>IFERROR(IF(J46&lt;&gt;0,J35,J46/K46),J45)</f>
        <v>3449.8666666666659</v>
      </c>
      <c r="N47" s="95"/>
      <c r="O47" s="95"/>
    </row>
    <row r="48" spans="2:16">
      <c r="B48" s="289"/>
      <c r="C48" s="289"/>
      <c r="D48" s="289"/>
      <c r="F48" s="499"/>
      <c r="G48" s="63" t="s">
        <v>1654</v>
      </c>
      <c r="H48" s="93">
        <f>IFERROR(H45/H35,0)</f>
        <v>0.59893518518518507</v>
      </c>
      <c r="I48" s="93">
        <f>IFERROR(I45/I35,0)</f>
        <v>0.59893518518518507</v>
      </c>
      <c r="J48" s="93">
        <f>IFERROR(J45/J35,0)</f>
        <v>0.59893518518518507</v>
      </c>
      <c r="N48" s="95"/>
      <c r="O48" s="95"/>
    </row>
    <row r="49" spans="6:16">
      <c r="F49" s="91"/>
      <c r="G49" s="98" t="s">
        <v>1655</v>
      </c>
      <c r="H49" s="240">
        <f>H45*(2-$P$35)</f>
        <v>3587.8613333333328</v>
      </c>
      <c r="I49" s="99">
        <f t="shared" ref="I49:J49" si="5">I45*(2-$P$35)</f>
        <v>3587.8613333333328</v>
      </c>
      <c r="J49" s="99">
        <f t="shared" si="5"/>
        <v>3587.8613333333328</v>
      </c>
      <c r="N49" s="95"/>
      <c r="O49" s="95"/>
    </row>
    <row r="50" spans="6:16">
      <c r="F50" s="91"/>
      <c r="G50" s="98" t="s">
        <v>1656</v>
      </c>
      <c r="H50" s="99">
        <f>H45+H52*(2-$P$35)</f>
        <v>4377.1999999999989</v>
      </c>
      <c r="I50" s="99">
        <f t="shared" ref="I50:J50" si="6">I45+I52*(2-$P$35)</f>
        <v>4377.1999999999989</v>
      </c>
      <c r="J50" s="99">
        <f t="shared" si="6"/>
        <v>4377.1999999999989</v>
      </c>
      <c r="N50" s="95"/>
      <c r="O50" s="95"/>
    </row>
    <row r="51" spans="6:16">
      <c r="G51"/>
      <c r="H51"/>
      <c r="I51"/>
      <c r="J51"/>
      <c r="K51"/>
      <c r="L51"/>
      <c r="M51"/>
      <c r="N51"/>
      <c r="O51"/>
      <c r="P51"/>
    </row>
    <row r="52" spans="6:16">
      <c r="F52" s="91"/>
      <c r="G52" s="63" t="s">
        <v>1657</v>
      </c>
      <c r="H52" s="92">
        <f>IF(H35&lt;&gt;0,O35/K35,0)</f>
        <v>891.66666666666663</v>
      </c>
      <c r="I52" s="92">
        <f>IF(I35&lt;&gt;0,O35/K35,0)</f>
        <v>891.66666666666663</v>
      </c>
      <c r="J52" s="92">
        <f>IF(J35&lt;&gt;0,O35/K35,0)</f>
        <v>891.66666666666663</v>
      </c>
      <c r="N52" s="95"/>
      <c r="O52" s="95"/>
    </row>
    <row r="53" spans="6:16">
      <c r="F53" s="90"/>
      <c r="G53" s="63" t="s">
        <v>1658</v>
      </c>
      <c r="H53" s="92">
        <f>H35-H40</f>
        <v>2891.5333333333342</v>
      </c>
      <c r="I53" s="92">
        <f>I35-I40</f>
        <v>2891.5333333333342</v>
      </c>
      <c r="J53" s="92">
        <f>J35-J40</f>
        <v>2891.5333333333342</v>
      </c>
      <c r="N53" s="95"/>
      <c r="O53" s="95"/>
    </row>
    <row r="54" spans="6:16">
      <c r="F54" s="90"/>
      <c r="G54" s="63" t="s">
        <v>417</v>
      </c>
      <c r="H54" s="92">
        <f>IF(H52&lt;H53,H52,H53)</f>
        <v>891.66666666666663</v>
      </c>
      <c r="I54" s="92">
        <f>IF(I52&lt;I53,I52,I53)</f>
        <v>891.66666666666663</v>
      </c>
      <c r="J54" s="92">
        <f>IF(J52&lt;J53,J52,J53)</f>
        <v>891.66666666666663</v>
      </c>
    </row>
    <row r="55" spans="6:16">
      <c r="F55" s="90"/>
    </row>
    <row r="56" spans="6:16">
      <c r="F56" s="90"/>
      <c r="G56" s="96" t="s">
        <v>1660</v>
      </c>
    </row>
    <row r="57" spans="6:16">
      <c r="F57" s="499" t="str">
        <f>CALC!AG9</f>
        <v>DISABLED</v>
      </c>
      <c r="G57" s="63"/>
      <c r="H57" s="63" t="s">
        <v>388</v>
      </c>
      <c r="I57" s="63" t="s">
        <v>389</v>
      </c>
      <c r="J57" s="63" t="s">
        <v>390</v>
      </c>
      <c r="K57" s="63" t="s">
        <v>1643</v>
      </c>
      <c r="L57" s="63" t="s">
        <v>1644</v>
      </c>
      <c r="M57" s="63" t="s">
        <v>1645</v>
      </c>
      <c r="N57" s="63" t="s">
        <v>1646</v>
      </c>
      <c r="O57" s="63" t="s">
        <v>1647</v>
      </c>
      <c r="P57" s="63" t="s">
        <v>1648</v>
      </c>
    </row>
    <row r="58" spans="6:16">
      <c r="F58" s="499"/>
      <c r="G58" s="63" t="s">
        <v>1649</v>
      </c>
      <c r="H58" s="63">
        <f>IFERROR((IF(AND(CALC!$AC$54="L1",CALC!$AC$67="Enabled"),VLOOKUP(CALC!$AD$62,DBRECT!$H$10:$M$100,5,FALSE),"0")+IF(AND(CALC!$AD$54="L1",CALC!$AD$67="Enabled"),VLOOKUP(CALC!$AD$62,DBRECT!$H$10:$M$100,5,FALSE),"0")+IF(AND(CALC!$AE$54="L1",CALC!$AE$67="Enabled"),VLOOKUP(CALC!$AD$62,DBRECT!$H$10:$M$100,5,FALSE),"0")+IF(AND(CALC!$AF$54="L1",CALC!$AF$67="Enabled"),VLOOKUP(CALC!$AD$62,DBRECT!$H$10:$M$100,5,FALSE),"0")+IF(AND(CALC!$AG$54="L1",CALC!$AG$67="Enabled"),VLOOKUP(CALC!$AD$62,DBRECT!$H$10:$M$100,5,FALSE),"0")+IF(AND(CALC!$AC$55="L1",CALC!$AC$68="Enabled"),VLOOKUP(CALC!$AD$62,DBRECT!$H$10:$M$100,5,FALSE),"0")+IF(AND(CALC!$AD$55="L1",CALC!$AD$68="Enabled"),VLOOKUP(CALC!$AD$62,DBRECT!$H$10:$M$100,5,FALSE),"0")+IF(AND(CALC!$AE$55="L1",CALC!$AE$68="Enabled"),VLOOKUP(CALC!$AD$62,DBRECT!$H$10:$M$100,5,FALSE),"0")+IF(AND(CALC!$AF$55="L1",CALC!$AF$68="Enabled"),VLOOKUP(CALC!$AD$62,DBRECT!$H$10:$M$100,5,FALSE),"0")+IF(AND(CALC!$AG$55="L1",CALC!$AG$68="Enabled"),VLOOKUP(CALC!$AD$62,DBRECT!$H$10:$M$100,5,FALSE),"0")+IF(AND(CALC!$AC$56="L1",CALC!$AC$69="Enabled"),VLOOKUP(CALC!$AD$62,DBRECT!$H$10:$M$100,5,FALSE),"0")+IF(AND(CALC!$AD$56="L1",CALC!$AD$69="Enabled"),VLOOKUP(CALC!$AD$62,DBRECT!$H$10:$M$100,5,FALSE),"0")+IF(AND(CALC!$AE$56="L1",CALC!$AE$69="Enabled"),VLOOKUP(CALC!$AD$62,DBRECT!$H$10:$M$100,5,FALSE),"0")+IF(AND(CALC!$AF$56="L1",CALC!$AF$69="Enabled"),VLOOKUP(CALC!$AD$62,DBRECT!$H$10:$M$100,5,FALSE),"0")+IF(AND(CALC!$AG$56="L1",CALC!$AG$69="Enabled"),VLOOKUP(CALC!$AD$62,DBRECT!$H$10:$M$100,5,FALSE),"0")+IF(AND(CALC!$AC$57="L1",CALC!$AC$70="Enabled"),VLOOKUP(CALC!$AD$62,DBRECT!$H$10:$M$100,5,FALSE),"0")+IF(AND(CALC!$AD$57="L1",CALC!$AD$70="Enabled"),VLOOKUP(CALC!$AD$62,DBRECT!$H$10:$M$100,5,FALSE),"0")+IF(AND(CALC!$AE$57="L1",CALC!$AE$70="Enabled"),VLOOKUP(CALC!$AD$62,DBRECT!$H$10:$M$100,5,FALSE),"0")+IF(AND(CALC!$AF$57="L1",CALC!$AF$70="Enabled"),VLOOKUP(CALC!$AD$62,DBRECT!$H$10:$M$100,5,FALSE),"0")+IF(AND(CALC!$AG$57="L1",CALC!$AG$70="Enabled"),VLOOKUP(CALC!$AD$62,DBRECT!$H$10:$M$100,5,FALSE),"0"))*P58,0)</f>
        <v>5760</v>
      </c>
      <c r="I58" s="63">
        <f>IFERROR((IF(AND(CALC!$AC$54="L2",CALC!$AC$67="Enabled"),VLOOKUP(CALC!$AD$62,DBRECT!$H$10:$M$100,5,FALSE),"0")+IF(AND(CALC!$AD$54="L2",CALC!$AD$67="Enabled"),VLOOKUP(CALC!$AD$62,DBRECT!$H$10:$M$100,5,FALSE),"0")+IF(AND(CALC!$AE$54="L2",CALC!$AE$67="Enabled"),VLOOKUP(CALC!$AD$62,DBRECT!$H$10:$M$100,5,FALSE),"0")+IF(AND(CALC!$AF$54="L2",CALC!$AF$67="Enabled"),VLOOKUP(CALC!$AD$62,DBRECT!$H$10:$M$100,5,FALSE),"0")+IF(AND(CALC!$AG$54="L2",CALC!$AG$67="Enabled"),VLOOKUP(CALC!$AD$62,DBRECT!$H$10:$M$100,5,FALSE),"0")+IF(AND(CALC!$AC$55="L2",CALC!$AC$68="Enabled"),VLOOKUP(CALC!$AD$62,DBRECT!$H$10:$M$100,5,FALSE),"0")+IF(AND(CALC!$AD$55="L2",CALC!$AD$68="Enabled"),VLOOKUP(CALC!$AD$62,DBRECT!$H$10:$M$100,5,FALSE),"0")+IF(AND(CALC!$AE$55="L2",CALC!$AE$68="Enabled"),VLOOKUP(CALC!$AD$62,DBRECT!$H$10:$M$100,5,FALSE),"0")+IF(AND(CALC!$AF$55="L2",CALC!$AF$68="Enabled"),VLOOKUP(CALC!$AD$62,DBRECT!$H$10:$M$100,5,FALSE),"0")+IF(AND(CALC!$AG$55="L2",CALC!$AG$68="Enabled"),VLOOKUP(CALC!$AD$62,DBRECT!$H$10:$M$100,5,FALSE),"0")+IF(AND(CALC!$AC$56="L2",CALC!$AC$69="Enabled"),VLOOKUP(CALC!$AD$62,DBRECT!$H$10:$M$100,5,FALSE),"0")+IF(AND(CALC!$AD$56="L2",CALC!$AD$69="Enabled"),VLOOKUP(CALC!$AD$62,DBRECT!$H$10:$M$100,5,FALSE),"0")+IF(AND(CALC!$AE$56="L2",CALC!$AE$69="Enabled"),VLOOKUP(CALC!$AD$62,DBRECT!$H$10:$M$100,5,FALSE),"0")+IF(AND(CALC!$AF$56="L2",CALC!$AF$69="Enabled"),VLOOKUP(CALC!$AD$62,DBRECT!$H$10:$M$100,5,FALSE),"0")+IF(AND(CALC!$AG$56="L2",CALC!$AG$69="Enabled"),VLOOKUP(CALC!$AD$62,DBRECT!$H$10:$M$100,5,FALSE),"0")+IF(AND(CALC!$AC$57="L2",CALC!$AC$70="Enabled"),VLOOKUP(CALC!$AD$62,DBRECT!$H$10:$M$100,5,FALSE),"0")+IF(AND(CALC!$AD$57="L2",CALC!$AD$70="Enabled"),VLOOKUP(CALC!$AD$62,DBRECT!$H$10:$M$100,5,FALSE),"0")+IF(AND(CALC!$AE$57="L2",CALC!$AE$70="Enabled"),VLOOKUP(CALC!$AD$62,DBRECT!$H$10:$M$100,5,FALSE),"0")+IF(AND(CALC!$AF$57="L2",CALC!$AF$70="Enabled"),VLOOKUP(CALC!$AD$62,DBRECT!$H$10:$M$100,5,FALSE),"0")+IF(AND(CALC!$AG$57="L2",CALC!$AG$70="Enabled"),VLOOKUP(CALC!$AD$62,DBRECT!$H$10:$M$100,5,FALSE),"0"))*P58,0)</f>
        <v>5760</v>
      </c>
      <c r="J58" s="63">
        <f>IFERROR((IF(AND(CALC!$AC$54="L3",CALC!$AC$67="Enabled"),VLOOKUP(CALC!$AD$62,DBRECT!$H$10:$M$100,5,FALSE),"0")+IF(AND(CALC!$AD$54="L3",CALC!$AD$67="Enabled"),VLOOKUP(CALC!$AD$62,DBRECT!$H$10:$M$100,5,FALSE),"0")+IF(AND(CALC!$AE$54="L3",CALC!$AE$67="Enabled"),VLOOKUP(CALC!$AD$62,DBRECT!$H$10:$M$100,5,FALSE),"0")+IF(AND(CALC!$AF$54="L3",CALC!$AF$67="Enabled"),VLOOKUP(CALC!$AD$62,DBRECT!$H$10:$M$100,5,FALSE),"0")+IF(AND(CALC!$AG$54="L3",CALC!$AG$67="Enabled"),VLOOKUP(CALC!$AD$62,DBRECT!$H$10:$M$100,5,FALSE),"0")+IF(AND(CALC!$AC$55="L3",CALC!$AC$68="Enabled"),VLOOKUP(CALC!$AD$62,DBRECT!$H$10:$M$100,5,FALSE),"0")+IF(AND(CALC!$AD$55="L3",CALC!$AD$68="Enabled"),VLOOKUP(CALC!$AD$62,DBRECT!$H$10:$M$100,5,FALSE),"0")+IF(AND(CALC!$AE$55="L3",CALC!$AE$68="Enabled"),VLOOKUP(CALC!$AD$62,DBRECT!$H$10:$M$100,5,FALSE),"0")+IF(AND(CALC!$AF$55="L3",CALC!$AF$68="Enabled"),VLOOKUP(CALC!$AD$62,DBRECT!$H$10:$M$100,5,FALSE),"0")+IF(AND(CALC!$AG$55="L3",CALC!$AG$68="Enabled"),VLOOKUP(CALC!$AD$62,DBRECT!$H$10:$M$100,5,FALSE),"0")+IF(AND(CALC!$AC$56="L3",CALC!$AC$69="Enabled"),VLOOKUP(CALC!$AD$62,DBRECT!$H$10:$M$100,5,FALSE),"0")+IF(AND(CALC!$AD$56="L3",CALC!$AD$69="Enabled"),VLOOKUP(CALC!$AD$62,DBRECT!$H$10:$M$100,5,FALSE),"0")+IF(AND(CALC!$AE$56="L3",CALC!$AE$69="Enabled"),VLOOKUP(CALC!$AD$62,DBRECT!$H$10:$M$100,5,FALSE),"0")+IF(AND(CALC!$AF$56="L3",CALC!$AF$69="Enabled"),VLOOKUP(CALC!$AD$62,DBRECT!$H$10:$M$100,5,FALSE),"0")+IF(AND(CALC!$AG$56="L3",CALC!$AG$69="Enabled"),VLOOKUP(CALC!$AD$62,DBRECT!$H$10:$M$100,5,FALSE),"0")+IF(AND(CALC!$AC$57="L3",CALC!$AC$70="Enabled"),VLOOKUP(CALC!$AD$62,DBRECT!$H$10:$M$100,5,FALSE),"0")+IF(AND(CALC!$AD$57="L3",CALC!$AD$70="Enabled"),VLOOKUP(CALC!$AD$62,DBRECT!$H$10:$M$100,5,FALSE),"0")+IF(AND(CALC!$AE$57="L3",CALC!$AE$70="Enabled"),VLOOKUP(CALC!$AD$62,DBRECT!$H$10:$M$100,5,FALSE),"0")+IF(AND(CALC!$AF$57="L3",CALC!$AF$70="Enabled"),VLOOKUP(CALC!$AD$62,DBRECT!$H$10:$M$100,5,FALSE),"0")+IF(AND(CALC!$AG$57="L3",CALC!$AG$70="Enabled"),VLOOKUP(CALC!$AD$62,DBRECT!$H$10:$M$100,5,FALSE),"0"))*P58,0)</f>
        <v>5760</v>
      </c>
      <c r="K58" s="63">
        <f>COUNTIF(H58:J58,"&lt;&gt;0")</f>
        <v>3</v>
      </c>
      <c r="L58" s="92">
        <f>IFERROR(SUM(H58:J58),0)</f>
        <v>17280</v>
      </c>
      <c r="M58" s="92">
        <f>IF(F57="DISABLED",0,CALC!AD86)</f>
        <v>0</v>
      </c>
      <c r="N58" s="92">
        <f>IF(F57="DISABLED",0,CALC!AD87)</f>
        <v>0</v>
      </c>
      <c r="O58" s="92">
        <f>IF(F57="DISABLED",0,CALC!AD84)</f>
        <v>0</v>
      </c>
      <c r="P58" s="63">
        <f>IFERROR((VLOOKUP(CALC!AD62,DBRECT!$H$10:$M$100,6,FALSE)),0)</f>
        <v>0.96</v>
      </c>
    </row>
    <row r="59" spans="6:16">
      <c r="F59" s="499"/>
      <c r="G59" s="63" t="s">
        <v>1650</v>
      </c>
      <c r="H59" s="92">
        <f>IFERROR(H58/L58*100,0)</f>
        <v>33.333333333333329</v>
      </c>
      <c r="I59" s="92">
        <f>IFERROR(I58/L58*100,0)</f>
        <v>33.333333333333329</v>
      </c>
      <c r="J59" s="92">
        <f>IFERROR(J58/L58*100,0)</f>
        <v>33.333333333333329</v>
      </c>
      <c r="L59" s="95"/>
      <c r="M59" s="95"/>
      <c r="N59" s="95"/>
      <c r="O59" s="95"/>
    </row>
    <row r="60" spans="6:16">
      <c r="F60" s="499"/>
      <c r="N60" s="95"/>
      <c r="O60" s="95"/>
    </row>
    <row r="61" spans="6:16">
      <c r="F61" s="499" t="s">
        <v>1645</v>
      </c>
      <c r="G61" s="63" t="s">
        <v>1651</v>
      </c>
      <c r="H61" s="92">
        <f>IF(H58=0,0,M58*(H59/100))</f>
        <v>0</v>
      </c>
      <c r="I61" s="92">
        <f>IF(I58=0,0,M58*(I59/100))</f>
        <v>0</v>
      </c>
      <c r="J61" s="92">
        <f>IF(J58=0,0,M58*(J59/100))</f>
        <v>0</v>
      </c>
      <c r="N61" s="95"/>
      <c r="O61" s="95"/>
    </row>
    <row r="62" spans="6:16">
      <c r="F62" s="499"/>
      <c r="G62" s="63" t="s">
        <v>1652</v>
      </c>
      <c r="H62" s="63">
        <f>IF(H61&gt;H58,H61-H58,0)</f>
        <v>0</v>
      </c>
      <c r="I62" s="63">
        <f>IF(I61&gt;I58,I61-I58,0)</f>
        <v>0</v>
      </c>
      <c r="J62" s="63">
        <f>IF(J61&gt;J58,J61-J58,0)</f>
        <v>0</v>
      </c>
      <c r="K62" s="63">
        <f>COUNTIF(H62:J62,"&lt;&gt;0")</f>
        <v>0</v>
      </c>
      <c r="N62" s="95"/>
      <c r="O62" s="95"/>
    </row>
    <row r="63" spans="6:16">
      <c r="F63" s="499"/>
      <c r="G63" s="63" t="s">
        <v>1653</v>
      </c>
      <c r="H63" s="92">
        <f>IFERROR(IF(H62&lt;&gt;0,H58,H62/K62),H61)</f>
        <v>0</v>
      </c>
      <c r="I63" s="92">
        <f>IFERROR(IF(I62&lt;&gt;0,I58,I62/K62),I61)</f>
        <v>0</v>
      </c>
      <c r="J63" s="92">
        <f>IFERROR(IF(J62&lt;&gt;0,J58,J62/K62),J61)</f>
        <v>0</v>
      </c>
      <c r="N63" s="95"/>
      <c r="O63" s="95"/>
    </row>
    <row r="64" spans="6:16">
      <c r="F64" s="499"/>
      <c r="G64" s="63" t="s">
        <v>1654</v>
      </c>
      <c r="H64" s="93">
        <f>IFERROR(H61/H58,0)</f>
        <v>0</v>
      </c>
      <c r="I64" s="93">
        <f>IFERROR(I61/I58,0)</f>
        <v>0</v>
      </c>
      <c r="J64" s="93">
        <f>IFERROR(J61/J58,0)</f>
        <v>0</v>
      </c>
      <c r="N64" s="95"/>
      <c r="O64" s="95"/>
    </row>
    <row r="65" spans="6:15">
      <c r="F65" s="91"/>
      <c r="G65" s="98" t="s">
        <v>1655</v>
      </c>
      <c r="H65" s="230">
        <f>H61*(2-$P$58)</f>
        <v>0</v>
      </c>
      <c r="I65" s="99">
        <f t="shared" ref="I65:J65" si="7">I61*(2-$P$58)</f>
        <v>0</v>
      </c>
      <c r="J65" s="99">
        <f t="shared" si="7"/>
        <v>0</v>
      </c>
      <c r="N65" s="95"/>
      <c r="O65" s="95"/>
    </row>
    <row r="66" spans="6:15">
      <c r="F66" s="91"/>
      <c r="G66" s="98" t="s">
        <v>1656</v>
      </c>
      <c r="H66" s="99">
        <f>H61+H75*(2-$P$58)</f>
        <v>0</v>
      </c>
      <c r="I66" s="99">
        <f t="shared" ref="I66:J66" si="8">I61+I75*(2-$P$58)</f>
        <v>0</v>
      </c>
      <c r="J66" s="99">
        <f t="shared" si="8"/>
        <v>0</v>
      </c>
      <c r="N66" s="95"/>
      <c r="O66" s="95"/>
    </row>
    <row r="67" spans="6:15">
      <c r="F67" s="91"/>
      <c r="H67" s="95"/>
      <c r="I67" s="95"/>
      <c r="J67" s="95"/>
      <c r="N67" s="95"/>
      <c r="O67" s="95"/>
    </row>
    <row r="68" spans="6:15">
      <c r="F68" s="499" t="s">
        <v>1646</v>
      </c>
      <c r="G68" s="63" t="s">
        <v>1651</v>
      </c>
      <c r="H68" s="92">
        <f>IF(H58=0,0,N58*(H59/100))</f>
        <v>0</v>
      </c>
      <c r="I68" s="92">
        <f>IF(I58=0,0,N58*(I59/100))</f>
        <v>0</v>
      </c>
      <c r="J68" s="92">
        <f>IF(J58=0,0,N58*(J59/100))</f>
        <v>0</v>
      </c>
      <c r="N68" s="95"/>
      <c r="O68" s="95"/>
    </row>
    <row r="69" spans="6:15">
      <c r="F69" s="499"/>
      <c r="G69" s="63" t="s">
        <v>1652</v>
      </c>
      <c r="H69" s="92">
        <f>IF(H68&gt;H58,H68-H58,0)</f>
        <v>0</v>
      </c>
      <c r="I69" s="92">
        <f>IF(I68&gt;I58,I68-I58,0)</f>
        <v>0</v>
      </c>
      <c r="J69" s="92">
        <f>IF(J68&gt;J58,J68-J58,0)</f>
        <v>0</v>
      </c>
      <c r="K69" s="63">
        <f>COUNTIF(H69:J69,"&lt;&gt;0")</f>
        <v>0</v>
      </c>
      <c r="N69" s="95"/>
      <c r="O69" s="95"/>
    </row>
    <row r="70" spans="6:15">
      <c r="F70" s="499"/>
      <c r="G70" s="63" t="s">
        <v>1653</v>
      </c>
      <c r="H70" s="92">
        <f>IFERROR(IF(H69&lt;&gt;0,H58,H69/K69),H68)</f>
        <v>0</v>
      </c>
      <c r="I70" s="92">
        <f>IFERROR(IF(I69&lt;&gt;0,I58,I69/K69),I68)</f>
        <v>0</v>
      </c>
      <c r="J70" s="92">
        <f>IFERROR(IF(J69&lt;&gt;0,J58,J69/K69),J68)</f>
        <v>0</v>
      </c>
      <c r="N70" s="95"/>
      <c r="O70" s="95"/>
    </row>
    <row r="71" spans="6:15">
      <c r="F71" s="499"/>
      <c r="G71" s="63" t="s">
        <v>1654</v>
      </c>
      <c r="H71" s="93">
        <f>IFERROR(H68/H58,0)</f>
        <v>0</v>
      </c>
      <c r="I71" s="93">
        <f>IFERROR(I68/I58,0)</f>
        <v>0</v>
      </c>
      <c r="J71" s="93">
        <f>IFERROR(J68/J58,0)</f>
        <v>0</v>
      </c>
      <c r="N71" s="95"/>
      <c r="O71" s="95"/>
    </row>
    <row r="72" spans="6:15">
      <c r="F72" s="91"/>
      <c r="G72" s="98" t="s">
        <v>1655</v>
      </c>
      <c r="H72" s="240">
        <f>H68*(2-$P$58)</f>
        <v>0</v>
      </c>
      <c r="I72" s="99">
        <f t="shared" ref="I72:J72" si="9">I68*(2-$P$58)</f>
        <v>0</v>
      </c>
      <c r="J72" s="99">
        <f t="shared" si="9"/>
        <v>0</v>
      </c>
      <c r="N72" s="95"/>
      <c r="O72" s="95"/>
    </row>
    <row r="73" spans="6:15">
      <c r="F73" s="91"/>
      <c r="G73" s="98" t="s">
        <v>1656</v>
      </c>
      <c r="H73" s="99">
        <f>H68+H75*(2-$P$58)</f>
        <v>0</v>
      </c>
      <c r="I73" s="99">
        <f t="shared" ref="I73:J73" si="10">I68+I75*(2-$P$58)</f>
        <v>0</v>
      </c>
      <c r="J73" s="99">
        <f t="shared" si="10"/>
        <v>0</v>
      </c>
      <c r="N73" s="95"/>
      <c r="O73" s="95"/>
    </row>
    <row r="74" spans="6:15">
      <c r="F74" s="91"/>
      <c r="G74"/>
      <c r="H74"/>
      <c r="I74"/>
      <c r="J74"/>
      <c r="K74"/>
      <c r="N74" s="95"/>
      <c r="O74" s="95"/>
    </row>
    <row r="75" spans="6:15">
      <c r="F75" s="91"/>
      <c r="G75" s="63" t="s">
        <v>1657</v>
      </c>
      <c r="H75" s="92">
        <f>IF(H58&lt;&gt;0,O58/K58,0)</f>
        <v>0</v>
      </c>
      <c r="I75" s="92">
        <f>IF(I58&lt;&gt;0,O58/K58,0)</f>
        <v>0</v>
      </c>
      <c r="J75" s="92">
        <f>IF(J58&lt;&gt;0,O58/K58,0)</f>
        <v>0</v>
      </c>
      <c r="N75" s="95"/>
      <c r="O75" s="95"/>
    </row>
    <row r="76" spans="6:15">
      <c r="F76" s="90"/>
      <c r="G76" s="63" t="s">
        <v>1658</v>
      </c>
      <c r="H76" s="92">
        <f>H58-H63</f>
        <v>5760</v>
      </c>
      <c r="I76" s="92">
        <f>I58-I63</f>
        <v>5760</v>
      </c>
      <c r="J76" s="92">
        <f>J58-J63</f>
        <v>5760</v>
      </c>
      <c r="N76" s="95"/>
      <c r="O76" s="95"/>
    </row>
    <row r="77" spans="6:15">
      <c r="F77" s="90"/>
      <c r="G77" s="63" t="s">
        <v>417</v>
      </c>
      <c r="H77" s="92">
        <f>IF(H75&lt;H76,H75,H76)</f>
        <v>0</v>
      </c>
      <c r="I77" s="92">
        <f>IF(I75&lt;I76,I75,I76)</f>
        <v>0</v>
      </c>
      <c r="J77" s="92">
        <f>IF(J75&lt;J76,J75,J76)</f>
        <v>0</v>
      </c>
    </row>
    <row r="78" spans="6:15">
      <c r="F78" s="90"/>
    </row>
    <row r="79" spans="6:15">
      <c r="F79" s="90"/>
    </row>
    <row r="80" spans="6:15">
      <c r="F80" s="90"/>
    </row>
    <row r="81" spans="7:26">
      <c r="G81"/>
      <c r="H81"/>
      <c r="I81"/>
      <c r="J81"/>
      <c r="K81"/>
      <c r="L81"/>
      <c r="M81"/>
      <c r="N81"/>
      <c r="O81"/>
      <c r="P81"/>
    </row>
    <row r="82" spans="7:26">
      <c r="G82"/>
      <c r="H82"/>
      <c r="I82"/>
      <c r="J82"/>
      <c r="K82"/>
      <c r="L82"/>
      <c r="M82"/>
      <c r="N82"/>
      <c r="O82"/>
      <c r="P82"/>
    </row>
    <row r="83" spans="7:26">
      <c r="G83"/>
      <c r="H83"/>
      <c r="I83"/>
      <c r="J83"/>
      <c r="K83"/>
      <c r="L83"/>
      <c r="M83"/>
      <c r="N83"/>
      <c r="O83"/>
      <c r="P83"/>
    </row>
    <row r="84" spans="7:26">
      <c r="G84"/>
      <c r="H84"/>
      <c r="I84"/>
      <c r="J84"/>
      <c r="K84"/>
      <c r="L84"/>
      <c r="M84"/>
      <c r="N84"/>
      <c r="O84"/>
      <c r="P84"/>
    </row>
    <row r="85" spans="7:26">
      <c r="G85"/>
      <c r="H85"/>
      <c r="I85"/>
      <c r="J85"/>
      <c r="K85"/>
      <c r="L85"/>
      <c r="M85"/>
      <c r="N85"/>
      <c r="O85"/>
      <c r="P85"/>
    </row>
    <row r="86" spans="7:26">
      <c r="G86"/>
      <c r="H86"/>
      <c r="I86"/>
      <c r="J86"/>
      <c r="K86"/>
      <c r="L86"/>
      <c r="M86"/>
      <c r="N86"/>
      <c r="O86"/>
      <c r="P86"/>
    </row>
    <row r="87" spans="7:26">
      <c r="G87"/>
      <c r="H87"/>
      <c r="I87"/>
      <c r="J87"/>
      <c r="K87"/>
      <c r="L87"/>
      <c r="M87"/>
      <c r="N87"/>
      <c r="O87"/>
      <c r="P87"/>
    </row>
    <row r="88" spans="7:26">
      <c r="G88"/>
      <c r="H88"/>
      <c r="I88"/>
      <c r="J88"/>
      <c r="K88"/>
      <c r="L88"/>
      <c r="M88"/>
      <c r="N88"/>
      <c r="O88"/>
      <c r="P88"/>
    </row>
    <row r="89" spans="7:26">
      <c r="G89"/>
      <c r="H89"/>
      <c r="I89"/>
      <c r="J89"/>
      <c r="K89"/>
      <c r="L89"/>
      <c r="M89"/>
      <c r="N89"/>
      <c r="O89"/>
      <c r="P89"/>
    </row>
    <row r="90" spans="7:26">
      <c r="G90"/>
      <c r="H90"/>
      <c r="I90"/>
      <c r="J90"/>
      <c r="K90"/>
      <c r="L90"/>
      <c r="M90"/>
      <c r="N90"/>
      <c r="O90"/>
      <c r="P90"/>
    </row>
    <row r="91" spans="7:26">
      <c r="G91"/>
      <c r="H91"/>
      <c r="I91"/>
      <c r="J91"/>
      <c r="K91"/>
      <c r="L91"/>
      <c r="M91"/>
      <c r="N91"/>
      <c r="O91"/>
      <c r="P91"/>
    </row>
    <row r="92" spans="7:26">
      <c r="G92"/>
      <c r="H92"/>
      <c r="I92"/>
      <c r="J92"/>
      <c r="K92"/>
      <c r="L92"/>
      <c r="M92"/>
      <c r="N92"/>
      <c r="O92"/>
      <c r="P92"/>
    </row>
    <row r="93" spans="7:26">
      <c r="G93"/>
      <c r="H93"/>
      <c r="I93"/>
      <c r="J93"/>
      <c r="K93"/>
      <c r="L93"/>
      <c r="M93"/>
      <c r="N93"/>
      <c r="O93"/>
      <c r="P93"/>
    </row>
    <row r="94" spans="7:26">
      <c r="G94"/>
      <c r="H94"/>
      <c r="I94"/>
      <c r="J94"/>
      <c r="K94"/>
      <c r="L94"/>
      <c r="M94"/>
      <c r="N94"/>
      <c r="O94"/>
      <c r="P94"/>
    </row>
    <row r="95" spans="7:26">
      <c r="G95"/>
      <c r="H95"/>
      <c r="I95"/>
      <c r="J95"/>
      <c r="K95"/>
      <c r="L95"/>
      <c r="M95"/>
      <c r="N95"/>
      <c r="O95"/>
      <c r="P95"/>
    </row>
    <row r="96" spans="7:26">
      <c r="G96"/>
      <c r="H96"/>
      <c r="I96"/>
      <c r="J96"/>
      <c r="K96"/>
      <c r="L96"/>
      <c r="M96"/>
      <c r="N96"/>
      <c r="O96"/>
      <c r="P96"/>
    </row>
    <row r="97" spans="7:16">
      <c r="G97"/>
      <c r="H97"/>
      <c r="I97"/>
      <c r="J97"/>
      <c r="K97"/>
      <c r="L97"/>
      <c r="M97"/>
      <c r="N97"/>
      <c r="O97"/>
      <c r="P97"/>
    </row>
    <row r="98" spans="7:16">
      <c r="G98"/>
      <c r="H98"/>
      <c r="I98"/>
      <c r="J98"/>
      <c r="K98"/>
      <c r="L98"/>
      <c r="M98"/>
      <c r="N98"/>
      <c r="O98"/>
      <c r="P98"/>
    </row>
    <row r="99" spans="7:16">
      <c r="G99"/>
      <c r="H99"/>
      <c r="I99"/>
      <c r="J99"/>
      <c r="K99"/>
      <c r="L99"/>
      <c r="M99"/>
      <c r="N99"/>
      <c r="O99"/>
      <c r="P99"/>
    </row>
    <row r="100" spans="7:16">
      <c r="G100"/>
      <c r="H100"/>
      <c r="I100"/>
      <c r="J100"/>
      <c r="K100"/>
      <c r="L100"/>
      <c r="M100"/>
      <c r="N100"/>
      <c r="O100"/>
      <c r="P100"/>
    </row>
    <row r="101" spans="7:16">
      <c r="G101"/>
      <c r="H101"/>
      <c r="I101"/>
      <c r="J101"/>
      <c r="K101"/>
      <c r="L101"/>
      <c r="M101"/>
      <c r="N101"/>
      <c r="O101"/>
      <c r="P101"/>
    </row>
    <row r="102" spans="7:16">
      <c r="G102"/>
      <c r="H102"/>
      <c r="I102"/>
      <c r="J102"/>
      <c r="K102"/>
      <c r="L102"/>
      <c r="M102"/>
      <c r="N102"/>
      <c r="O102"/>
      <c r="P102"/>
    </row>
    <row r="103" spans="7:16">
      <c r="G103"/>
      <c r="H103"/>
      <c r="I103"/>
      <c r="J103"/>
      <c r="K103"/>
      <c r="L103"/>
      <c r="M103"/>
      <c r="N103"/>
      <c r="O103"/>
      <c r="P103"/>
    </row>
    <row r="104" spans="7:16">
      <c r="G104"/>
      <c r="H104"/>
      <c r="I104"/>
      <c r="J104"/>
      <c r="K104"/>
      <c r="L104"/>
      <c r="M104"/>
      <c r="N104"/>
      <c r="O104"/>
      <c r="P104"/>
    </row>
    <row r="105" spans="7:16">
      <c r="G105"/>
      <c r="H105"/>
      <c r="I105"/>
      <c r="J105"/>
      <c r="K105"/>
      <c r="L105"/>
      <c r="M105"/>
      <c r="N105"/>
      <c r="O105"/>
      <c r="P105"/>
    </row>
    <row r="106" spans="7:16">
      <c r="G106"/>
      <c r="H106"/>
      <c r="I106"/>
      <c r="J106"/>
      <c r="K106"/>
      <c r="L106"/>
      <c r="M106"/>
      <c r="N106"/>
      <c r="O106"/>
      <c r="P106"/>
    </row>
    <row r="107" spans="7:16">
      <c r="G107"/>
      <c r="H107"/>
      <c r="I107"/>
      <c r="J107"/>
      <c r="K107"/>
      <c r="L107"/>
      <c r="M107"/>
      <c r="N107"/>
      <c r="O107"/>
      <c r="P107"/>
    </row>
    <row r="108" spans="7:16">
      <c r="G108"/>
      <c r="H108"/>
      <c r="I108"/>
      <c r="J108"/>
      <c r="K108"/>
      <c r="L108"/>
      <c r="M108"/>
      <c r="N108"/>
      <c r="O108"/>
      <c r="P108"/>
    </row>
    <row r="109" spans="7:16">
      <c r="G109"/>
      <c r="H109"/>
      <c r="I109"/>
      <c r="J109"/>
      <c r="K109"/>
      <c r="L109"/>
      <c r="M109"/>
      <c r="N109"/>
      <c r="O109"/>
      <c r="P109"/>
    </row>
    <row r="110" spans="7:16">
      <c r="G110"/>
      <c r="H110"/>
      <c r="I110"/>
      <c r="J110"/>
      <c r="K110"/>
      <c r="L110"/>
      <c r="M110"/>
      <c r="N110"/>
      <c r="O110"/>
      <c r="P110"/>
    </row>
    <row r="111" spans="7:16">
      <c r="G111"/>
      <c r="H111"/>
      <c r="I111"/>
      <c r="J111"/>
      <c r="K111"/>
      <c r="L111"/>
      <c r="M111"/>
      <c r="N111"/>
      <c r="O111"/>
      <c r="P111"/>
    </row>
    <row r="112" spans="7:16">
      <c r="G112"/>
      <c r="H112"/>
      <c r="I112"/>
      <c r="J112"/>
      <c r="K112"/>
      <c r="L112"/>
      <c r="M112"/>
      <c r="N112"/>
      <c r="O112"/>
      <c r="P112"/>
    </row>
    <row r="113" spans="7:16">
      <c r="G113"/>
      <c r="H113"/>
      <c r="I113"/>
      <c r="J113"/>
      <c r="K113"/>
      <c r="L113"/>
      <c r="M113"/>
      <c r="N113"/>
      <c r="O113"/>
      <c r="P113"/>
    </row>
    <row r="114" spans="7:16">
      <c r="G114"/>
      <c r="H114"/>
      <c r="I114"/>
      <c r="J114"/>
      <c r="K114"/>
      <c r="L114"/>
      <c r="M114"/>
      <c r="N114"/>
      <c r="O114"/>
      <c r="P114"/>
    </row>
    <row r="115" spans="7:16">
      <c r="G115"/>
      <c r="H115"/>
      <c r="I115"/>
      <c r="J115"/>
      <c r="K115"/>
      <c r="L115"/>
      <c r="M115"/>
      <c r="N115"/>
      <c r="O115"/>
      <c r="P115"/>
    </row>
    <row r="116" spans="7:16">
      <c r="G116"/>
      <c r="H116"/>
      <c r="I116"/>
      <c r="J116"/>
      <c r="K116"/>
      <c r="L116"/>
      <c r="M116"/>
      <c r="N116"/>
      <c r="O116"/>
      <c r="P116"/>
    </row>
    <row r="117" spans="7:16">
      <c r="G117"/>
      <c r="H117"/>
      <c r="I117"/>
      <c r="J117"/>
      <c r="K117"/>
      <c r="L117"/>
      <c r="M117"/>
      <c r="N117"/>
      <c r="O117"/>
      <c r="P117"/>
    </row>
    <row r="118" spans="7:16">
      <c r="G118"/>
      <c r="H118"/>
      <c r="I118"/>
      <c r="J118"/>
      <c r="K118"/>
      <c r="L118"/>
      <c r="M118"/>
      <c r="N118"/>
      <c r="O118"/>
      <c r="P118"/>
    </row>
    <row r="119" spans="7:16">
      <c r="G119"/>
      <c r="H119"/>
      <c r="I119"/>
      <c r="J119"/>
      <c r="K119"/>
      <c r="L119"/>
      <c r="M119"/>
      <c r="N119"/>
      <c r="O119"/>
      <c r="P119"/>
    </row>
    <row r="120" spans="7:16">
      <c r="G120"/>
      <c r="H120"/>
      <c r="I120"/>
      <c r="J120"/>
      <c r="K120"/>
      <c r="L120"/>
      <c r="M120"/>
      <c r="N120"/>
      <c r="O120"/>
      <c r="P120"/>
    </row>
    <row r="121" spans="7:16">
      <c r="G121"/>
      <c r="H121"/>
      <c r="I121"/>
      <c r="J121"/>
      <c r="K121"/>
      <c r="L121"/>
      <c r="M121"/>
      <c r="N121"/>
      <c r="O121"/>
      <c r="P121"/>
    </row>
    <row r="122" spans="7:16">
      <c r="G122"/>
      <c r="H122"/>
      <c r="I122"/>
      <c r="J122"/>
      <c r="K122"/>
      <c r="L122"/>
      <c r="M122"/>
      <c r="N122"/>
      <c r="O122"/>
      <c r="P122"/>
    </row>
    <row r="123" spans="7:16">
      <c r="G123"/>
      <c r="H123"/>
      <c r="I123"/>
      <c r="J123"/>
      <c r="K123"/>
      <c r="L123"/>
      <c r="M123"/>
      <c r="N123"/>
      <c r="O123"/>
      <c r="P123"/>
    </row>
    <row r="124" spans="7:16">
      <c r="G124"/>
      <c r="H124"/>
      <c r="I124"/>
      <c r="J124"/>
      <c r="K124"/>
      <c r="L124"/>
      <c r="M124"/>
      <c r="N124"/>
      <c r="O124"/>
      <c r="P124"/>
    </row>
    <row r="125" spans="7:16">
      <c r="G125"/>
      <c r="H125"/>
      <c r="I125"/>
      <c r="J125"/>
      <c r="K125"/>
      <c r="L125"/>
      <c r="M125"/>
      <c r="N125"/>
      <c r="O125"/>
      <c r="P125"/>
    </row>
    <row r="126" spans="7:16">
      <c r="G126"/>
      <c r="H126"/>
      <c r="I126"/>
      <c r="J126"/>
      <c r="K126"/>
      <c r="L126"/>
      <c r="M126"/>
      <c r="N126"/>
      <c r="O126"/>
      <c r="P126"/>
    </row>
    <row r="127" spans="7:16">
      <c r="G127"/>
      <c r="H127"/>
      <c r="I127"/>
      <c r="J127"/>
      <c r="K127"/>
      <c r="L127"/>
      <c r="M127"/>
      <c r="N127"/>
      <c r="O127"/>
      <c r="P127"/>
    </row>
    <row r="128" spans="7:16">
      <c r="G128"/>
      <c r="H128"/>
      <c r="I128"/>
      <c r="J128"/>
      <c r="K128"/>
      <c r="L128"/>
      <c r="M128"/>
      <c r="N128"/>
      <c r="O128"/>
      <c r="P128"/>
    </row>
    <row r="129" spans="7:16">
      <c r="G129"/>
      <c r="H129"/>
      <c r="I129"/>
      <c r="J129"/>
      <c r="K129"/>
      <c r="L129"/>
      <c r="M129"/>
      <c r="N129"/>
      <c r="O129"/>
      <c r="P129"/>
    </row>
    <row r="130" spans="7:16">
      <c r="G130"/>
      <c r="H130"/>
      <c r="I130"/>
      <c r="J130"/>
      <c r="K130"/>
      <c r="L130"/>
      <c r="M130"/>
      <c r="N130"/>
      <c r="O130"/>
      <c r="P130"/>
    </row>
    <row r="131" spans="7:16">
      <c r="G131"/>
      <c r="H131"/>
      <c r="I131"/>
      <c r="J131"/>
      <c r="K131"/>
      <c r="L131"/>
      <c r="M131"/>
      <c r="N131"/>
      <c r="O131"/>
      <c r="P131"/>
    </row>
    <row r="132" spans="7:16">
      <c r="G132"/>
      <c r="H132"/>
      <c r="I132"/>
      <c r="J132"/>
      <c r="K132"/>
      <c r="L132"/>
      <c r="M132"/>
      <c r="N132"/>
      <c r="O132"/>
      <c r="P132"/>
    </row>
    <row r="133" spans="7:16">
      <c r="G133"/>
      <c r="H133"/>
      <c r="I133"/>
      <c r="J133"/>
      <c r="K133"/>
      <c r="L133"/>
      <c r="M133"/>
      <c r="N133"/>
      <c r="O133"/>
      <c r="P133"/>
    </row>
    <row r="134" spans="7:16">
      <c r="G134"/>
      <c r="H134"/>
      <c r="I134"/>
      <c r="J134"/>
      <c r="K134"/>
      <c r="L134"/>
      <c r="M134"/>
      <c r="N134"/>
      <c r="O134"/>
      <c r="P134"/>
    </row>
    <row r="135" spans="7:16">
      <c r="G135"/>
      <c r="H135"/>
      <c r="I135"/>
      <c r="J135"/>
      <c r="K135"/>
      <c r="L135"/>
      <c r="M135"/>
      <c r="N135"/>
      <c r="O135"/>
      <c r="P135"/>
    </row>
    <row r="136" spans="7:16">
      <c r="G136"/>
      <c r="H136"/>
      <c r="I136"/>
      <c r="J136"/>
      <c r="K136"/>
      <c r="L136"/>
      <c r="M136"/>
      <c r="N136"/>
      <c r="O136"/>
      <c r="P136"/>
    </row>
    <row r="137" spans="7:16">
      <c r="G137"/>
      <c r="H137"/>
      <c r="I137"/>
      <c r="J137"/>
      <c r="K137"/>
      <c r="L137"/>
      <c r="M137"/>
      <c r="N137"/>
      <c r="O137"/>
      <c r="P137"/>
    </row>
    <row r="138" spans="7:16">
      <c r="G138"/>
      <c r="H138"/>
      <c r="I138"/>
      <c r="J138"/>
      <c r="K138"/>
      <c r="L138"/>
      <c r="M138"/>
      <c r="N138"/>
      <c r="O138"/>
      <c r="P138"/>
    </row>
    <row r="139" spans="7:16">
      <c r="G139"/>
      <c r="H139"/>
      <c r="I139"/>
      <c r="J139"/>
      <c r="K139"/>
      <c r="L139"/>
      <c r="M139"/>
      <c r="N139"/>
      <c r="O139"/>
      <c r="P139"/>
    </row>
    <row r="140" spans="7:16">
      <c r="G140"/>
      <c r="H140"/>
      <c r="I140"/>
      <c r="J140"/>
      <c r="K140"/>
      <c r="L140"/>
      <c r="M140"/>
      <c r="N140"/>
      <c r="O140"/>
      <c r="P140"/>
    </row>
    <row r="141" spans="7:16">
      <c r="G141"/>
      <c r="H141"/>
      <c r="I141"/>
      <c r="J141"/>
      <c r="K141"/>
      <c r="L141"/>
      <c r="M141"/>
      <c r="N141"/>
      <c r="O141"/>
      <c r="P141"/>
    </row>
    <row r="142" spans="7:16">
      <c r="G142"/>
      <c r="H142"/>
      <c r="I142"/>
      <c r="J142"/>
      <c r="K142"/>
      <c r="L142"/>
      <c r="M142"/>
      <c r="N142"/>
      <c r="O142"/>
      <c r="P142"/>
    </row>
    <row r="143" spans="7:16">
      <c r="G143"/>
      <c r="H143"/>
      <c r="I143"/>
      <c r="J143"/>
      <c r="K143"/>
      <c r="L143"/>
      <c r="M143"/>
      <c r="N143"/>
      <c r="O143"/>
      <c r="P143"/>
    </row>
    <row r="144" spans="7:16">
      <c r="G144"/>
      <c r="H144"/>
      <c r="I144"/>
      <c r="J144"/>
      <c r="K144"/>
      <c r="L144"/>
      <c r="M144"/>
      <c r="N144"/>
      <c r="O144"/>
      <c r="P144"/>
    </row>
    <row r="145" spans="7:16">
      <c r="G145"/>
      <c r="H145"/>
      <c r="I145"/>
      <c r="J145"/>
      <c r="K145"/>
      <c r="L145"/>
      <c r="M145"/>
      <c r="N145"/>
      <c r="O145"/>
      <c r="P145"/>
    </row>
    <row r="146" spans="7:16">
      <c r="G146"/>
      <c r="H146"/>
      <c r="I146"/>
      <c r="J146"/>
      <c r="K146"/>
      <c r="L146"/>
      <c r="M146"/>
      <c r="N146"/>
      <c r="O146"/>
      <c r="P146"/>
    </row>
    <row r="147" spans="7:16">
      <c r="G147"/>
      <c r="H147"/>
      <c r="I147"/>
      <c r="J147"/>
      <c r="K147"/>
      <c r="L147"/>
      <c r="M147"/>
      <c r="N147"/>
      <c r="O147"/>
      <c r="P147"/>
    </row>
  </sheetData>
  <mergeCells count="33">
    <mergeCell ref="F34:F37"/>
    <mergeCell ref="B48:D48"/>
    <mergeCell ref="B40:D40"/>
    <mergeCell ref="B41:D41"/>
    <mergeCell ref="B42:D42"/>
    <mergeCell ref="B43:D43"/>
    <mergeCell ref="B44:D44"/>
    <mergeCell ref="B45:D45"/>
    <mergeCell ref="B46:D46"/>
    <mergeCell ref="B47:D47"/>
    <mergeCell ref="B39:D39"/>
    <mergeCell ref="B38:D38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F2:N4"/>
    <mergeCell ref="B26:D26"/>
    <mergeCell ref="B27:D27"/>
    <mergeCell ref="F22:F25"/>
    <mergeCell ref="F11:F14"/>
    <mergeCell ref="F15:F18"/>
    <mergeCell ref="F57:F60"/>
    <mergeCell ref="F38:F41"/>
    <mergeCell ref="F45:F48"/>
    <mergeCell ref="F61:F64"/>
    <mergeCell ref="F68:F71"/>
  </mergeCells>
  <hyperlinks>
    <hyperlink ref="B10" location="'DASH'!A1" display="DASHBOARD" xr:uid="{509C39CA-9FBB-456D-AFAB-0C735E446B29}"/>
    <hyperlink ref="B11" location="'DES-GL'!A1" display="DESIGN GUIDELINES" xr:uid="{9ED7044E-3E64-41ED-843F-8700CCD8111E}"/>
    <hyperlink ref="B13" location="'EXT-MAINS-DT'!A1" display="EXISTING POWER DESIGN" xr:uid="{68A5B2EE-8DE8-4397-A53C-5E3DE4D510A5}"/>
    <hyperlink ref="B14" location="'EXT-CALC'!A1" display="EXISTING DEMAND" xr:uid="{7C06E25C-E910-4F5F-97C8-26D7602B71B1}"/>
    <hyperlink ref="B16" location="'CALC'!A1" display="POWER CALCULATOR" xr:uid="{2B6AEB10-7965-47AE-8FEA-C59B0FDBD7D2}"/>
    <hyperlink ref="B17" location="'PLBC-CALC'!A1" display="PLBC CALCULATOR" xr:uid="{110276FF-CEBC-4BB4-8C57-9279BD5E06FA}"/>
    <hyperlink ref="B18" location="'VDC'!A1" display="VD CALCULATOR" xr:uid="{8760F4D1-F821-46FC-AF1B-F6D93536FA43}"/>
    <hyperlink ref="B20" location="'PRP-SOL'!A1" display="PROPOSED POWER DESIGN" xr:uid="{B478D3BC-B707-4359-940A-DFB461F1811F}"/>
    <hyperlink ref="B25" location="'DC'!A1" display="DOCUMENT CONTROL" xr:uid="{AA68A3B5-38D8-465E-AED2-E1A7019014AB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9ABE-8FAF-49A8-AB68-FC428BAED6E6}">
  <sheetPr codeName="Sheet30"/>
  <dimension ref="B1:Z151"/>
  <sheetViews>
    <sheetView showGridLines="0" topLeftCell="B29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24.28515625" customWidth="1"/>
    <col min="7" max="7" width="20.28515625" style="107" customWidth="1"/>
    <col min="8" max="9" width="15.28515625" style="107" customWidth="1"/>
    <col min="10" max="10" width="15.28515625" style="94" customWidth="1"/>
    <col min="11" max="11" width="10.28515625" style="94" customWidth="1"/>
    <col min="12" max="12" width="23.28515625" style="94" customWidth="1"/>
    <col min="13" max="14" width="15.28515625" style="94" customWidth="1"/>
    <col min="15" max="15" width="17.28515625" style="94" customWidth="1"/>
    <col min="16" max="16" width="15.28515625" style="94" customWidth="1"/>
    <col min="17" max="20" width="9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586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584</v>
      </c>
    </row>
    <row r="7" spans="2:16">
      <c r="C7" s="2" t="s">
        <v>152</v>
      </c>
      <c r="D7" s="12">
        <f>DCVer</f>
        <v>12.7</v>
      </c>
    </row>
    <row r="8" spans="2:16" ht="15" customHeight="1">
      <c r="F8" s="125" t="s">
        <v>1661</v>
      </c>
      <c r="G8" s="35"/>
      <c r="H8" s="35"/>
      <c r="I8" s="39"/>
      <c r="J8"/>
      <c r="K8"/>
      <c r="L8" s="125" t="s">
        <v>1662</v>
      </c>
      <c r="M8"/>
      <c r="N8"/>
      <c r="O8"/>
      <c r="P8"/>
    </row>
    <row r="9" spans="2:16">
      <c r="B9" s="18"/>
      <c r="C9" s="18"/>
      <c r="D9" s="18"/>
      <c r="F9" s="69" t="s">
        <v>1663</v>
      </c>
      <c r="G9" s="51">
        <v>0.95</v>
      </c>
      <c r="H9" s="35"/>
      <c r="I9" s="39"/>
      <c r="J9"/>
      <c r="K9"/>
      <c r="L9" s="125"/>
      <c r="M9" s="50" t="s">
        <v>621</v>
      </c>
      <c r="N9" s="50" t="s">
        <v>622</v>
      </c>
      <c r="O9" s="50" t="s">
        <v>623</v>
      </c>
      <c r="P9"/>
    </row>
    <row r="10" spans="2:16" ht="15" customHeight="1">
      <c r="B10" s="18" t="s">
        <v>151</v>
      </c>
      <c r="C10" s="18"/>
      <c r="D10" s="18"/>
      <c r="F10" s="69" t="s">
        <v>1664</v>
      </c>
      <c r="G10" s="51">
        <v>0.75</v>
      </c>
      <c r="H10" s="35"/>
      <c r="I10" s="39"/>
      <c r="J10"/>
      <c r="K10"/>
      <c r="L10" s="39"/>
      <c r="M10" s="71" t="str">
        <f ca="1">IFERROR(IF(CALC!F11="SON",((VLOOKUP(CALC!G11,DBRANEQ!$H$10:$M$500,5,FALSE))*CALC!L11),""),"")</f>
        <v/>
      </c>
      <c r="N10" s="71" t="str">
        <f ca="1">IFERROR(IF(CALC!P11="SON",((VLOOKUP(CALC!Q11,DBRANEQ!$H$10:$M$500,5,FALSE))*CALC!V11),""),"")</f>
        <v/>
      </c>
      <c r="O10" s="50" t="str">
        <f ca="1">IFERROR(IF(CALC!Z11="SON",((VLOOKUP(CALC!AA11,DBRANEQ!$H$10:$M$500,5,FALSE))*CALC!AF11),""),"")</f>
        <v/>
      </c>
      <c r="P10"/>
    </row>
    <row r="11" spans="2:16">
      <c r="B11" s="18" t="s">
        <v>155</v>
      </c>
      <c r="C11" s="18"/>
      <c r="D11" s="18"/>
      <c r="F11" s="69"/>
      <c r="G11" s="51"/>
      <c r="H11" s="35"/>
      <c r="I11" s="39"/>
      <c r="J11"/>
      <c r="K11"/>
      <c r="L11" s="39"/>
      <c r="M11" s="71">
        <f ca="1">IFERROR(IF(CALC!F12="SON",((VLOOKUP(CALC!G12,DBRANEQ!$H$10:$M$500,5,FALSE))*CALC!L12),""),"")</f>
        <v>2154.75</v>
      </c>
      <c r="N11" s="71" t="str">
        <f ca="1">IFERROR(IF(CALC!P12="SON",((VLOOKUP(CALC!Q12,DBRANEQ!$H$10:$M$500,5,FALSE))*CALC!V12),""),"")</f>
        <v/>
      </c>
      <c r="O11" s="50" t="str">
        <f ca="1">IFERROR(IF(CALC!Z12="SON",((VLOOKUP(CALC!AA12,DBRANEQ!$H$10:$M$500,5,FALSE))*CALC!AF12),""),"")</f>
        <v/>
      </c>
      <c r="P11"/>
    </row>
    <row r="12" spans="2:16">
      <c r="B12" s="18"/>
      <c r="C12" s="18"/>
      <c r="D12" s="18"/>
      <c r="F12" s="125"/>
      <c r="G12" s="35"/>
      <c r="H12" s="35"/>
      <c r="I12" s="39"/>
      <c r="J12"/>
      <c r="K12"/>
      <c r="L12" s="39"/>
      <c r="M12" s="71">
        <f ca="1">IFERROR(IF(CALC!F13="SON",((VLOOKUP(CALC!G13,DBRANEQ!$H$10:$M$500,5,FALSE))*CALC!L13),""),"")</f>
        <v>1058.25</v>
      </c>
      <c r="N12" s="71">
        <f ca="1">IFERROR(IF(CALC!P13="SON",((VLOOKUP(CALC!Q13,DBRANEQ!$H$10:$M$500,5,FALSE))*CALC!V13),""),"")</f>
        <v>3967.7999999999997</v>
      </c>
      <c r="O12" s="50" t="str">
        <f ca="1">IFERROR(IF(CALC!Z13="SON",((VLOOKUP(CALC!AA13,DBRANEQ!$H$10:$M$500,5,FALSE))*CALC!AF13),""),"")</f>
        <v/>
      </c>
      <c r="P12"/>
    </row>
    <row r="13" spans="2:16">
      <c r="B13" s="18" t="s">
        <v>159</v>
      </c>
      <c r="C13" s="18"/>
      <c r="D13" s="18"/>
      <c r="F13" s="125" t="s">
        <v>488</v>
      </c>
      <c r="G13" s="35"/>
      <c r="H13" s="35"/>
      <c r="I13" s="39"/>
      <c r="J13"/>
      <c r="K13"/>
      <c r="L13" s="39"/>
      <c r="M13" s="71" t="str">
        <f ca="1">IFERROR(IF(CALC!F14="SON",((VLOOKUP(CALC!G14,DBRANEQ!$H$10:$M$500,5,FALSE))*CALC!L14),""),"")</f>
        <v/>
      </c>
      <c r="N13" s="71">
        <f ca="1">IFERROR(IF(CALC!P14="SON",((VLOOKUP(CALC!Q14,DBRANEQ!$H$10:$M$500,5,FALSE))*CALC!V14),""),"")</f>
        <v>3026.85</v>
      </c>
      <c r="O13" s="50" t="str">
        <f ca="1">IFERROR(IF(CALC!Z14="SON",((VLOOKUP(CALC!AA14,DBRANEQ!$H$10:$M$500,5,FALSE))*CALC!AF14),""),"")</f>
        <v/>
      </c>
      <c r="P13"/>
    </row>
    <row r="14" spans="2:16">
      <c r="B14" s="18" t="s">
        <v>162</v>
      </c>
      <c r="C14" s="18"/>
      <c r="D14" s="18"/>
      <c r="F14" s="39" t="s">
        <v>621</v>
      </c>
      <c r="G14" s="35"/>
      <c r="H14" s="35"/>
      <c r="I14" s="39"/>
      <c r="J14"/>
      <c r="K14"/>
      <c r="L14" s="39"/>
      <c r="M14" s="71" t="str">
        <f ca="1">IFERROR(IF(CALC!F15="SON",((VLOOKUP(CALC!G15,DBRANEQ!$H$10:$M$500,5,FALSE))*CALC!L15),""),"")</f>
        <v/>
      </c>
      <c r="N14" s="71" t="str">
        <f ca="1">IFERROR(IF(CALC!P15="SON",((VLOOKUP(CALC!Q15,DBRANEQ!$H$10:$M$500,5,FALSE))*CALC!V15),""),"")</f>
        <v/>
      </c>
      <c r="O14" s="50" t="str">
        <f ca="1">IFERROR(IF(CALC!Z15="SON",((VLOOKUP(CALC!AA15,DBRANEQ!$H$10:$M$500,5,FALSE))*CALC!AF15),""),"")</f>
        <v/>
      </c>
      <c r="P14"/>
    </row>
    <row r="15" spans="2:16" ht="15" customHeight="1">
      <c r="B15" s="18"/>
      <c r="C15" s="18"/>
      <c r="D15" s="18"/>
      <c r="F15" s="127" t="s">
        <v>1665</v>
      </c>
      <c r="G15" s="128">
        <f>CALC!J86</f>
        <v>6241.4</v>
      </c>
      <c r="H15" s="35"/>
      <c r="I15" s="39"/>
      <c r="J15"/>
      <c r="K15"/>
      <c r="L15" s="39"/>
      <c r="M15" s="71" t="str">
        <f ca="1">IFERROR(IF(CALC!F16="SON",((VLOOKUP(CALC!G16,DBRANEQ!$H$10:$M$500,5,FALSE))*CALC!L16),""),"")</f>
        <v/>
      </c>
      <c r="N15" s="71" t="str">
        <f ca="1">IFERROR(IF(CALC!P16="SON",((VLOOKUP(CALC!Q16,DBRANEQ!$H$10:$M$500,5,FALSE))*CALC!V16),""),"")</f>
        <v/>
      </c>
      <c r="O15" s="50" t="str">
        <f ca="1">IFERROR(IF(CALC!Z16="SON",((VLOOKUP(CALC!AA16,DBRANEQ!$H$10:$M$500,5,FALSE))*CALC!AF16),""),"")</f>
        <v/>
      </c>
      <c r="P15"/>
    </row>
    <row r="16" spans="2:16">
      <c r="B16" s="18" t="s">
        <v>167</v>
      </c>
      <c r="C16" s="18"/>
      <c r="D16" s="18"/>
      <c r="F16" s="127" t="s">
        <v>1666</v>
      </c>
      <c r="G16" s="128">
        <f ca="1">M37</f>
        <v>3413.9599999999996</v>
      </c>
      <c r="H16" s="35"/>
      <c r="I16" s="39"/>
      <c r="J16"/>
      <c r="K16"/>
      <c r="L16" s="39"/>
      <c r="M16" s="71" t="str">
        <f ca="1">IFERROR(IF(CALC!F17="SON",((VLOOKUP(CALC!G17,DBRANEQ!$H$10:$M$500,5,FALSE))*CALC!L17),""),"")</f>
        <v/>
      </c>
      <c r="N16" s="71" t="str">
        <f ca="1">IFERROR(IF(CALC!P17="SON",((VLOOKUP(CALC!Q17,DBRANEQ!$H$10:$M$500,5,FALSE))*CALC!V17),""),"")</f>
        <v/>
      </c>
      <c r="O16" s="50" t="str">
        <f ca="1">IFERROR(IF(CALC!Z17="SON",((VLOOKUP(CALC!AA17,DBRANEQ!$H$10:$M$500,5,FALSE))*CALC!AF17),""),"")</f>
        <v/>
      </c>
      <c r="P16"/>
    </row>
    <row r="17" spans="2:16">
      <c r="B17" s="18" t="s">
        <v>170</v>
      </c>
      <c r="C17" s="18"/>
      <c r="D17" s="18"/>
      <c r="F17" s="39"/>
      <c r="G17" s="126"/>
      <c r="H17" s="35"/>
      <c r="I17" s="39"/>
      <c r="J17"/>
      <c r="K17"/>
      <c r="L17" s="39"/>
      <c r="M17" s="71" t="str">
        <f ca="1">IFERROR(IF(CALC!F18="SON",((VLOOKUP(CALC!G18,DBRANEQ!$H$10:$M$500,5,FALSE))*CALC!L18),""),"")</f>
        <v/>
      </c>
      <c r="N17" s="71" t="str">
        <f ca="1">IFERROR(IF(CALC!P18="SON",((VLOOKUP(CALC!Q18,DBRANEQ!$H$10:$M$500,5,FALSE))*CALC!V18),""),"")</f>
        <v/>
      </c>
      <c r="O17" s="50" t="str">
        <f ca="1">IFERROR(IF(CALC!Z18="SON",((VLOOKUP(CALC!AA18,DBRANEQ!$H$10:$M$500,5,FALSE))*CALC!AF18),""),"")</f>
        <v/>
      </c>
      <c r="P17"/>
    </row>
    <row r="18" spans="2:16">
      <c r="B18" s="18" t="s">
        <v>173</v>
      </c>
      <c r="C18" s="18"/>
      <c r="D18" s="18"/>
      <c r="F18" s="39"/>
      <c r="G18" s="53" t="s">
        <v>1667</v>
      </c>
      <c r="H18" s="39"/>
      <c r="I18" s="39"/>
      <c r="J18"/>
      <c r="K18"/>
      <c r="L18" s="39"/>
      <c r="M18" s="71" t="str">
        <f ca="1">IFERROR(IF(CALC!F19="SON",((VLOOKUP(CALC!G19,DBRANEQ!$H$10:$M$500,5,FALSE))*CALC!L19),""),"")</f>
        <v/>
      </c>
      <c r="N18" s="71" t="str">
        <f ca="1">IFERROR(IF(CALC!P19="SON",((VLOOKUP(CALC!Q19,DBRANEQ!$H$10:$M$500,5,FALSE))*CALC!V19),""),"")</f>
        <v/>
      </c>
      <c r="O18" s="50" t="str">
        <f ca="1">IFERROR(IF(CALC!Z19="SON",((VLOOKUP(CALC!AA19,DBRANEQ!$H$10:$M$500,5,FALSE))*CALC!AF19),""),"")</f>
        <v/>
      </c>
      <c r="P18"/>
    </row>
    <row r="19" spans="2:16">
      <c r="B19" s="18"/>
      <c r="C19" s="18"/>
      <c r="D19" s="18"/>
      <c r="F19" s="131" t="s">
        <v>1668</v>
      </c>
      <c r="G19" s="128" t="str">
        <f>CALC!J73</f>
        <v>LFeLi-48100ZN</v>
      </c>
      <c r="H19" s="39"/>
      <c r="I19" s="39"/>
      <c r="J19"/>
      <c r="K19"/>
      <c r="L19" s="39"/>
      <c r="M19" s="71" t="str">
        <f ca="1">IFERROR(IF(CALC!F20="SON",((VLOOKUP(CALC!G20,DBRANEQ!$H$10:$M$500,5,FALSE))*CALC!L20),""),"")</f>
        <v/>
      </c>
      <c r="N19" s="71" t="str">
        <f ca="1">IFERROR(IF(CALC!P20="SON",((VLOOKUP(CALC!Q20,DBRANEQ!$H$10:$M$500,5,FALSE))*CALC!V20),""),"")</f>
        <v/>
      </c>
      <c r="O19" s="50" t="str">
        <f ca="1">IFERROR(IF(CALC!Z20="SON",((VLOOKUP(CALC!AA20,DBRANEQ!$H$10:$M$500,5,FALSE))*CALC!AF20),""),"")</f>
        <v/>
      </c>
      <c r="P19"/>
    </row>
    <row r="20" spans="2:16" ht="15" customHeight="1">
      <c r="B20" s="18" t="s">
        <v>176</v>
      </c>
      <c r="C20" s="18"/>
      <c r="D20" s="18"/>
      <c r="F20" s="131" t="s">
        <v>343</v>
      </c>
      <c r="G20" s="53" t="str">
        <f>IFERROR(VLOOKUP(G19,DBBATT!$H$10:$O$100,2,FALSE),"")</f>
        <v>LI-ION</v>
      </c>
      <c r="H20" s="39"/>
      <c r="I20" s="39"/>
      <c r="J20"/>
      <c r="K20"/>
      <c r="L20" s="39"/>
      <c r="M20" s="71" t="str">
        <f ca="1">IFERROR(IF(CALC!F21="SON",((VLOOKUP(CALC!G21,DBRANEQ!$H$10:$M$500,5,FALSE))*CALC!L21),""),"")</f>
        <v/>
      </c>
      <c r="N20" s="71" t="str">
        <f ca="1">IFERROR(IF(CALC!P21="SON",((VLOOKUP(CALC!Q21,DBRANEQ!$H$10:$M$500,5,FALSE))*CALC!V21),""),"")</f>
        <v/>
      </c>
      <c r="O20" s="50" t="str">
        <f ca="1">IFERROR(IF(CALC!Z21="SON",((VLOOKUP(CALC!AA21,DBRANEQ!$H$10:$M$500,5,FALSE))*CALC!AF21),""),"")</f>
        <v/>
      </c>
      <c r="P20"/>
    </row>
    <row r="21" spans="2:16">
      <c r="B21" s="18"/>
      <c r="C21" s="18"/>
      <c r="D21" s="18"/>
      <c r="F21" s="127" t="s">
        <v>1669</v>
      </c>
      <c r="G21" s="130">
        <f>IFERROR(IF(G20="AGM",$G$10,$G$9),0)</f>
        <v>0.95</v>
      </c>
      <c r="H21" s="39"/>
      <c r="I21" s="39"/>
      <c r="J21"/>
      <c r="K21"/>
      <c r="L21" s="39"/>
      <c r="M21" s="71" t="str">
        <f ca="1">IFERROR(IF(CALC!F22="SON",((VLOOKUP(CALC!G22,DBRANEQ!$H$10:$M$500,5,FALSE))*CALC!L22),""),"")</f>
        <v/>
      </c>
      <c r="N21" s="71" t="str">
        <f ca="1">IFERROR(IF(CALC!P22="SON",((VLOOKUP(CALC!Q22,DBRANEQ!$H$10:$M$500,5,FALSE))*CALC!V22),""),"")</f>
        <v/>
      </c>
      <c r="O21" s="50" t="str">
        <f ca="1">IFERROR(IF(CALC!Z22="SON",((VLOOKUP(CALC!AA22,DBRANEQ!$H$10:$M$500,5,FALSE))*CALC!AF22),""),"")</f>
        <v/>
      </c>
      <c r="P21"/>
    </row>
    <row r="22" spans="2:16">
      <c r="B22" s="18"/>
      <c r="C22" s="18"/>
      <c r="D22" s="18"/>
      <c r="F22" s="131" t="s">
        <v>1670</v>
      </c>
      <c r="G22" s="129">
        <f>CALC!J74</f>
        <v>5</v>
      </c>
      <c r="H22" s="39"/>
      <c r="I22" s="39"/>
      <c r="J22"/>
      <c r="K22"/>
      <c r="L22" s="39"/>
      <c r="M22" s="71" t="str">
        <f ca="1">IFERROR(IF(CALC!F23="SON",((VLOOKUP(CALC!G23,DBRANEQ!$H$10:$M$500,5,FALSE))*CALC!L23),""),"")</f>
        <v/>
      </c>
      <c r="N22" s="71" t="str">
        <f ca="1">IFERROR(IF(CALC!P23="SON",((VLOOKUP(CALC!Q23,DBRANEQ!$H$10:$M$500,5,FALSE))*CALC!V23),""),"")</f>
        <v/>
      </c>
      <c r="O22" s="50" t="str">
        <f ca="1">IFERROR(IF(CALC!Z23="SON",((VLOOKUP(CALC!AA23,DBRANEQ!$H$10:$M$500,5,FALSE))*CALC!AF23),""),"")</f>
        <v/>
      </c>
      <c r="P22"/>
    </row>
    <row r="23" spans="2:16">
      <c r="B23" s="18"/>
      <c r="C23" s="18"/>
      <c r="D23" s="18"/>
      <c r="F23" s="131" t="s">
        <v>840</v>
      </c>
      <c r="G23" s="53">
        <f>IFERROR(VLOOKUP(G19,DBBATT!$H$10:$O$100,4,FALSE)*G22*G21,0)</f>
        <v>475</v>
      </c>
      <c r="H23" s="39"/>
      <c r="I23" s="39"/>
      <c r="J23"/>
      <c r="K23"/>
      <c r="L23" s="39"/>
      <c r="M23" s="71" t="str">
        <f ca="1">IFERROR(IF(CALC!F24="SON",((VLOOKUP(CALC!G24,DBRANEQ!$H$10:$M$500,5,FALSE))*CALC!L24),""),"")</f>
        <v/>
      </c>
      <c r="N23" s="71" t="str">
        <f ca="1">IFERROR(IF(CALC!P24="SON",((VLOOKUP(CALC!Q24,DBRANEQ!$H$10:$M$500,5,FALSE))*CALC!V24),""),"")</f>
        <v/>
      </c>
      <c r="O23" s="50" t="str">
        <f ca="1">IFERROR(IF(CALC!Z24="SON",((VLOOKUP(CALC!AA24,DBRANEQ!$H$10:$M$500,5,FALSE))*CALC!AF24),""),"")</f>
        <v/>
      </c>
      <c r="P23"/>
    </row>
    <row r="24" spans="2:16">
      <c r="B24" s="18"/>
      <c r="C24" s="18"/>
      <c r="D24" s="18"/>
      <c r="F24" s="39"/>
      <c r="G24" s="126"/>
      <c r="H24" s="35"/>
      <c r="I24" s="39"/>
      <c r="J24"/>
      <c r="K24"/>
      <c r="L24" s="39"/>
      <c r="M24" s="71" t="str">
        <f ca="1">IFERROR(IF(CALC!F25="SON",((VLOOKUP(CALC!G25,DBRANEQ!$H$10:$M$500,5,FALSE))*CALC!L25),""),"")</f>
        <v/>
      </c>
      <c r="N24" s="71" t="str">
        <f ca="1">IFERROR(IF(CALC!P25="SON",((VLOOKUP(CALC!Q25,DBRANEQ!$H$10:$M$500,5,FALSE))*CALC!V25),""),"")</f>
        <v/>
      </c>
      <c r="O24" s="50" t="str">
        <f ca="1">IFERROR(IF(CALC!Z25="SON",((VLOOKUP(CALC!AA25,DBRANEQ!$H$10:$M$500,5,FALSE))*CALC!AF25),""),"")</f>
        <v/>
      </c>
      <c r="P24"/>
    </row>
    <row r="25" spans="2:16">
      <c r="B25" s="18" t="s">
        <v>182</v>
      </c>
      <c r="C25" s="18"/>
      <c r="D25" s="18"/>
      <c r="F25" s="127" t="s">
        <v>1671</v>
      </c>
      <c r="G25" s="53">
        <f>G23</f>
        <v>475</v>
      </c>
      <c r="H25" s="35"/>
      <c r="I25" s="39"/>
      <c r="J25"/>
      <c r="K25"/>
      <c r="L25" s="39"/>
      <c r="M25" s="71" t="str">
        <f ca="1">IFERROR(IF(CALC!F26="SON",((VLOOKUP(CALC!G26,DBRANEQ!$H$10:$M$500,5,FALSE))*CALC!L26),""),"")</f>
        <v/>
      </c>
      <c r="N25" s="71" t="str">
        <f ca="1">IFERROR(IF(CALC!P26="SON",((VLOOKUP(CALC!Q26,DBRANEQ!$H$10:$M$500,5,FALSE))*CALC!V26),""),"")</f>
        <v/>
      </c>
      <c r="O25" s="50" t="str">
        <f ca="1">IFERROR(IF(CALC!Z26="SON",((VLOOKUP(CALC!AA26,DBRANEQ!$H$10:$M$500,5,FALSE))*CALC!AF26),""),"")</f>
        <v/>
      </c>
      <c r="P25"/>
    </row>
    <row r="26" spans="2:16" ht="15" customHeight="1">
      <c r="B26" s="285"/>
      <c r="C26" s="285"/>
      <c r="D26" s="285"/>
      <c r="F26" s="127" t="s">
        <v>1672</v>
      </c>
      <c r="G26" s="53">
        <f ca="1">G25-M39</f>
        <v>441.53125</v>
      </c>
      <c r="H26" s="35"/>
      <c r="I26" s="39"/>
      <c r="J26"/>
      <c r="K26"/>
      <c r="L26" s="39"/>
      <c r="M26" s="71" t="str">
        <f ca="1">IFERROR(IF(CALC!F27="SON",((VLOOKUP(CALC!G27,DBRANEQ!$H$10:$M$500,5,FALSE))*CALC!L27),""),"")</f>
        <v/>
      </c>
      <c r="N26" s="71" t="str">
        <f ca="1">IFERROR(IF(CALC!P27="SON",((VLOOKUP(CALC!Q27,DBRANEQ!$H$10:$M$500,5,FALSE))*CALC!V27),""),"")</f>
        <v/>
      </c>
      <c r="O26" s="50" t="str">
        <f ca="1">IFERROR(IF(CALC!Z27="SON",((VLOOKUP(CALC!AA27,DBRANEQ!$H$10:$M$500,5,FALSE))*CALC!AF27),""),"")</f>
        <v/>
      </c>
      <c r="P26"/>
    </row>
    <row r="27" spans="2:16" ht="15" customHeight="1">
      <c r="B27" s="285"/>
      <c r="C27" s="285"/>
      <c r="D27" s="285"/>
      <c r="F27" s="39"/>
      <c r="G27" s="39"/>
      <c r="H27" s="35"/>
      <c r="I27" s="39"/>
      <c r="J27"/>
      <c r="K27"/>
      <c r="L27" s="39"/>
      <c r="M27" s="71" t="str">
        <f ca="1">IFERROR(IF(CALC!F28="SON",((VLOOKUP(CALC!G28,DBRANEQ!$H$10:$M$500,5,FALSE))*CALC!L28),""),"")</f>
        <v/>
      </c>
      <c r="N27" s="71" t="str">
        <f ca="1">IFERROR(IF(CALC!P28="SON",((VLOOKUP(CALC!Q28,DBRANEQ!$H$10:$M$500,5,FALSE))*CALC!V28),""),"")</f>
        <v/>
      </c>
      <c r="O27" s="50" t="str">
        <f ca="1">IFERROR(IF(CALC!Z28="SON",((VLOOKUP(CALC!AA28,DBRANEQ!$H$10:$M$500,5,FALSE))*CALC!AF28),""),"")</f>
        <v/>
      </c>
      <c r="P27"/>
    </row>
    <row r="28" spans="2:16" ht="15" customHeight="1">
      <c r="B28" s="293"/>
      <c r="C28" s="293"/>
      <c r="D28" s="293"/>
      <c r="G28" s="51" t="s">
        <v>1673</v>
      </c>
      <c r="H28" s="51" t="s">
        <v>423</v>
      </c>
      <c r="I28" s="51" t="s">
        <v>1674</v>
      </c>
      <c r="J28"/>
      <c r="K28"/>
      <c r="L28" s="39"/>
      <c r="M28" s="71" t="str">
        <f ca="1">IFERROR(IF(CALC!F29="SON",((VLOOKUP(CALC!G29,DBRANEQ!$H$10:$M$500,5,FALSE))*CALC!L29),""),"")</f>
        <v/>
      </c>
      <c r="N28" s="71" t="str">
        <f ca="1">IFERROR(IF(CALC!P29="SON",((VLOOKUP(CALC!Q29,DBRANEQ!$H$10:$M$500,5,FALSE))*CALC!V29),""),"")</f>
        <v/>
      </c>
      <c r="O28" s="50" t="str">
        <f ca="1">IFERROR(IF(CALC!Z29="SON",((VLOOKUP(CALC!AA29,DBRANEQ!$H$10:$M$500,5,FALSE))*CALC!AF29),""),"")</f>
        <v/>
      </c>
      <c r="P28"/>
    </row>
    <row r="29" spans="2:16" ht="15" customHeight="1">
      <c r="B29" s="293"/>
      <c r="C29" s="293"/>
      <c r="D29" s="293"/>
      <c r="F29" s="127" t="s">
        <v>1675</v>
      </c>
      <c r="G29" s="130">
        <f>IFERROR((G25*48*(VLOOKUP(G19,DBBATT!$H$10:$O$100,8,FALSE)))/G15,"")</f>
        <v>3.4703752363251836</v>
      </c>
      <c r="H29" s="53">
        <f>IFERROR(TRUNC(G29),"")</f>
        <v>3</v>
      </c>
      <c r="I29" s="53">
        <f>IFERROR((G29-TRUNC(G29))*60,"")</f>
        <v>28.222514179511016</v>
      </c>
      <c r="J29"/>
      <c r="K29"/>
      <c r="L29" s="39"/>
      <c r="M29" s="71" t="str">
        <f ca="1">IFERROR(IF(CALC!F30="SON",((VLOOKUP(CALC!G30,DBRANEQ!$H$10:$M$500,5,FALSE))*CALC!L30),""),"")</f>
        <v/>
      </c>
      <c r="N29" s="71" t="str">
        <f ca="1">IFERROR(IF(CALC!P30="SON",((VLOOKUP(CALC!Q30,DBRANEQ!$H$10:$M$500,5,FALSE))*CALC!V30),""),"")</f>
        <v/>
      </c>
      <c r="O29" s="50" t="str">
        <f ca="1">IFERROR(IF(CALC!Z30="SON",((VLOOKUP(CALC!AA30,DBRANEQ!$H$10:$M$500,5,FALSE))*CALC!AF30),""),"")</f>
        <v/>
      </c>
      <c r="P29"/>
    </row>
    <row r="30" spans="2:16">
      <c r="B30" s="293"/>
      <c r="C30" s="293"/>
      <c r="D30" s="293"/>
      <c r="F30" s="127" t="s">
        <v>1676</v>
      </c>
      <c r="G30" s="130">
        <f ca="1">IFERROR(((G26*48*(VLOOKUP(G19,DBBATT!$H$10:$O$100,8,FALSE)))/G16),"")</f>
        <v>5.8974987990486127</v>
      </c>
      <c r="H30" s="53">
        <f ca="1">IFERROR(TRUNC(G30),"")</f>
        <v>5</v>
      </c>
      <c r="I30" s="53">
        <f ca="1">IFERROR((G30-TRUNC(G30))*60,"")</f>
        <v>53.849927942916764</v>
      </c>
      <c r="J30"/>
      <c r="K30"/>
      <c r="L30" s="39"/>
      <c r="M30" s="71" t="str">
        <f ca="1">IFERROR(IF(CALC!F31="SON",((VLOOKUP(CALC!G31,DBRANEQ!$H$10:$M$500,5,FALSE))*CALC!L31),""),"")</f>
        <v/>
      </c>
      <c r="N30" s="71" t="str">
        <f ca="1">IFERROR(IF(CALC!P31="SON",((VLOOKUP(CALC!Q31,DBRANEQ!$H$10:$M$500,5,FALSE))*CALC!V31),""),"")</f>
        <v/>
      </c>
      <c r="O30" s="50" t="str">
        <f ca="1">IFERROR(IF(CALC!Z31="SON",((VLOOKUP(CALC!AA31,DBRANEQ!$H$10:$M$500,5,FALSE))*CALC!AF31),""),"")</f>
        <v/>
      </c>
      <c r="P30"/>
    </row>
    <row r="31" spans="2:16">
      <c r="B31" s="293"/>
      <c r="C31" s="293"/>
      <c r="D31" s="293"/>
      <c r="G31" s="39"/>
      <c r="H31" s="35"/>
      <c r="I31" s="39"/>
      <c r="J31"/>
      <c r="K31"/>
      <c r="L31" s="39"/>
      <c r="M31" s="71" t="str">
        <f ca="1">IFERROR(IF(CALC!F32="SON",((VLOOKUP(CALC!G32,DBRANEQ!$H$10:$M$500,5,FALSE))*CALC!L32),""),"")</f>
        <v/>
      </c>
      <c r="N31" s="71" t="str">
        <f ca="1">IFERROR(IF(CALC!P32="SON",((VLOOKUP(CALC!Q32,DBRANEQ!$H$10:$M$500,5,FALSE))*CALC!V32),""),"")</f>
        <v/>
      </c>
      <c r="O31" s="50" t="str">
        <f ca="1">IFERROR(IF(CALC!Z32="SON",((VLOOKUP(CALC!AA32,DBRANEQ!$H$10:$M$500,5,FALSE))*CALC!AF32),""),"")</f>
        <v/>
      </c>
      <c r="P31"/>
    </row>
    <row r="32" spans="2:16">
      <c r="B32" s="289"/>
      <c r="C32" s="289"/>
      <c r="D32" s="289"/>
      <c r="G32" s="39"/>
      <c r="H32" s="35"/>
      <c r="I32" s="39"/>
      <c r="J32"/>
      <c r="K32"/>
      <c r="L32" s="39"/>
      <c r="M32" s="71" t="str">
        <f ca="1">IFERROR(IF(CALC!F33="SON",((VLOOKUP(CALC!G33,DBRANEQ!$H$10:$M$500,5,FALSE))*CALC!L33),""),"")</f>
        <v/>
      </c>
      <c r="N32" s="71" t="str">
        <f ca="1">IFERROR(IF(CALC!P33="SON",((VLOOKUP(CALC!Q33,DBRANEQ!$H$10:$M$500,5,FALSE))*CALC!V33),""),"")</f>
        <v/>
      </c>
      <c r="O32" s="50" t="str">
        <f ca="1">IFERROR(IF(CALC!Z33="SON",((VLOOKUP(CALC!AA33,DBRANEQ!$H$10:$M$500,5,FALSE))*CALC!AF33),""),"")</f>
        <v/>
      </c>
      <c r="P32"/>
    </row>
    <row r="33" spans="2:16">
      <c r="B33" s="289"/>
      <c r="C33" s="289"/>
      <c r="D33" s="289"/>
      <c r="F33" s="39" t="s">
        <v>622</v>
      </c>
      <c r="G33" s="35"/>
      <c r="H33" s="35"/>
      <c r="I33" s="39"/>
      <c r="J33"/>
      <c r="K33"/>
      <c r="L33" s="39"/>
      <c r="M33" s="71" t="str">
        <f ca="1">IFERROR(IF(CALC!F34="SON",((VLOOKUP(CALC!G34,DBRANEQ!$H$10:$M$500,5,FALSE))*CALC!L34),""),"")</f>
        <v/>
      </c>
      <c r="N33" s="71" t="str">
        <f ca="1">IFERROR(IF(CALC!P34="SON",((VLOOKUP(CALC!Q34,DBRANEQ!$H$10:$M$500,5,FALSE))*CALC!V34),""),"")</f>
        <v/>
      </c>
      <c r="O33" s="50" t="str">
        <f ca="1">IFERROR(IF(CALC!Z34="SON",((VLOOKUP(CALC!AA34,DBRANEQ!$H$10:$M$500,5,FALSE))*CALC!AF34),""),"")</f>
        <v/>
      </c>
      <c r="P33"/>
    </row>
    <row r="34" spans="2:16">
      <c r="B34" s="289"/>
      <c r="C34" s="289"/>
      <c r="D34" s="289"/>
      <c r="F34" s="127" t="s">
        <v>1665</v>
      </c>
      <c r="G34" s="128">
        <f>CALC!T86</f>
        <v>8605.4</v>
      </c>
      <c r="H34" s="35"/>
      <c r="I34" s="39"/>
      <c r="J34"/>
      <c r="K34"/>
      <c r="L34" s="39"/>
      <c r="M34" s="71" t="str">
        <f ca="1">IFERROR(IF(CALC!F35="SON",((VLOOKUP(CALC!G35,DBRANEQ!$H$10:$M$500,5,FALSE))*CALC!L35),""),"")</f>
        <v/>
      </c>
      <c r="N34" s="71" t="str">
        <f ca="1">IFERROR(IF(CALC!P35="SON",((VLOOKUP(CALC!Q35,DBRANEQ!$H$10:$M$500,5,FALSE))*CALC!V35),""),"")</f>
        <v/>
      </c>
      <c r="O34" s="50" t="str">
        <f ca="1">IFERROR(IF(CALC!Z35="SON",((VLOOKUP(CALC!AA35,DBRANEQ!$H$10:$M$500,5,FALSE))*CALC!AF35),""),"")</f>
        <v/>
      </c>
      <c r="P34"/>
    </row>
    <row r="35" spans="2:16">
      <c r="B35" s="289"/>
      <c r="C35" s="289"/>
      <c r="D35" s="289"/>
      <c r="F35" s="127" t="s">
        <v>1666</v>
      </c>
      <c r="G35" s="128">
        <f ca="1">N37</f>
        <v>2450.1080000000002</v>
      </c>
      <c r="H35" s="35"/>
      <c r="I35" s="39"/>
      <c r="J35"/>
      <c r="K35"/>
      <c r="L35" s="39"/>
      <c r="M35" s="71" t="str">
        <f>IFERROR(IF(CALC!F36="SON",((VLOOKUP(CALC!G36,DBRANEQ!$H$10:$M$500,5,FALSE))*CALC!L36),""),"")</f>
        <v/>
      </c>
      <c r="N35" s="71" t="str">
        <f>IFERROR(IF(CALC!P36="SON",((VLOOKUP(CALC!Q36,DBRANEQ!$H$10:$M$500,5,FALSE))*CALC!V36),""),"")</f>
        <v/>
      </c>
      <c r="O35" s="50" t="str">
        <f>IFERROR(IF(CALC!Z36="SON",((VLOOKUP(CALC!AA36,DBRANEQ!$H$10:$M$500,5,FALSE))*CALC!AF36),""),"")</f>
        <v/>
      </c>
      <c r="P35"/>
    </row>
    <row r="36" spans="2:16">
      <c r="B36" s="289"/>
      <c r="C36" s="289"/>
      <c r="D36" s="289"/>
      <c r="F36" s="39"/>
      <c r="G36" s="126"/>
      <c r="H36" s="35"/>
      <c r="I36" s="39"/>
      <c r="J36"/>
      <c r="K36"/>
      <c r="L36" s="127" t="s">
        <v>1677</v>
      </c>
      <c r="M36" s="71">
        <f ca="1">SUM(M10:M35)</f>
        <v>3213</v>
      </c>
      <c r="N36" s="71">
        <f ca="1">SUM(N10:N35)</f>
        <v>6994.65</v>
      </c>
      <c r="O36" s="71">
        <f ca="1">SUM(O10:O35)</f>
        <v>0</v>
      </c>
      <c r="P36"/>
    </row>
    <row r="37" spans="2:16">
      <c r="B37" s="289"/>
      <c r="C37" s="289"/>
      <c r="D37" s="289"/>
      <c r="F37" s="39"/>
      <c r="G37" s="53" t="s">
        <v>1667</v>
      </c>
      <c r="H37"/>
      <c r="I37" s="39"/>
      <c r="J37"/>
      <c r="K37"/>
      <c r="L37" s="127" t="s">
        <v>1678</v>
      </c>
      <c r="M37" s="53">
        <f ca="1">IF(M36&lt;=0,0,(G15-M36)+M38)</f>
        <v>3413.9599999999996</v>
      </c>
      <c r="N37" s="53">
        <f ca="1">IF(N36&lt;=0,0,(G34-N36)+N38)</f>
        <v>2450.1080000000002</v>
      </c>
      <c r="O37" s="53">
        <f ca="1">IF(O36&lt;=0,0,(G53-O36)+O38)</f>
        <v>0</v>
      </c>
      <c r="P37"/>
    </row>
    <row r="38" spans="2:16">
      <c r="B38" s="289"/>
      <c r="C38" s="289"/>
      <c r="D38" s="289"/>
      <c r="F38" s="131" t="s">
        <v>1668</v>
      </c>
      <c r="G38" s="128" t="str">
        <f>CALC!T73</f>
        <v>LFeLi-48100ZN</v>
      </c>
      <c r="H38"/>
      <c r="I38" s="39"/>
      <c r="J38"/>
      <c r="K38"/>
      <c r="L38" s="127" t="s">
        <v>1679</v>
      </c>
      <c r="M38" s="53">
        <f ca="1">M36*12%</f>
        <v>385.56</v>
      </c>
      <c r="N38" s="53">
        <f ca="1">N36*12%</f>
        <v>839.35799999999995</v>
      </c>
      <c r="O38" s="53">
        <f ca="1">O36*12%</f>
        <v>0</v>
      </c>
      <c r="P38"/>
    </row>
    <row r="39" spans="2:16">
      <c r="B39" s="289"/>
      <c r="C39" s="289"/>
      <c r="D39" s="289"/>
      <c r="F39" s="127" t="s">
        <v>343</v>
      </c>
      <c r="G39" s="53" t="str">
        <f>IFERROR(VLOOKUP(G38,DBBATT!$H$10:$O$100,2,FALSE),"")</f>
        <v>LI-ION</v>
      </c>
      <c r="H39"/>
      <c r="I39" s="39"/>
      <c r="J39"/>
      <c r="K39"/>
      <c r="L39" s="127" t="s">
        <v>1680</v>
      </c>
      <c r="M39" s="53">
        <f ca="1">(M36*0.5)/48</f>
        <v>33.46875</v>
      </c>
      <c r="N39" s="53">
        <f ca="1">(N36*0.5)/48</f>
        <v>72.860937499999991</v>
      </c>
      <c r="O39" s="53">
        <f ca="1">(O36*0.5)/48</f>
        <v>0</v>
      </c>
      <c r="P39"/>
    </row>
    <row r="40" spans="2:16">
      <c r="B40" s="289"/>
      <c r="C40" s="289"/>
      <c r="D40" s="289"/>
      <c r="F40" s="127" t="s">
        <v>1669</v>
      </c>
      <c r="G40" s="130">
        <f>IFERROR(IF(G39="AGM",$G$10,$G$9),0)</f>
        <v>0.95</v>
      </c>
      <c r="H40"/>
      <c r="I40" s="39"/>
      <c r="J40"/>
      <c r="K40"/>
      <c r="L40"/>
      <c r="M40"/>
      <c r="N40"/>
      <c r="O40"/>
      <c r="P40"/>
    </row>
    <row r="41" spans="2:16">
      <c r="B41" s="289"/>
      <c r="C41" s="289"/>
      <c r="D41" s="289"/>
      <c r="F41" s="127" t="s">
        <v>1670</v>
      </c>
      <c r="G41" s="129">
        <f>CALC!T74</f>
        <v>5</v>
      </c>
      <c r="H41"/>
      <c r="I41" s="39"/>
      <c r="J41"/>
      <c r="K41"/>
      <c r="L41"/>
      <c r="M41"/>
      <c r="N41"/>
      <c r="O41"/>
      <c r="P41"/>
    </row>
    <row r="42" spans="2:16">
      <c r="B42" s="289"/>
      <c r="C42" s="289"/>
      <c r="D42" s="289"/>
      <c r="F42" s="127" t="s">
        <v>840</v>
      </c>
      <c r="G42" s="53">
        <f>IFERROR(VLOOKUP(G38,DBBATT!$H$10:$O$100,4,FALSE)*G41*G40,0)</f>
        <v>475</v>
      </c>
      <c r="H42"/>
      <c r="I42" s="39"/>
      <c r="J42"/>
      <c r="K42"/>
      <c r="L42"/>
      <c r="M42"/>
      <c r="N42"/>
      <c r="O42"/>
      <c r="P42"/>
    </row>
    <row r="43" spans="2:16">
      <c r="B43" s="289"/>
      <c r="C43" s="289"/>
      <c r="D43" s="289"/>
      <c r="F43" s="39"/>
      <c r="G43" s="126"/>
      <c r="H43" s="35"/>
      <c r="I43" s="39"/>
      <c r="J43"/>
      <c r="K43"/>
      <c r="L43"/>
      <c r="M43"/>
      <c r="N43"/>
      <c r="O43"/>
      <c r="P43"/>
    </row>
    <row r="44" spans="2:16">
      <c r="B44" s="289"/>
      <c r="C44" s="289"/>
      <c r="D44" s="289"/>
      <c r="F44" s="127" t="s">
        <v>1671</v>
      </c>
      <c r="G44" s="53">
        <f>G42</f>
        <v>475</v>
      </c>
      <c r="H44" s="35"/>
      <c r="I44" s="39"/>
      <c r="J44"/>
      <c r="K44"/>
      <c r="L44"/>
      <c r="M44"/>
      <c r="N44"/>
      <c r="O44"/>
      <c r="P44"/>
    </row>
    <row r="45" spans="2:16">
      <c r="B45" s="289"/>
      <c r="C45" s="289"/>
      <c r="D45" s="289"/>
      <c r="F45" s="127" t="s">
        <v>1672</v>
      </c>
      <c r="G45" s="53">
        <f ca="1">G44-N39</f>
        <v>402.13906250000002</v>
      </c>
      <c r="H45" s="35"/>
      <c r="I45" s="39"/>
      <c r="J45"/>
      <c r="K45"/>
      <c r="L45"/>
      <c r="M45"/>
      <c r="N45"/>
      <c r="O45"/>
      <c r="P45"/>
    </row>
    <row r="46" spans="2:16">
      <c r="B46" s="289"/>
      <c r="C46" s="289"/>
      <c r="D46" s="289"/>
      <c r="F46" s="39"/>
      <c r="G46" s="39"/>
      <c r="H46" s="35"/>
      <c r="I46" s="39"/>
      <c r="J46"/>
      <c r="K46"/>
      <c r="L46"/>
      <c r="M46"/>
      <c r="N46"/>
      <c r="O46"/>
      <c r="P46"/>
    </row>
    <row r="47" spans="2:16">
      <c r="B47" s="289"/>
      <c r="C47" s="289"/>
      <c r="D47" s="289"/>
      <c r="G47" s="51" t="s">
        <v>1673</v>
      </c>
      <c r="H47" s="51" t="s">
        <v>423</v>
      </c>
      <c r="I47" s="51" t="s">
        <v>1674</v>
      </c>
      <c r="J47"/>
      <c r="K47"/>
      <c r="L47"/>
      <c r="M47"/>
      <c r="N47"/>
      <c r="O47"/>
      <c r="P47"/>
    </row>
    <row r="48" spans="2:16">
      <c r="B48" s="289"/>
      <c r="C48" s="289"/>
      <c r="D48" s="289"/>
      <c r="F48" s="127" t="s">
        <v>1675</v>
      </c>
      <c r="G48" s="130">
        <f>IFERROR((G44*48*(VLOOKUP(G38,DBBATT!$H$10:$O$100,8,FALSE)))/G34,"")</f>
        <v>2.5170241941106748</v>
      </c>
      <c r="H48" s="53">
        <f>IFERROR(TRUNC(G48),"")</f>
        <v>2</v>
      </c>
      <c r="I48" s="53">
        <f>IFERROR((G48-TRUNC(G48))*60,"")</f>
        <v>31.021451646640486</v>
      </c>
      <c r="J48"/>
      <c r="K48"/>
      <c r="L48"/>
      <c r="M48"/>
      <c r="N48"/>
      <c r="O48"/>
      <c r="P48"/>
    </row>
    <row r="49" spans="6:16">
      <c r="F49" s="127" t="s">
        <v>1676</v>
      </c>
      <c r="G49" s="130">
        <f ca="1">IFERROR(((G45*48*(VLOOKUP(G38,DBBATT!$H$10:$O$100,8,FALSE)))/G35),"")</f>
        <v>7.4843807905610698</v>
      </c>
      <c r="H49" s="53">
        <f ca="1">IFERROR(TRUNC(G49),"")</f>
        <v>7</v>
      </c>
      <c r="I49" s="53">
        <f ca="1">IFERROR((G49-TRUNC(G49))*60,"")</f>
        <v>29.062847433664185</v>
      </c>
      <c r="J49"/>
      <c r="K49"/>
      <c r="L49"/>
      <c r="M49"/>
      <c r="N49"/>
      <c r="O49"/>
      <c r="P49"/>
    </row>
    <row r="50" spans="6:16">
      <c r="G50" s="132"/>
      <c r="H50" s="45"/>
      <c r="I50" s="45"/>
      <c r="J50"/>
      <c r="K50"/>
      <c r="L50"/>
      <c r="M50"/>
      <c r="N50"/>
      <c r="O50"/>
      <c r="P50"/>
    </row>
    <row r="51" spans="6:16">
      <c r="G51" s="132"/>
      <c r="H51" s="45"/>
      <c r="I51" s="45"/>
      <c r="J51"/>
      <c r="K51"/>
      <c r="L51"/>
      <c r="M51"/>
      <c r="N51"/>
      <c r="O51"/>
      <c r="P51"/>
    </row>
    <row r="52" spans="6:16">
      <c r="F52" s="39" t="s">
        <v>623</v>
      </c>
      <c r="G52" s="35"/>
      <c r="H52" s="35"/>
      <c r="I52" s="39"/>
      <c r="J52"/>
      <c r="K52"/>
      <c r="L52"/>
      <c r="M52"/>
      <c r="N52"/>
      <c r="O52"/>
      <c r="P52"/>
    </row>
    <row r="53" spans="6:16">
      <c r="F53" s="127" t="s">
        <v>1665</v>
      </c>
      <c r="G53" s="128">
        <f>CALC!AD86</f>
        <v>0</v>
      </c>
      <c r="H53" s="35"/>
      <c r="I53" s="39"/>
      <c r="J53"/>
      <c r="K53"/>
      <c r="L53"/>
      <c r="M53"/>
      <c r="N53"/>
      <c r="O53"/>
      <c r="P53"/>
    </row>
    <row r="54" spans="6:16">
      <c r="F54" s="127" t="s">
        <v>1666</v>
      </c>
      <c r="G54" s="128">
        <f ca="1">O37</f>
        <v>0</v>
      </c>
      <c r="H54" s="35"/>
      <c r="I54" s="39"/>
      <c r="J54"/>
      <c r="K54"/>
      <c r="L54"/>
      <c r="M54"/>
      <c r="N54"/>
      <c r="O54"/>
      <c r="P54"/>
    </row>
    <row r="55" spans="6:16">
      <c r="F55" s="39"/>
      <c r="G55" s="126"/>
      <c r="H55" s="35"/>
      <c r="I55" s="39"/>
      <c r="J55"/>
      <c r="K55"/>
      <c r="L55"/>
      <c r="M55"/>
      <c r="N55"/>
      <c r="O55"/>
      <c r="P55"/>
    </row>
    <row r="56" spans="6:16">
      <c r="F56" s="39"/>
      <c r="G56" s="53" t="s">
        <v>1667</v>
      </c>
      <c r="H56"/>
      <c r="I56" s="39"/>
      <c r="J56"/>
      <c r="K56"/>
      <c r="L56"/>
      <c r="M56"/>
      <c r="N56"/>
      <c r="O56"/>
      <c r="P56"/>
    </row>
    <row r="57" spans="6:16">
      <c r="F57" s="127" t="s">
        <v>1668</v>
      </c>
      <c r="G57" s="128" t="str">
        <f>CALC!AD73</f>
        <v>LPFG12-100S</v>
      </c>
      <c r="H57"/>
      <c r="I57" s="39"/>
      <c r="J57"/>
      <c r="K57"/>
      <c r="L57"/>
      <c r="M57"/>
      <c r="N57"/>
      <c r="O57"/>
      <c r="P57"/>
    </row>
    <row r="58" spans="6:16">
      <c r="F58" s="127" t="s">
        <v>343</v>
      </c>
      <c r="G58" s="53" t="str">
        <f>IFERROR(VLOOKUP(G57,DBBATT!$H$10:$O$100,2,FALSE),"")</f>
        <v>AGM</v>
      </c>
      <c r="H58"/>
      <c r="I58" s="39"/>
      <c r="J58"/>
      <c r="K58"/>
      <c r="L58"/>
      <c r="M58"/>
      <c r="N58"/>
      <c r="O58"/>
      <c r="P58"/>
    </row>
    <row r="59" spans="6:16">
      <c r="F59" s="127" t="s">
        <v>1681</v>
      </c>
      <c r="G59" s="130">
        <f>IFERROR(IF(G58="AGM",$G$10,$G$9),0)</f>
        <v>0.75</v>
      </c>
      <c r="H59"/>
      <c r="I59" s="39"/>
      <c r="J59"/>
      <c r="K59"/>
      <c r="L59"/>
      <c r="M59"/>
      <c r="N59"/>
      <c r="O59"/>
      <c r="P59"/>
    </row>
    <row r="60" spans="6:16">
      <c r="F60" s="127" t="s">
        <v>1670</v>
      </c>
      <c r="G60" s="129">
        <f>CALC!AD74</f>
        <v>5</v>
      </c>
      <c r="H60"/>
      <c r="I60" s="39"/>
      <c r="J60"/>
      <c r="K60"/>
      <c r="L60"/>
      <c r="M60"/>
      <c r="N60"/>
      <c r="O60"/>
      <c r="P60"/>
    </row>
    <row r="61" spans="6:16">
      <c r="F61" s="127" t="s">
        <v>840</v>
      </c>
      <c r="G61" s="53">
        <f>IFERROR(VLOOKUP(G57,DBBATT!$H$10:$O$100,4,FALSE)*G60*G59,0)</f>
        <v>375</v>
      </c>
      <c r="H61"/>
      <c r="I61" s="39"/>
      <c r="J61"/>
      <c r="K61"/>
      <c r="L61"/>
      <c r="M61"/>
      <c r="N61"/>
      <c r="O61"/>
      <c r="P61"/>
    </row>
    <row r="62" spans="6:16">
      <c r="F62" s="39"/>
      <c r="G62" s="126"/>
      <c r="H62" s="35"/>
      <c r="I62" s="39"/>
      <c r="J62"/>
      <c r="K62"/>
      <c r="L62"/>
      <c r="M62"/>
      <c r="N62"/>
      <c r="O62"/>
      <c r="P62"/>
    </row>
    <row r="63" spans="6:16">
      <c r="F63" s="127" t="s">
        <v>1671</v>
      </c>
      <c r="G63" s="53">
        <f>G61</f>
        <v>375</v>
      </c>
      <c r="H63" s="35"/>
      <c r="I63" s="39"/>
      <c r="J63"/>
      <c r="K63"/>
      <c r="L63"/>
      <c r="M63"/>
      <c r="N63"/>
      <c r="O63"/>
      <c r="P63"/>
    </row>
    <row r="64" spans="6:16">
      <c r="F64" s="127" t="s">
        <v>1672</v>
      </c>
      <c r="G64" s="53">
        <f ca="1">G63-O39</f>
        <v>375</v>
      </c>
      <c r="H64" s="35"/>
      <c r="I64" s="39"/>
      <c r="J64"/>
      <c r="K64"/>
      <c r="L64"/>
      <c r="M64"/>
      <c r="N64"/>
      <c r="O64"/>
      <c r="P64"/>
    </row>
    <row r="65" spans="6:16">
      <c r="F65" s="39"/>
      <c r="G65" s="126"/>
      <c r="H65" s="35"/>
      <c r="I65" s="39"/>
      <c r="J65"/>
      <c r="K65"/>
      <c r="L65"/>
      <c r="M65"/>
      <c r="N65"/>
      <c r="O65"/>
      <c r="P65"/>
    </row>
    <row r="66" spans="6:16">
      <c r="G66" s="51" t="s">
        <v>1673</v>
      </c>
      <c r="H66" s="51" t="s">
        <v>423</v>
      </c>
      <c r="I66" s="51" t="s">
        <v>1674</v>
      </c>
      <c r="J66"/>
      <c r="K66"/>
      <c r="L66"/>
      <c r="M66"/>
      <c r="N66"/>
      <c r="O66"/>
      <c r="P66"/>
    </row>
    <row r="67" spans="6:16">
      <c r="F67" s="127" t="s">
        <v>1675</v>
      </c>
      <c r="G67" s="130" t="str">
        <f>IFERROR((G63*48*(VLOOKUP(G57,DBBATT!$H$10:$O$100,8,FALSE)))/G53,"")</f>
        <v/>
      </c>
      <c r="H67" s="53" t="str">
        <f>IFERROR(TRUNC(G67),"")</f>
        <v/>
      </c>
      <c r="I67" s="53" t="str">
        <f>IFERROR((G67-TRUNC(G67))*60,"")</f>
        <v/>
      </c>
      <c r="J67"/>
      <c r="K67"/>
      <c r="L67"/>
      <c r="M67"/>
      <c r="N67"/>
      <c r="O67"/>
      <c r="P67"/>
    </row>
    <row r="68" spans="6:16">
      <c r="F68" s="127" t="s">
        <v>1676</v>
      </c>
      <c r="G68" s="130" t="str">
        <f ca="1">IFERROR(((G64*48*(VLOOKUP(G57,DBBATT!$H$10:$O$100,8,FALSE)))/G54),"")</f>
        <v/>
      </c>
      <c r="H68" s="53" t="str">
        <f ca="1">IFERROR(TRUNC(G68),"")</f>
        <v/>
      </c>
      <c r="I68" s="53" t="str">
        <f ca="1">IFERROR((G68-TRUNC(G68))*60,"")</f>
        <v/>
      </c>
      <c r="J68"/>
      <c r="K68"/>
      <c r="L68"/>
      <c r="M68"/>
      <c r="N68"/>
      <c r="O68"/>
      <c r="P68"/>
    </row>
    <row r="69" spans="6:16">
      <c r="G69" s="39"/>
      <c r="H69" s="39"/>
      <c r="I69" s="39"/>
      <c r="J69"/>
      <c r="K69"/>
      <c r="L69"/>
      <c r="M69"/>
      <c r="N69"/>
      <c r="O69"/>
      <c r="P69"/>
    </row>
    <row r="70" spans="6:16">
      <c r="G70" s="39"/>
      <c r="H70" s="39"/>
      <c r="I70" s="39"/>
      <c r="J70"/>
      <c r="K70"/>
      <c r="L70"/>
      <c r="M70"/>
      <c r="N70"/>
      <c r="O70"/>
      <c r="P70"/>
    </row>
    <row r="71" spans="6:16">
      <c r="G71" s="39"/>
      <c r="H71" s="39"/>
      <c r="I71" s="39"/>
      <c r="J71"/>
      <c r="K71"/>
      <c r="L71"/>
      <c r="M71"/>
      <c r="N71"/>
      <c r="O71"/>
      <c r="P71"/>
    </row>
    <row r="72" spans="6:16">
      <c r="G72" s="39"/>
      <c r="H72" s="39"/>
      <c r="I72" s="39"/>
      <c r="J72"/>
      <c r="K72"/>
      <c r="L72"/>
      <c r="M72"/>
      <c r="N72"/>
      <c r="O72"/>
      <c r="P72"/>
    </row>
    <row r="73" spans="6:16">
      <c r="G73" s="39"/>
      <c r="H73" s="39"/>
      <c r="I73" s="39"/>
      <c r="J73"/>
      <c r="K73"/>
      <c r="L73"/>
      <c r="M73"/>
      <c r="N73"/>
      <c r="O73"/>
      <c r="P73"/>
    </row>
    <row r="74" spans="6:16">
      <c r="G74" s="39"/>
      <c r="H74" s="39"/>
      <c r="I74" s="39"/>
      <c r="J74"/>
      <c r="K74"/>
      <c r="L74"/>
      <c r="M74"/>
      <c r="N74"/>
      <c r="O74"/>
      <c r="P74"/>
    </row>
    <row r="75" spans="6:16">
      <c r="G75" s="39"/>
      <c r="H75" s="39"/>
      <c r="I75" s="39"/>
      <c r="J75"/>
      <c r="K75"/>
      <c r="L75"/>
      <c r="M75"/>
      <c r="N75"/>
      <c r="O75"/>
      <c r="P75"/>
    </row>
    <row r="76" spans="6:16">
      <c r="G76" s="39"/>
      <c r="H76" s="39"/>
      <c r="I76" s="39"/>
      <c r="J76"/>
      <c r="K76"/>
      <c r="L76"/>
      <c r="M76"/>
      <c r="N76"/>
      <c r="O76"/>
      <c r="P76"/>
    </row>
    <row r="77" spans="6:16">
      <c r="G77" s="39"/>
      <c r="H77" s="39"/>
      <c r="I77" s="39"/>
      <c r="J77"/>
      <c r="K77"/>
      <c r="L77"/>
      <c r="M77"/>
      <c r="N77"/>
      <c r="O77"/>
      <c r="P77"/>
    </row>
    <row r="78" spans="6:16">
      <c r="G78" s="39"/>
      <c r="H78" s="39"/>
      <c r="I78" s="39"/>
      <c r="J78"/>
      <c r="K78"/>
      <c r="L78"/>
      <c r="M78"/>
      <c r="N78"/>
      <c r="O78"/>
      <c r="P78"/>
    </row>
    <row r="79" spans="6:16">
      <c r="G79" s="39"/>
      <c r="H79" s="39"/>
      <c r="I79" s="39"/>
      <c r="J79"/>
      <c r="K79"/>
      <c r="L79"/>
    </row>
    <row r="80" spans="6:16">
      <c r="G80" s="39"/>
      <c r="H80" s="39"/>
      <c r="I80" s="39"/>
      <c r="J80"/>
      <c r="K80"/>
      <c r="L80"/>
    </row>
    <row r="81" spans="6:26">
      <c r="G81" s="39"/>
      <c r="H81" s="39"/>
      <c r="I81" s="39"/>
      <c r="J81"/>
      <c r="K81"/>
      <c r="L81"/>
      <c r="M81"/>
      <c r="N81"/>
      <c r="O81"/>
      <c r="P81"/>
    </row>
    <row r="82" spans="6:26">
      <c r="G82" s="39"/>
      <c r="H82" s="39"/>
      <c r="I82" s="39"/>
      <c r="M82"/>
      <c r="N82"/>
      <c r="O82"/>
      <c r="P82"/>
    </row>
    <row r="83" spans="6:26">
      <c r="F83" s="90"/>
      <c r="M83"/>
      <c r="N83"/>
      <c r="O83"/>
      <c r="P83"/>
    </row>
    <row r="84" spans="6:26">
      <c r="F84" s="90"/>
      <c r="J84"/>
      <c r="K84"/>
      <c r="L84"/>
      <c r="M84"/>
      <c r="N84"/>
      <c r="O84"/>
      <c r="P84"/>
    </row>
    <row r="85" spans="6:26">
      <c r="G85" s="39"/>
      <c r="H85" s="39"/>
      <c r="I85" s="39"/>
      <c r="J85"/>
      <c r="K85"/>
      <c r="L85"/>
      <c r="M85"/>
      <c r="N85"/>
      <c r="O85"/>
      <c r="P85"/>
    </row>
    <row r="86" spans="6:26">
      <c r="G86" s="39"/>
      <c r="H86" s="39"/>
      <c r="I86" s="39"/>
      <c r="J86"/>
      <c r="K86"/>
      <c r="L86"/>
      <c r="M86"/>
      <c r="N86"/>
      <c r="O86"/>
      <c r="P86"/>
    </row>
    <row r="87" spans="6:26">
      <c r="G87" s="39"/>
      <c r="H87" s="39"/>
      <c r="I87" s="39"/>
      <c r="J87"/>
      <c r="K87"/>
      <c r="L87"/>
      <c r="M87"/>
      <c r="N87"/>
      <c r="O87"/>
      <c r="P87"/>
    </row>
    <row r="88" spans="6:26">
      <c r="G88" s="39"/>
      <c r="H88" s="39"/>
      <c r="I88" s="39"/>
      <c r="J88"/>
      <c r="K88"/>
      <c r="L88"/>
      <c r="M88"/>
      <c r="N88"/>
      <c r="O88"/>
      <c r="P88"/>
    </row>
    <row r="89" spans="6:26">
      <c r="G89" s="39"/>
      <c r="H89" s="39"/>
      <c r="I89" s="39"/>
      <c r="J89"/>
      <c r="K89"/>
      <c r="L89"/>
      <c r="M89"/>
      <c r="N89"/>
      <c r="O89"/>
      <c r="P89"/>
    </row>
    <row r="90" spans="6:26">
      <c r="G90" s="39"/>
      <c r="H90" s="39"/>
      <c r="I90" s="39"/>
      <c r="J90"/>
      <c r="K90"/>
      <c r="L90"/>
      <c r="M90"/>
      <c r="N90"/>
      <c r="O90"/>
      <c r="P90"/>
    </row>
    <row r="91" spans="6:26">
      <c r="G91" s="39"/>
      <c r="H91" s="39"/>
      <c r="I91" s="39"/>
      <c r="J91"/>
      <c r="K91"/>
      <c r="L91"/>
      <c r="M91"/>
      <c r="N91"/>
      <c r="O91"/>
      <c r="P91"/>
    </row>
    <row r="92" spans="6:26">
      <c r="G92" s="39"/>
      <c r="H92" s="39"/>
      <c r="I92" s="39"/>
      <c r="J92"/>
      <c r="K92"/>
      <c r="L92"/>
      <c r="M92"/>
      <c r="N92"/>
      <c r="O92"/>
      <c r="P92"/>
    </row>
    <row r="93" spans="6:26">
      <c r="G93" s="39"/>
      <c r="H93" s="39"/>
      <c r="I93" s="39"/>
      <c r="J93"/>
      <c r="K93"/>
      <c r="L93"/>
      <c r="M93"/>
      <c r="N93"/>
      <c r="O93"/>
      <c r="P93"/>
    </row>
    <row r="94" spans="6:26">
      <c r="G94" s="39"/>
      <c r="H94" s="39"/>
      <c r="I94" s="39"/>
      <c r="J94"/>
      <c r="K94"/>
      <c r="L94"/>
      <c r="M94"/>
      <c r="N94"/>
      <c r="O94"/>
      <c r="P94"/>
    </row>
    <row r="95" spans="6:26">
      <c r="G95" s="39"/>
      <c r="H95" s="39"/>
      <c r="I95" s="39"/>
      <c r="J95"/>
      <c r="K95"/>
      <c r="L95"/>
      <c r="M95"/>
      <c r="N95"/>
      <c r="O95"/>
      <c r="P95"/>
    </row>
    <row r="96" spans="6:26">
      <c r="G96" s="39"/>
      <c r="H96" s="39"/>
      <c r="I96" s="39"/>
      <c r="J96"/>
      <c r="K96"/>
      <c r="L96"/>
      <c r="M96"/>
      <c r="N96"/>
      <c r="O96"/>
      <c r="P96"/>
    </row>
    <row r="97" spans="7:16">
      <c r="G97" s="39"/>
      <c r="H97" s="39"/>
      <c r="I97" s="39"/>
      <c r="J97"/>
      <c r="K97"/>
      <c r="L97"/>
      <c r="M97"/>
      <c r="N97"/>
      <c r="O97"/>
      <c r="P97"/>
    </row>
    <row r="98" spans="7:16">
      <c r="G98" s="39"/>
      <c r="H98" s="39"/>
      <c r="I98" s="39"/>
      <c r="J98"/>
      <c r="K98"/>
      <c r="L98"/>
      <c r="M98"/>
      <c r="N98"/>
      <c r="O98"/>
      <c r="P98"/>
    </row>
    <row r="99" spans="7:16">
      <c r="G99" s="39"/>
      <c r="H99" s="39"/>
      <c r="I99" s="39"/>
      <c r="J99"/>
      <c r="K99"/>
      <c r="L99"/>
      <c r="M99"/>
      <c r="N99"/>
      <c r="O99"/>
      <c r="P99"/>
    </row>
    <row r="100" spans="7:16">
      <c r="G100" s="39"/>
      <c r="H100" s="39"/>
      <c r="I100" s="39"/>
      <c r="J100"/>
      <c r="K100"/>
      <c r="L100"/>
      <c r="M100"/>
      <c r="N100"/>
      <c r="O100"/>
      <c r="P100"/>
    </row>
    <row r="101" spans="7:16">
      <c r="G101" s="39"/>
      <c r="H101" s="39"/>
      <c r="I101" s="39"/>
      <c r="J101"/>
      <c r="K101"/>
      <c r="L101"/>
      <c r="M101"/>
      <c r="N101"/>
      <c r="O101"/>
      <c r="P101"/>
    </row>
    <row r="102" spans="7:16">
      <c r="G102" s="39"/>
      <c r="H102" s="39"/>
      <c r="I102" s="39"/>
      <c r="J102"/>
      <c r="K102"/>
      <c r="L102"/>
      <c r="M102"/>
      <c r="N102"/>
      <c r="O102"/>
      <c r="P102"/>
    </row>
    <row r="103" spans="7:16">
      <c r="G103" s="39"/>
      <c r="H103" s="39"/>
      <c r="I103" s="39"/>
      <c r="J103"/>
      <c r="K103"/>
      <c r="L103"/>
      <c r="M103"/>
      <c r="N103"/>
      <c r="O103"/>
      <c r="P103"/>
    </row>
    <row r="104" spans="7:16">
      <c r="G104" s="39"/>
      <c r="H104" s="39"/>
      <c r="I104" s="39"/>
      <c r="J104"/>
      <c r="K104"/>
      <c r="L104"/>
      <c r="M104"/>
      <c r="N104"/>
      <c r="O104"/>
      <c r="P104"/>
    </row>
    <row r="105" spans="7:16">
      <c r="G105" s="39"/>
      <c r="H105" s="39"/>
      <c r="I105" s="39"/>
      <c r="J105"/>
      <c r="K105"/>
      <c r="L105"/>
      <c r="M105"/>
      <c r="N105"/>
      <c r="O105"/>
      <c r="P105"/>
    </row>
    <row r="106" spans="7:16">
      <c r="G106" s="39"/>
      <c r="H106" s="39"/>
      <c r="I106" s="39"/>
      <c r="J106"/>
      <c r="K106"/>
      <c r="L106"/>
      <c r="M106"/>
      <c r="N106"/>
      <c r="O106"/>
      <c r="P106"/>
    </row>
    <row r="107" spans="7:16">
      <c r="G107" s="39"/>
      <c r="H107" s="39"/>
      <c r="I107" s="39"/>
      <c r="J107"/>
      <c r="K107"/>
      <c r="L107"/>
      <c r="M107"/>
      <c r="N107"/>
      <c r="O107"/>
      <c r="P107"/>
    </row>
    <row r="108" spans="7:16">
      <c r="G108" s="39"/>
      <c r="H108" s="39"/>
      <c r="I108" s="39"/>
      <c r="J108"/>
      <c r="K108"/>
      <c r="L108"/>
      <c r="M108"/>
      <c r="N108"/>
      <c r="O108"/>
      <c r="P108"/>
    </row>
    <row r="109" spans="7:16">
      <c r="G109" s="39"/>
      <c r="H109" s="39"/>
      <c r="I109" s="39"/>
      <c r="J109"/>
      <c r="K109"/>
      <c r="L109"/>
      <c r="M109"/>
      <c r="N109"/>
      <c r="O109"/>
      <c r="P109"/>
    </row>
    <row r="110" spans="7:16">
      <c r="G110" s="39"/>
      <c r="H110" s="39"/>
      <c r="I110" s="39"/>
      <c r="J110"/>
      <c r="K110"/>
      <c r="L110"/>
      <c r="M110"/>
      <c r="N110"/>
      <c r="O110"/>
      <c r="P110"/>
    </row>
    <row r="111" spans="7:16">
      <c r="G111" s="39"/>
      <c r="H111" s="39"/>
      <c r="I111" s="39"/>
      <c r="J111"/>
      <c r="K111"/>
      <c r="L111"/>
      <c r="M111"/>
      <c r="N111"/>
      <c r="O111"/>
      <c r="P111"/>
    </row>
    <row r="112" spans="7:16">
      <c r="G112" s="39"/>
      <c r="H112" s="39"/>
      <c r="I112" s="39"/>
      <c r="J112"/>
      <c r="K112"/>
      <c r="L112"/>
      <c r="M112"/>
      <c r="N112"/>
      <c r="O112"/>
      <c r="P112"/>
    </row>
    <row r="113" spans="7:16">
      <c r="G113" s="39"/>
      <c r="H113" s="39"/>
      <c r="I113" s="39"/>
      <c r="J113"/>
      <c r="K113"/>
      <c r="L113"/>
      <c r="M113"/>
      <c r="N113"/>
      <c r="O113"/>
      <c r="P113"/>
    </row>
    <row r="114" spans="7:16">
      <c r="G114" s="39"/>
      <c r="H114" s="39"/>
      <c r="I114" s="39"/>
      <c r="J114"/>
      <c r="K114"/>
      <c r="L114"/>
      <c r="M114"/>
      <c r="N114"/>
      <c r="O114"/>
      <c r="P114"/>
    </row>
    <row r="115" spans="7:16">
      <c r="G115" s="39"/>
      <c r="H115" s="39"/>
      <c r="I115" s="39"/>
      <c r="J115"/>
      <c r="K115"/>
      <c r="L115"/>
      <c r="M115"/>
      <c r="N115"/>
      <c r="O115"/>
      <c r="P115"/>
    </row>
    <row r="116" spans="7:16">
      <c r="G116" s="39"/>
      <c r="H116" s="39"/>
      <c r="I116" s="39"/>
      <c r="J116"/>
      <c r="K116"/>
      <c r="L116"/>
      <c r="M116"/>
      <c r="N116"/>
      <c r="O116"/>
      <c r="P116"/>
    </row>
    <row r="117" spans="7:16">
      <c r="G117" s="39"/>
      <c r="H117" s="39"/>
      <c r="I117" s="39"/>
      <c r="J117"/>
      <c r="K117"/>
      <c r="L117"/>
      <c r="M117"/>
      <c r="N117"/>
      <c r="O117"/>
      <c r="P117"/>
    </row>
    <row r="118" spans="7:16">
      <c r="G118" s="39"/>
      <c r="H118" s="39"/>
      <c r="I118" s="39"/>
      <c r="J118"/>
      <c r="K118"/>
      <c r="L118"/>
      <c r="M118"/>
      <c r="N118"/>
      <c r="O118"/>
      <c r="P118"/>
    </row>
    <row r="119" spans="7:16">
      <c r="G119" s="39"/>
      <c r="H119" s="39"/>
      <c r="I119" s="39"/>
      <c r="J119"/>
      <c r="K119"/>
      <c r="L119"/>
      <c r="M119"/>
      <c r="N119"/>
      <c r="O119"/>
      <c r="P119"/>
    </row>
    <row r="120" spans="7:16">
      <c r="G120" s="39"/>
      <c r="H120" s="39"/>
      <c r="I120" s="39"/>
      <c r="J120"/>
      <c r="K120"/>
      <c r="L120"/>
      <c r="M120"/>
      <c r="N120"/>
      <c r="O120"/>
      <c r="P120"/>
    </row>
    <row r="121" spans="7:16">
      <c r="G121" s="39"/>
      <c r="H121" s="39"/>
      <c r="I121" s="39"/>
      <c r="J121"/>
      <c r="K121"/>
      <c r="L121"/>
      <c r="M121"/>
      <c r="N121"/>
      <c r="O121"/>
      <c r="P121"/>
    </row>
    <row r="122" spans="7:16">
      <c r="G122" s="39"/>
      <c r="H122" s="39"/>
      <c r="I122" s="39"/>
      <c r="J122"/>
      <c r="K122"/>
      <c r="L122"/>
      <c r="M122"/>
      <c r="N122"/>
      <c r="O122"/>
      <c r="P122"/>
    </row>
    <row r="123" spans="7:16">
      <c r="G123" s="39"/>
      <c r="H123" s="39"/>
      <c r="I123" s="39"/>
      <c r="J123"/>
      <c r="K123"/>
      <c r="L123"/>
      <c r="M123"/>
      <c r="N123"/>
      <c r="O123"/>
      <c r="P123"/>
    </row>
    <row r="124" spans="7:16">
      <c r="G124" s="39"/>
      <c r="H124" s="39"/>
      <c r="I124" s="39"/>
      <c r="J124"/>
      <c r="K124"/>
      <c r="L124"/>
      <c r="M124"/>
      <c r="N124"/>
      <c r="O124"/>
      <c r="P124"/>
    </row>
    <row r="125" spans="7:16">
      <c r="G125" s="39"/>
      <c r="H125" s="39"/>
      <c r="I125" s="39"/>
      <c r="J125"/>
      <c r="K125"/>
      <c r="L125"/>
      <c r="M125"/>
      <c r="N125"/>
      <c r="O125"/>
      <c r="P125"/>
    </row>
    <row r="126" spans="7:16">
      <c r="G126" s="39"/>
      <c r="H126" s="39"/>
      <c r="I126" s="39"/>
      <c r="J126"/>
      <c r="K126"/>
      <c r="L126"/>
      <c r="M126"/>
      <c r="N126"/>
      <c r="O126"/>
      <c r="P126"/>
    </row>
    <row r="127" spans="7:16">
      <c r="G127" s="39"/>
      <c r="H127" s="39"/>
      <c r="I127" s="39"/>
      <c r="J127"/>
      <c r="K127"/>
      <c r="L127"/>
      <c r="M127"/>
      <c r="N127"/>
      <c r="O127"/>
      <c r="P127"/>
    </row>
    <row r="128" spans="7:16">
      <c r="G128" s="39"/>
      <c r="H128" s="39"/>
      <c r="I128" s="39"/>
      <c r="J128"/>
      <c r="K128"/>
      <c r="L128"/>
      <c r="M128"/>
      <c r="N128"/>
      <c r="O128"/>
      <c r="P128"/>
    </row>
    <row r="129" spans="7:16">
      <c r="G129" s="39"/>
      <c r="H129" s="39"/>
      <c r="I129" s="39"/>
      <c r="J129"/>
      <c r="K129"/>
      <c r="L129"/>
      <c r="M129"/>
      <c r="N129"/>
      <c r="O129"/>
      <c r="P129"/>
    </row>
    <row r="130" spans="7:16">
      <c r="G130" s="39"/>
      <c r="H130" s="39"/>
      <c r="I130" s="39"/>
      <c r="J130"/>
      <c r="K130"/>
      <c r="L130"/>
      <c r="M130"/>
      <c r="N130"/>
      <c r="O130"/>
      <c r="P130"/>
    </row>
    <row r="131" spans="7:16">
      <c r="G131" s="39"/>
      <c r="H131" s="39"/>
      <c r="I131" s="39"/>
      <c r="J131"/>
      <c r="K131"/>
      <c r="L131"/>
      <c r="M131"/>
      <c r="N131"/>
      <c r="O131"/>
      <c r="P131"/>
    </row>
    <row r="132" spans="7:16">
      <c r="G132" s="39"/>
      <c r="H132" s="39"/>
      <c r="I132" s="39"/>
      <c r="J132"/>
      <c r="K132"/>
      <c r="L132"/>
      <c r="M132"/>
      <c r="N132"/>
      <c r="O132"/>
      <c r="P132"/>
    </row>
    <row r="133" spans="7:16">
      <c r="G133" s="39"/>
      <c r="H133" s="39"/>
      <c r="I133" s="39"/>
      <c r="J133"/>
      <c r="K133"/>
      <c r="L133"/>
      <c r="M133"/>
      <c r="N133"/>
      <c r="O133"/>
      <c r="P133"/>
    </row>
    <row r="134" spans="7:16">
      <c r="G134" s="39"/>
      <c r="H134" s="39"/>
      <c r="I134" s="39"/>
      <c r="J134"/>
      <c r="K134"/>
      <c r="L134"/>
      <c r="M134"/>
      <c r="N134"/>
      <c r="O134"/>
      <c r="P134"/>
    </row>
    <row r="135" spans="7:16">
      <c r="G135" s="39"/>
      <c r="H135" s="39"/>
      <c r="I135" s="39"/>
      <c r="J135"/>
      <c r="K135"/>
      <c r="L135"/>
      <c r="M135"/>
      <c r="N135"/>
      <c r="O135"/>
      <c r="P135"/>
    </row>
    <row r="136" spans="7:16">
      <c r="G136" s="39"/>
      <c r="H136" s="39"/>
      <c r="I136" s="39"/>
      <c r="J136"/>
      <c r="K136"/>
      <c r="L136"/>
      <c r="M136"/>
      <c r="N136"/>
      <c r="O136"/>
      <c r="P136"/>
    </row>
    <row r="137" spans="7:16">
      <c r="G137" s="39"/>
      <c r="H137" s="39"/>
      <c r="I137" s="39"/>
      <c r="J137"/>
      <c r="K137"/>
      <c r="L137"/>
      <c r="M137"/>
      <c r="N137"/>
      <c r="O137"/>
      <c r="P137"/>
    </row>
    <row r="138" spans="7:16">
      <c r="G138" s="39"/>
      <c r="H138" s="39"/>
      <c r="I138" s="39"/>
      <c r="J138"/>
      <c r="K138"/>
      <c r="L138"/>
      <c r="M138"/>
      <c r="N138"/>
      <c r="O138"/>
      <c r="P138"/>
    </row>
    <row r="139" spans="7:16">
      <c r="G139" s="39"/>
      <c r="H139" s="39"/>
      <c r="I139" s="39"/>
      <c r="J139"/>
      <c r="K139"/>
      <c r="L139"/>
      <c r="M139"/>
      <c r="N139"/>
      <c r="O139"/>
      <c r="P139"/>
    </row>
    <row r="140" spans="7:16">
      <c r="G140" s="39"/>
      <c r="H140" s="39"/>
      <c r="I140" s="39"/>
      <c r="J140"/>
      <c r="K140"/>
      <c r="L140"/>
      <c r="M140"/>
      <c r="N140"/>
      <c r="O140"/>
      <c r="P140"/>
    </row>
    <row r="141" spans="7:16">
      <c r="G141" s="39"/>
      <c r="H141" s="39"/>
      <c r="I141" s="39"/>
      <c r="J141"/>
      <c r="K141"/>
      <c r="L141"/>
      <c r="M141"/>
      <c r="N141"/>
      <c r="O141"/>
      <c r="P141"/>
    </row>
    <row r="142" spans="7:16">
      <c r="G142" s="39"/>
      <c r="H142" s="39"/>
      <c r="I142" s="39"/>
      <c r="J142"/>
      <c r="K142"/>
      <c r="L142"/>
      <c r="M142"/>
      <c r="N142"/>
      <c r="O142"/>
      <c r="P142"/>
    </row>
    <row r="143" spans="7:16">
      <c r="G143" s="39"/>
      <c r="H143" s="39"/>
      <c r="I143" s="39"/>
      <c r="J143"/>
      <c r="K143"/>
      <c r="L143"/>
      <c r="M143"/>
      <c r="N143"/>
      <c r="O143"/>
      <c r="P143"/>
    </row>
    <row r="144" spans="7:16">
      <c r="G144" s="39"/>
      <c r="H144" s="39"/>
      <c r="I144" s="39"/>
      <c r="J144"/>
      <c r="K144"/>
      <c r="L144"/>
      <c r="M144"/>
      <c r="N144"/>
      <c r="O144"/>
      <c r="P144"/>
    </row>
    <row r="145" spans="7:16">
      <c r="G145" s="39"/>
      <c r="H145" s="39"/>
      <c r="I145" s="39"/>
      <c r="J145"/>
      <c r="K145"/>
      <c r="L145"/>
      <c r="M145"/>
      <c r="N145"/>
      <c r="O145"/>
      <c r="P145"/>
    </row>
    <row r="146" spans="7:16">
      <c r="G146" s="39"/>
      <c r="H146" s="39"/>
      <c r="I146" s="39"/>
      <c r="J146"/>
      <c r="K146"/>
      <c r="L146"/>
      <c r="M146"/>
      <c r="N146"/>
      <c r="O146"/>
      <c r="P146"/>
    </row>
    <row r="147" spans="7:16">
      <c r="G147" s="39"/>
      <c r="H147" s="39"/>
      <c r="I147" s="39"/>
      <c r="J147"/>
      <c r="K147"/>
      <c r="L147"/>
      <c r="M147"/>
      <c r="N147"/>
      <c r="O147"/>
      <c r="P147"/>
    </row>
    <row r="148" spans="7:16">
      <c r="G148" s="39"/>
      <c r="H148" s="39"/>
      <c r="I148" s="39"/>
      <c r="J148"/>
      <c r="K148"/>
      <c r="L148"/>
    </row>
    <row r="149" spans="7:16">
      <c r="G149" s="39"/>
      <c r="H149" s="39"/>
      <c r="I149" s="39"/>
      <c r="J149"/>
      <c r="K149"/>
      <c r="L149"/>
    </row>
    <row r="150" spans="7:16">
      <c r="G150" s="39"/>
      <c r="H150" s="39"/>
      <c r="I150" s="39"/>
      <c r="J150"/>
      <c r="K150"/>
      <c r="L150"/>
    </row>
    <row r="151" spans="7:16">
      <c r="G151" s="39"/>
      <c r="H151" s="39"/>
      <c r="I151" s="39"/>
    </row>
  </sheetData>
  <mergeCells count="24">
    <mergeCell ref="B47:D47"/>
    <mergeCell ref="B48:D48"/>
    <mergeCell ref="B34:D34"/>
    <mergeCell ref="B35:D35"/>
    <mergeCell ref="B36:D36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33:D33"/>
    <mergeCell ref="F2:N4"/>
    <mergeCell ref="B26:D26"/>
    <mergeCell ref="B27:D27"/>
    <mergeCell ref="B28:D28"/>
    <mergeCell ref="B29:D29"/>
    <mergeCell ref="B30:D30"/>
    <mergeCell ref="B31:D31"/>
    <mergeCell ref="B32:D32"/>
  </mergeCells>
  <hyperlinks>
    <hyperlink ref="B10" location="'DASH'!A1" display="DASHBOARD" xr:uid="{10CC8902-E355-416C-A1BA-2C5E244A53A6}"/>
    <hyperlink ref="B11" location="'DES-GL'!A1" display="DESIGN GUIDELINES" xr:uid="{0C6B734F-9552-419B-BEC4-6EE956E98802}"/>
    <hyperlink ref="B13" location="'EXT-MAINS-DT'!A1" display="EXISTING POWER DESIGN" xr:uid="{27FE12DC-A2E1-40BB-B19B-8BDC0771D4CC}"/>
    <hyperlink ref="B14" location="'EXT-CALC'!A1" display="EXISTING DEMAND" xr:uid="{4F8729A8-2013-4B79-A533-F24844B78857}"/>
    <hyperlink ref="B16" location="'CALC'!A1" display="POWER CALCULATOR" xr:uid="{3EF044C8-A736-4EE3-B1FF-03D8681067A9}"/>
    <hyperlink ref="B17" location="'PLBC-CALC'!A1" display="PLBC CALCULATOR" xr:uid="{28FF099D-9AD8-4600-9DAE-1B663F38053A}"/>
    <hyperlink ref="B18" location="'VDC'!A1" display="VD CALCULATOR" xr:uid="{831D29AB-F5E3-4529-BD66-4AFD57072602}"/>
    <hyperlink ref="B20" location="'PRP-SOL'!A1" display="PROPOSED POWER DESIGN" xr:uid="{9B009910-B075-49D1-8942-24B7F7F10BF1}"/>
    <hyperlink ref="B25" location="'DC'!A1" display="DOCUMENT CONTROL" xr:uid="{6C67DAD0-358A-4FF2-A22B-1AC7ADDDD814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D492C-B38B-42F1-9D0C-0C866EBFFC3A}">
  <sheetPr codeName="Sheet31"/>
  <dimension ref="B1:Z151"/>
  <sheetViews>
    <sheetView showGridLines="0" topLeftCell="B2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10.5703125" customWidth="1"/>
    <col min="7" max="7" width="94.28515625" style="107" customWidth="1"/>
    <col min="8" max="9" width="15.28515625" style="107" customWidth="1"/>
    <col min="10" max="10" width="15.28515625" style="94" customWidth="1"/>
    <col min="11" max="11" width="10.28515625" style="94" customWidth="1"/>
    <col min="12" max="12" width="23.28515625" style="94" customWidth="1"/>
    <col min="13" max="14" width="15.28515625" style="94" customWidth="1"/>
    <col min="15" max="15" width="17.28515625" style="94" customWidth="1"/>
    <col min="16" max="16" width="15.28515625" style="94" customWidth="1"/>
    <col min="17" max="20" width="9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587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584</v>
      </c>
    </row>
    <row r="7" spans="2:16">
      <c r="C7" s="2" t="s">
        <v>152</v>
      </c>
      <c r="D7" s="12">
        <f>DCVer</f>
        <v>12.7</v>
      </c>
    </row>
    <row r="8" spans="2:16" ht="15" customHeight="1">
      <c r="G8"/>
      <c r="H8"/>
      <c r="I8"/>
      <c r="J8"/>
      <c r="K8"/>
      <c r="L8" s="125"/>
      <c r="M8"/>
      <c r="N8"/>
      <c r="O8"/>
      <c r="P8"/>
    </row>
    <row r="9" spans="2:16">
      <c r="B9" s="18"/>
      <c r="C9" s="18"/>
      <c r="D9" s="18"/>
      <c r="F9" s="50" t="s">
        <v>1682</v>
      </c>
      <c r="G9" s="50" t="s">
        <v>1683</v>
      </c>
      <c r="H9" s="50" t="s">
        <v>479</v>
      </c>
      <c r="I9" s="50" t="s">
        <v>1684</v>
      </c>
      <c r="J9" s="50" t="s">
        <v>1685</v>
      </c>
      <c r="L9"/>
      <c r="M9"/>
    </row>
    <row r="10" spans="2:16" ht="15" customHeight="1">
      <c r="B10" s="18" t="s">
        <v>151</v>
      </c>
      <c r="C10" s="18"/>
      <c r="D10" s="18"/>
      <c r="F10" s="50" t="str">
        <f>IF(I10="SKIP","SKIP",IF(OR(AND(I10="FAIL",J10="PASS"),AND(I10="PASS",J10="PASS")),"PASS","FAIL"))</f>
        <v>PASS</v>
      </c>
      <c r="G10" s="71" t="s">
        <v>1686</v>
      </c>
      <c r="H10" s="71">
        <f>'PRP-SOL'!R53</f>
        <v>50</v>
      </c>
      <c r="I10" s="50" t="str">
        <f>IF(H10=0,"SKIP",IF('PRP-SOL'!R49="1P 230V",IF('PRP-SOL'!R53&gt;MAX(CALC!T141:U141),"PASS","FAIL"),IF('PRP-SOL'!R53&gt;MAX(CALC!K141:Q141),"PASS","FAIL")))</f>
        <v>PASS</v>
      </c>
      <c r="J10" s="50" t="str">
        <f>IF(OR(I18="FAIL",I19="FAIL",I20="FAIL"),"FAIL",IF(AND(I10="FAIL",I33="PASS"),"PASS",IF(AND(I10="PASS",I33="PASS"),"PASS","FAILED")))</f>
        <v>PASS</v>
      </c>
      <c r="L10"/>
      <c r="M10"/>
    </row>
    <row r="11" spans="2:16">
      <c r="B11" s="18" t="s">
        <v>155</v>
      </c>
      <c r="C11" s="18"/>
      <c r="D11" s="18"/>
      <c r="F11" s="50" t="str">
        <f>IF(I11="SKIP","SKIP",IF(OR(AND(I11="FAIL",J11="PASS"),AND(I11="PASS",J11="PASS")),"PASS","FAIL"))</f>
        <v>PASS</v>
      </c>
      <c r="G11" s="71" t="s">
        <v>1687</v>
      </c>
      <c r="H11" s="71">
        <f>'PRP-SOL'!R65</f>
        <v>50</v>
      </c>
      <c r="I11" s="50" t="str">
        <f>IF(H11=0,"SKIP",IF('PRP-SOL'!R49="1P 230V",IF('PRP-SOL'!R65&gt;MAX(CALC!T141:U141),"PASS","FAIL"),IF('PRP-SOL'!R65&gt;MAX(CALC!K141:Q141),"PASS","FAIL")))</f>
        <v>PASS</v>
      </c>
      <c r="J11" s="50" t="str">
        <f>IF(OR(I18="FAIL",I19="FAIL",I20="FAIL"),"FAIL",IF(AND(I11="FAIL",I33="PASS"),"PASS",IF(AND(I11="PASS",I33="PASS"),"PASS","FAILED")))</f>
        <v>PASS</v>
      </c>
      <c r="L11"/>
      <c r="M11"/>
    </row>
    <row r="12" spans="2:16">
      <c r="B12" s="18"/>
      <c r="C12" s="18"/>
      <c r="D12" s="18"/>
      <c r="F12" s="50" t="str">
        <f>J12</f>
        <v>SKIP</v>
      </c>
      <c r="G12" s="191" t="s">
        <v>1688</v>
      </c>
      <c r="H12" s="71">
        <f>'PRP-SOL'!R77</f>
        <v>0</v>
      </c>
      <c r="I12" s="50" t="b">
        <f>IF(H12&lt;&gt;0,TRUE)</f>
        <v>0</v>
      </c>
      <c r="J12" s="50" t="str">
        <f>IF(AND(I12=TRUE,I15=FALSE),"PASS",IF(AND(I12=TRUE,I15=TRUE),"FAIL","SKIP"))</f>
        <v>SKIP</v>
      </c>
      <c r="L12"/>
      <c r="M12"/>
    </row>
    <row r="13" spans="2:16">
      <c r="B13" s="18" t="s">
        <v>159</v>
      </c>
      <c r="C13" s="18"/>
      <c r="D13" s="18"/>
      <c r="F13" s="50" t="str">
        <f t="shared" ref="F13:F17" si="0">J13</f>
        <v>SKIP</v>
      </c>
      <c r="G13" s="191" t="s">
        <v>1689</v>
      </c>
      <c r="H13" s="71">
        <f>'PRP-SOL'!R78</f>
        <v>0</v>
      </c>
      <c r="I13" s="50" t="b">
        <f>IF(CALC!W9="ENABLED",IF(H13&lt;&gt;0,TRUE),"SKIP")</f>
        <v>0</v>
      </c>
      <c r="J13" s="50" t="str">
        <f t="shared" ref="J13:J14" si="1">IF(AND(I13=TRUE,I16=FALSE),"PASS",IF(AND(I13=TRUE,I16=TRUE),"FAIL","SKIP"))</f>
        <v>SKIP</v>
      </c>
      <c r="L13"/>
      <c r="M13"/>
    </row>
    <row r="14" spans="2:16">
      <c r="B14" s="18" t="s">
        <v>162</v>
      </c>
      <c r="C14" s="18"/>
      <c r="D14" s="18"/>
      <c r="F14" s="50" t="str">
        <f t="shared" si="0"/>
        <v>SKIP</v>
      </c>
      <c r="G14" s="191" t="s">
        <v>1690</v>
      </c>
      <c r="H14" s="71">
        <f>'PRP-SOL'!R79</f>
        <v>0</v>
      </c>
      <c r="I14" s="50" t="str">
        <f>IF(CALC!AG9="ENABLED",IF(H14&lt;&gt;0,TRUE),"SKIP")</f>
        <v>SKIP</v>
      </c>
      <c r="J14" s="50" t="str">
        <f t="shared" si="1"/>
        <v>SKIP</v>
      </c>
      <c r="L14"/>
      <c r="M14"/>
    </row>
    <row r="15" spans="2:16" ht="15" customHeight="1">
      <c r="B15" s="18"/>
      <c r="C15" s="18"/>
      <c r="D15" s="18"/>
      <c r="F15" s="50" t="str">
        <f t="shared" si="0"/>
        <v>PASS</v>
      </c>
      <c r="G15" s="191" t="s">
        <v>1691</v>
      </c>
      <c r="H15" s="71">
        <f>'PRP-SOL'!R115</f>
        <v>40</v>
      </c>
      <c r="I15" s="50" t="b">
        <f>IF(H15&lt;&gt;0,TRUE)</f>
        <v>1</v>
      </c>
      <c r="J15" s="50" t="str">
        <f>IF(AND(I12=FALSE,I15=TRUE),"PASS",IF(AND(I12=TRUE,I15=TRUE),"FAIL","SKIP"))</f>
        <v>PASS</v>
      </c>
      <c r="L15"/>
      <c r="M15"/>
    </row>
    <row r="16" spans="2:16">
      <c r="B16" s="18" t="s">
        <v>167</v>
      </c>
      <c r="C16" s="18"/>
      <c r="D16" s="18"/>
      <c r="F16" s="50" t="str">
        <f t="shared" si="0"/>
        <v>PASS</v>
      </c>
      <c r="G16" s="191" t="s">
        <v>1692</v>
      </c>
      <c r="H16" s="71">
        <f>'PRP-SOL'!R116</f>
        <v>40</v>
      </c>
      <c r="I16" s="50" t="b">
        <f>IF(CALC!W9="ENABLED",IF(H16&lt;&gt;0,TRUE),"SKIP")</f>
        <v>1</v>
      </c>
      <c r="J16" s="50" t="str">
        <f>IF(AND(I13=FALSE,I16=TRUE),"PASS",IF(AND(I13=TRUE,I16=TRUE),"FAIL","SKIP"))</f>
        <v>PASS</v>
      </c>
      <c r="L16"/>
      <c r="M16"/>
    </row>
    <row r="17" spans="2:13">
      <c r="B17" s="18" t="s">
        <v>170</v>
      </c>
      <c r="C17" s="18"/>
      <c r="D17" s="18"/>
      <c r="F17" s="50" t="str">
        <f t="shared" si="0"/>
        <v>SKIP</v>
      </c>
      <c r="G17" s="191" t="s">
        <v>1693</v>
      </c>
      <c r="H17" s="71">
        <f>'PRP-SOL'!R117</f>
        <v>0</v>
      </c>
      <c r="I17" s="50" t="str">
        <f>IF(CALC!AG9="ENABLED",IF(H17&lt;&gt;0,TRUE),"SKIP")</f>
        <v>SKIP</v>
      </c>
      <c r="J17" s="50" t="str">
        <f t="shared" ref="J17" si="2">IF(AND(I14=FALSE,I17=TRUE),"PASS",IF(AND(I14=TRUE,I17=TRUE),"FAIL","SKIP"))</f>
        <v>SKIP</v>
      </c>
      <c r="L17"/>
      <c r="M17"/>
    </row>
    <row r="18" spans="2:13">
      <c r="B18" s="18" t="s">
        <v>173</v>
      </c>
      <c r="C18" s="18"/>
      <c r="D18" s="18"/>
      <c r="F18" s="50" t="str">
        <f t="shared" ref="F18:F23" si="3">I18</f>
        <v>SKIP</v>
      </c>
      <c r="G18" s="71" t="s">
        <v>1694</v>
      </c>
      <c r="H18" s="71" t="str">
        <f>'PLBC-CALC'!F62&amp;";"&amp;'PLBC-CALC'!F69&amp;";"&amp;'PLBC-CALC'!F74</f>
        <v>E;ERR;ERR</v>
      </c>
      <c r="I18" s="50" t="str">
        <f>IF(AND('PLBC-CALC'!$J$10="Yes",'PLBC-CALC'!F62="E"),IF(H18="E;OK;OK","PASS","FAIL"),"SKIP")</f>
        <v>SKIP</v>
      </c>
      <c r="J18" s="50"/>
      <c r="L18"/>
      <c r="M18"/>
    </row>
    <row r="19" spans="2:13">
      <c r="B19" s="18"/>
      <c r="C19" s="18"/>
      <c r="D19" s="18"/>
      <c r="F19" s="50" t="str">
        <f t="shared" si="3"/>
        <v>SKIP</v>
      </c>
      <c r="G19" s="71" t="s">
        <v>1695</v>
      </c>
      <c r="H19" s="71" t="str">
        <f>'PLBC-CALC'!L62&amp;";"&amp;'PLBC-CALC'!L69&amp;";"&amp;'PLBC-CALC'!L74</f>
        <v>E;ERR;ERR</v>
      </c>
      <c r="I19" s="50" t="str">
        <f>IF(AND('PLBC-CALC'!$J$10="Yes",'PLBC-CALC'!L62="E"),IF(H19="E;OK;OK","PASS","FAIL"),"SKIP")</f>
        <v>SKIP</v>
      </c>
      <c r="J19" s="50"/>
      <c r="L19"/>
      <c r="M19"/>
    </row>
    <row r="20" spans="2:13" ht="15" customHeight="1">
      <c r="B20" s="18" t="s">
        <v>176</v>
      </c>
      <c r="C20" s="18"/>
      <c r="D20" s="18"/>
      <c r="F20" s="50" t="str">
        <f t="shared" si="3"/>
        <v>SKIP</v>
      </c>
      <c r="G20" s="71" t="s">
        <v>1696</v>
      </c>
      <c r="H20" s="71" t="str">
        <f>'PLBC-CALC'!R62&amp;";"&amp;'PLBC-CALC'!R69&amp;";"&amp;'PLBC-CALC'!R74</f>
        <v>D;;</v>
      </c>
      <c r="I20" s="50" t="str">
        <f>IF(AND('PLBC-CALC'!$J$10="Yes",'PLBC-CALC'!R62="E"),IF(H20="E;OK;OK","PASS","FAIL"),"SKIP")</f>
        <v>SKIP</v>
      </c>
      <c r="J20" s="50"/>
      <c r="L20"/>
      <c r="M20"/>
    </row>
    <row r="21" spans="2:13">
      <c r="B21" s="18"/>
      <c r="C21" s="18"/>
      <c r="D21" s="18"/>
      <c r="F21" s="50" t="str">
        <f t="shared" si="3"/>
        <v>SKIP</v>
      </c>
      <c r="G21" s="71" t="s">
        <v>1697</v>
      </c>
      <c r="H21" s="71">
        <f>IF(CALC!M9="ENABLED",VLOOKUP('PRP-SOL'!J155,DBBATT!H10:O100,4,0)*'PRP-SOL'!J156,"SKIP")</f>
        <v>500</v>
      </c>
      <c r="I21" s="50" t="str">
        <f>IF(AND('PLBC-CALC'!$J$10="YES",'PLBC-CALC'!F62="E"),IF(H21='PLBC-CALC'!H46,"PASS","FAIL"),"SKIP")</f>
        <v>SKIP</v>
      </c>
      <c r="J21" s="50"/>
      <c r="L21"/>
      <c r="M21"/>
    </row>
    <row r="22" spans="2:13">
      <c r="B22" s="18"/>
      <c r="C22" s="18"/>
      <c r="D22" s="18"/>
      <c r="F22" s="50" t="str">
        <f t="shared" si="3"/>
        <v>SKIP</v>
      </c>
      <c r="G22" s="71" t="s">
        <v>1698</v>
      </c>
      <c r="H22" s="71">
        <f>IF(CALC!W9="ENABLED",VLOOKUP('PRP-SOL'!S155,DBBATT!H10:O100,4,0)*'PRP-SOL'!S156,"SKIP")</f>
        <v>500</v>
      </c>
      <c r="I22" s="50" t="str">
        <f>IF(AND('PLBC-CALC'!$J$10="YES",'PLBC-CALC'!L62="E"),IF(H22='PLBC-CALC'!I46,"PASS","FAIL"),"SKIP")</f>
        <v>SKIP</v>
      </c>
      <c r="J22" s="50"/>
      <c r="L22"/>
      <c r="M22"/>
    </row>
    <row r="23" spans="2:13">
      <c r="B23" s="18"/>
      <c r="C23" s="18"/>
      <c r="D23" s="18"/>
      <c r="F23" s="50" t="str">
        <f t="shared" si="3"/>
        <v>SKIP</v>
      </c>
      <c r="G23" s="71" t="s">
        <v>1699</v>
      </c>
      <c r="H23" s="71" t="str">
        <f>IF(CALC!AG9="ENABLED",VLOOKUP('PRP-SOL'!AB155,DBBATT!H10:O100,4,0)*'PRP-SOL'!AB156,"SKIP")</f>
        <v>SKIP</v>
      </c>
      <c r="I23" s="50" t="str">
        <f>IF(AND('PLBC-CALC'!$J$10="YES",'PLBC-CALC'!R62="E"),IF(H23='PLBC-CALC'!J46,"PASS","FAIL"),"SKIP")</f>
        <v>SKIP</v>
      </c>
      <c r="J23" s="50"/>
      <c r="L23"/>
      <c r="M23"/>
    </row>
    <row r="24" spans="2:13">
      <c r="B24" s="18"/>
      <c r="C24" s="18"/>
      <c r="D24" s="18"/>
      <c r="F24" s="50" t="str">
        <f>I24</f>
        <v>PASS</v>
      </c>
      <c r="G24" s="71" t="s">
        <v>1700</v>
      </c>
      <c r="H24" s="71" t="str">
        <f>IF(H10&gt;1,"YES","NO")</f>
        <v>YES</v>
      </c>
      <c r="I24" s="50" t="str">
        <f>IF(H24="NO","FAIL","PASS")</f>
        <v>PASS</v>
      </c>
      <c r="J24" s="50"/>
      <c r="L24"/>
      <c r="M24"/>
    </row>
    <row r="25" spans="2:13">
      <c r="B25" s="18" t="s">
        <v>182</v>
      </c>
      <c r="C25" s="18"/>
      <c r="D25" s="18"/>
      <c r="F25" s="50" t="str">
        <f>I25</f>
        <v>PASS</v>
      </c>
      <c r="G25" s="71" t="s">
        <v>1701</v>
      </c>
      <c r="H25" s="71" t="str">
        <f>IF(H11&gt;1,"YES","NO")</f>
        <v>YES</v>
      </c>
      <c r="I25" s="50" t="str">
        <f>IF(H25="NO","FAIL","PASS")</f>
        <v>PASS</v>
      </c>
      <c r="J25" s="50"/>
      <c r="L25"/>
      <c r="M25"/>
    </row>
    <row r="26" spans="2:13" ht="15" customHeight="1">
      <c r="B26" s="285"/>
      <c r="C26" s="285"/>
      <c r="D26" s="285"/>
      <c r="F26" s="50" t="str">
        <f>I26</f>
        <v>SKIP</v>
      </c>
      <c r="G26" s="191" t="s">
        <v>1702</v>
      </c>
      <c r="H26" s="71">
        <f>'PRP-SOL'!J145</f>
        <v>40</v>
      </c>
      <c r="I26" s="50" t="str">
        <f>IF(J12="SKIP","SKIP",IF(OR(H26=H15,H26=H12),"PASS","FAIL"))</f>
        <v>SKIP</v>
      </c>
      <c r="J26" s="50"/>
      <c r="L26"/>
      <c r="M26"/>
    </row>
    <row r="27" spans="2:13" ht="15" customHeight="1">
      <c r="B27" s="285"/>
      <c r="C27" s="285"/>
      <c r="D27" s="285"/>
      <c r="F27" s="50" t="str">
        <f t="shared" ref="F27:F32" si="4">I27</f>
        <v>SKIP</v>
      </c>
      <c r="G27" s="191" t="s">
        <v>1703</v>
      </c>
      <c r="H27" s="71">
        <f>'PRP-SOL'!S145</f>
        <v>40</v>
      </c>
      <c r="I27" s="50" t="str">
        <f>IF(J13="SKIP","SKIP",IF(CALC!W9="ENABLED",IF(OR(H27=H16,H27=H13),"PASS","FAIL"),"SKIP"))</f>
        <v>SKIP</v>
      </c>
      <c r="J27" s="50"/>
      <c r="L27"/>
      <c r="M27"/>
    </row>
    <row r="28" spans="2:13" ht="15" customHeight="1">
      <c r="B28" s="293"/>
      <c r="C28" s="293"/>
      <c r="D28" s="293"/>
      <c r="F28" s="50" t="str">
        <f t="shared" si="4"/>
        <v>SKIP</v>
      </c>
      <c r="G28" s="191" t="s">
        <v>1704</v>
      </c>
      <c r="H28" s="71">
        <f>'PRP-SOL'!AB145</f>
        <v>0</v>
      </c>
      <c r="I28" s="50" t="str">
        <f>IF(J14="SKIP","SKIP",IF(CALC!AG9="ENABLED",IF(OR(H28=H17,H28=H14),"PASS","FAIL"),"SKIP"))</f>
        <v>SKIP</v>
      </c>
      <c r="J28" s="50"/>
      <c r="L28"/>
      <c r="M28"/>
    </row>
    <row r="29" spans="2:13" ht="15" customHeight="1">
      <c r="B29" s="293"/>
      <c r="C29" s="293"/>
      <c r="D29" s="293"/>
      <c r="F29" s="50" t="str">
        <f t="shared" si="4"/>
        <v>PASS</v>
      </c>
      <c r="G29" s="191" t="s">
        <v>1705</v>
      </c>
      <c r="H29" s="71">
        <f>'PRP-SOL'!J145</f>
        <v>40</v>
      </c>
      <c r="I29" s="50" t="str">
        <f>IF(J15="SKIP","SKIP",IF(OR(H29=H15,H29=H12),"PASS","FAIL"))</f>
        <v>PASS</v>
      </c>
      <c r="J29" s="50"/>
      <c r="L29"/>
      <c r="M29"/>
    </row>
    <row r="30" spans="2:13">
      <c r="B30" s="293"/>
      <c r="C30" s="293"/>
      <c r="D30" s="293"/>
      <c r="F30" s="50" t="str">
        <f t="shared" si="4"/>
        <v>PASS</v>
      </c>
      <c r="G30" s="191" t="s">
        <v>1706</v>
      </c>
      <c r="H30" s="71">
        <f>'PRP-SOL'!S145</f>
        <v>40</v>
      </c>
      <c r="I30" s="50" t="str">
        <f>IF(J16="SKIP","SKIP",IF(CALC!W9="ENABLED",IF(OR(H30=H16,H30=H13),"PASS","FAIL"),"SKIP"))</f>
        <v>PASS</v>
      </c>
      <c r="J30" s="50"/>
      <c r="L30"/>
      <c r="M30"/>
    </row>
    <row r="31" spans="2:13">
      <c r="B31" s="293"/>
      <c r="C31" s="293"/>
      <c r="D31" s="293"/>
      <c r="F31" s="50" t="str">
        <f t="shared" si="4"/>
        <v>SKIP</v>
      </c>
      <c r="G31" s="191" t="s">
        <v>1707</v>
      </c>
      <c r="H31" s="71">
        <f>'PRP-SOL'!AB145</f>
        <v>0</v>
      </c>
      <c r="I31" s="50" t="str">
        <f>IF(J17="SKIP","SKIP",IF(CALC!AG9="ENABLED",IF(OR(H31=H17,H31=H14),"PASS","FAIL"),"SKIP"))</f>
        <v>SKIP</v>
      </c>
      <c r="J31" s="50"/>
      <c r="L31"/>
      <c r="M31"/>
    </row>
    <row r="32" spans="2:13">
      <c r="B32" s="289"/>
      <c r="C32" s="289"/>
      <c r="D32" s="289"/>
      <c r="F32" s="50" t="str">
        <f t="shared" si="4"/>
        <v>PASS</v>
      </c>
      <c r="G32" s="191" t="s">
        <v>1708</v>
      </c>
      <c r="H32" s="71">
        <f>COUNTIF(J12:J17,"SKIP")</f>
        <v>4</v>
      </c>
      <c r="I32" s="50" t="str">
        <f>IF(H32=6,"FAIL","PASS")</f>
        <v>PASS</v>
      </c>
      <c r="J32" s="50"/>
      <c r="L32"/>
      <c r="M32"/>
    </row>
    <row r="33" spans="2:16">
      <c r="B33" s="289"/>
      <c r="C33" s="289"/>
      <c r="D33" s="289"/>
      <c r="F33" s="50" t="str">
        <f>I33</f>
        <v>PASS</v>
      </c>
      <c r="G33" s="191" t="s">
        <v>1709</v>
      </c>
      <c r="H33" s="71">
        <f>COUNTIF(I18:I20,"FAIL")</f>
        <v>0</v>
      </c>
      <c r="I33" s="50" t="str">
        <f>IF(H33&gt;0,"FAIL","PASS")</f>
        <v>PASS</v>
      </c>
      <c r="J33" s="50"/>
      <c r="L33"/>
      <c r="M33"/>
    </row>
    <row r="34" spans="2:16">
      <c r="B34" s="289"/>
      <c r="C34" s="289"/>
      <c r="D34" s="289"/>
      <c r="F34" s="50" t="str">
        <f>I34</f>
        <v>PASS</v>
      </c>
      <c r="G34" s="191" t="s">
        <v>1710</v>
      </c>
      <c r="H34" s="71">
        <f>DASH!H10</f>
        <v>658102</v>
      </c>
      <c r="I34" s="50" t="str">
        <f>IF(H34="","FAIL","PASS")</f>
        <v>PASS</v>
      </c>
      <c r="J34" s="50"/>
      <c r="L34"/>
      <c r="M34"/>
      <c r="N34"/>
      <c r="O34"/>
    </row>
    <row r="35" spans="2:16">
      <c r="B35" s="289"/>
      <c r="C35" s="289"/>
      <c r="D35" s="289"/>
      <c r="F35" s="50" t="str">
        <f t="shared" ref="F35:F36" si="5">I35</f>
        <v>PASS</v>
      </c>
      <c r="G35" s="71" t="s">
        <v>1711</v>
      </c>
      <c r="H35" s="71" t="str">
        <f>DASH!H13</f>
        <v>H8097</v>
      </c>
      <c r="I35" s="50" t="str">
        <f t="shared" ref="I35:I36" si="6">IF(H35="","FAIL","PASS")</f>
        <v>PASS</v>
      </c>
      <c r="J35" s="71"/>
      <c r="L35"/>
      <c r="M35"/>
      <c r="N35"/>
      <c r="O35"/>
    </row>
    <row r="36" spans="2:16">
      <c r="B36" s="289"/>
      <c r="C36" s="289"/>
      <c r="D36" s="289"/>
      <c r="F36" s="50" t="str">
        <f t="shared" si="5"/>
        <v>PASS</v>
      </c>
      <c r="G36" s="53" t="s">
        <v>1712</v>
      </c>
      <c r="H36" s="53" t="str">
        <f>DASH!H14</f>
        <v>AUSTINS FERRY</v>
      </c>
      <c r="I36" s="50" t="str">
        <f t="shared" si="6"/>
        <v>PASS</v>
      </c>
      <c r="J36" s="53"/>
      <c r="L36"/>
      <c r="M36"/>
      <c r="N36"/>
      <c r="O36"/>
    </row>
    <row r="37" spans="2:16">
      <c r="B37" s="289"/>
      <c r="C37" s="289"/>
      <c r="D37" s="289"/>
      <c r="F37" s="53"/>
      <c r="G37" s="53"/>
      <c r="H37" s="53"/>
      <c r="I37" s="53"/>
      <c r="J37" s="53"/>
      <c r="L37"/>
      <c r="M37"/>
      <c r="N37"/>
      <c r="O37"/>
    </row>
    <row r="38" spans="2:16">
      <c r="B38" s="289"/>
      <c r="C38" s="289"/>
      <c r="D38" s="289"/>
      <c r="F38" s="53"/>
      <c r="G38" s="53"/>
      <c r="H38" s="53"/>
      <c r="I38" s="53"/>
      <c r="J38" s="53"/>
      <c r="L38"/>
      <c r="M38"/>
      <c r="N38"/>
      <c r="O38"/>
    </row>
    <row r="39" spans="2:16">
      <c r="B39" s="289"/>
      <c r="C39" s="289"/>
      <c r="D39" s="289"/>
      <c r="G39"/>
      <c r="H39"/>
      <c r="I39"/>
      <c r="J39"/>
      <c r="K39"/>
      <c r="L39"/>
      <c r="M39"/>
      <c r="N39"/>
      <c r="P39"/>
    </row>
    <row r="40" spans="2:16">
      <c r="B40" s="289"/>
      <c r="C40" s="289"/>
      <c r="D40" s="289"/>
      <c r="G40"/>
      <c r="H40"/>
      <c r="I40"/>
      <c r="J40"/>
      <c r="K40"/>
      <c r="L40"/>
      <c r="M40"/>
      <c r="N40"/>
      <c r="O40"/>
      <c r="P40"/>
    </row>
    <row r="41" spans="2:16">
      <c r="B41" s="289"/>
      <c r="C41" s="289"/>
      <c r="D41" s="289"/>
      <c r="G41"/>
      <c r="H41"/>
      <c r="I41"/>
      <c r="J41"/>
      <c r="K41"/>
      <c r="L41"/>
      <c r="M41"/>
      <c r="N41"/>
      <c r="O41"/>
      <c r="P41"/>
    </row>
    <row r="42" spans="2:16">
      <c r="B42" s="289"/>
      <c r="C42" s="289"/>
      <c r="D42" s="289"/>
      <c r="G42"/>
      <c r="H42"/>
      <c r="I42"/>
      <c r="J42"/>
      <c r="K42"/>
      <c r="L42"/>
      <c r="M42"/>
      <c r="N42"/>
      <c r="O42"/>
      <c r="P42"/>
    </row>
    <row r="43" spans="2:16">
      <c r="B43" s="289"/>
      <c r="C43" s="289"/>
      <c r="D43" s="289"/>
      <c r="G43"/>
      <c r="H43"/>
      <c r="I43"/>
      <c r="J43"/>
      <c r="K43"/>
      <c r="L43"/>
      <c r="M43"/>
      <c r="N43"/>
      <c r="O43"/>
      <c r="P43"/>
    </row>
    <row r="44" spans="2:16">
      <c r="B44" s="289"/>
      <c r="C44" s="289"/>
      <c r="D44" s="289"/>
      <c r="G44"/>
      <c r="H44"/>
      <c r="I44"/>
      <c r="J44"/>
      <c r="K44"/>
      <c r="L44"/>
      <c r="M44"/>
      <c r="N44"/>
      <c r="O44"/>
      <c r="P44"/>
    </row>
    <row r="45" spans="2:16">
      <c r="B45" s="289"/>
      <c r="C45" s="289"/>
      <c r="D45" s="289"/>
      <c r="G45"/>
      <c r="H45"/>
      <c r="I45"/>
      <c r="J45"/>
      <c r="K45"/>
      <c r="L45"/>
      <c r="M45"/>
      <c r="N45"/>
      <c r="O45"/>
      <c r="P45"/>
    </row>
    <row r="46" spans="2:16">
      <c r="B46" s="289"/>
      <c r="C46" s="289"/>
      <c r="D46" s="289"/>
      <c r="G46"/>
      <c r="H46"/>
      <c r="I46"/>
      <c r="J46"/>
      <c r="K46"/>
      <c r="L46"/>
      <c r="M46"/>
      <c r="N46"/>
      <c r="O46"/>
      <c r="P46"/>
    </row>
    <row r="47" spans="2:16">
      <c r="B47" s="289"/>
      <c r="C47" s="289"/>
      <c r="D47" s="289"/>
      <c r="G47"/>
      <c r="H47"/>
      <c r="I47"/>
      <c r="J47"/>
      <c r="K47"/>
      <c r="L47"/>
      <c r="M47"/>
      <c r="N47"/>
      <c r="O47"/>
      <c r="P47"/>
    </row>
    <row r="48" spans="2:16">
      <c r="B48" s="289"/>
      <c r="C48" s="289"/>
      <c r="D48" s="289"/>
      <c r="G48"/>
      <c r="H48"/>
      <c r="I48"/>
      <c r="J48"/>
      <c r="K48"/>
      <c r="L48"/>
      <c r="M48"/>
      <c r="N48"/>
      <c r="O48"/>
      <c r="P48"/>
    </row>
    <row r="49" spans="7:16">
      <c r="G49"/>
      <c r="H49"/>
      <c r="I49"/>
      <c r="J49"/>
      <c r="K49"/>
      <c r="L49"/>
      <c r="M49"/>
      <c r="N49"/>
      <c r="O49"/>
      <c r="P49"/>
    </row>
    <row r="50" spans="7:16">
      <c r="G50"/>
      <c r="H50"/>
      <c r="I50"/>
      <c r="J50"/>
      <c r="K50"/>
      <c r="L50"/>
      <c r="M50"/>
      <c r="N50"/>
      <c r="O50"/>
      <c r="P50"/>
    </row>
    <row r="51" spans="7:16">
      <c r="G51"/>
      <c r="H51"/>
      <c r="I51"/>
      <c r="J51"/>
      <c r="K51"/>
      <c r="L51"/>
      <c r="M51"/>
      <c r="N51"/>
      <c r="O51"/>
      <c r="P51"/>
    </row>
    <row r="52" spans="7:16">
      <c r="G52"/>
      <c r="H52"/>
      <c r="I52"/>
      <c r="J52"/>
      <c r="K52"/>
      <c r="L52"/>
      <c r="M52"/>
      <c r="N52"/>
      <c r="O52"/>
      <c r="P52"/>
    </row>
    <row r="53" spans="7:16">
      <c r="G53"/>
      <c r="H53"/>
      <c r="I53"/>
      <c r="J53"/>
      <c r="K53"/>
      <c r="L53"/>
      <c r="M53"/>
      <c r="N53"/>
      <c r="O53"/>
      <c r="P53"/>
    </row>
    <row r="54" spans="7:16">
      <c r="G54"/>
      <c r="H54"/>
      <c r="I54"/>
      <c r="J54"/>
      <c r="K54"/>
      <c r="L54"/>
      <c r="M54"/>
      <c r="N54"/>
      <c r="O54"/>
      <c r="P54"/>
    </row>
    <row r="55" spans="7:16">
      <c r="G55"/>
      <c r="H55"/>
      <c r="I55"/>
      <c r="J55"/>
      <c r="K55"/>
      <c r="L55"/>
      <c r="M55"/>
      <c r="N55"/>
      <c r="O55"/>
      <c r="P55"/>
    </row>
    <row r="56" spans="7:16">
      <c r="G56"/>
      <c r="H56"/>
      <c r="I56"/>
      <c r="J56"/>
      <c r="K56"/>
      <c r="L56"/>
      <c r="M56"/>
      <c r="N56"/>
      <c r="O56"/>
      <c r="P56"/>
    </row>
    <row r="57" spans="7:16">
      <c r="G57"/>
      <c r="H57"/>
      <c r="I57"/>
      <c r="J57"/>
      <c r="K57"/>
      <c r="L57"/>
      <c r="M57"/>
      <c r="N57"/>
      <c r="O57"/>
      <c r="P57"/>
    </row>
    <row r="58" spans="7:16">
      <c r="G58"/>
      <c r="H58"/>
      <c r="I58"/>
      <c r="J58"/>
      <c r="K58"/>
      <c r="L58"/>
      <c r="M58"/>
      <c r="N58"/>
      <c r="O58"/>
      <c r="P58"/>
    </row>
    <row r="59" spans="7:16">
      <c r="G59"/>
      <c r="H59"/>
      <c r="I59"/>
      <c r="J59"/>
      <c r="K59"/>
      <c r="L59"/>
      <c r="M59"/>
      <c r="N59"/>
      <c r="O59"/>
      <c r="P59"/>
    </row>
    <row r="60" spans="7:16">
      <c r="G60"/>
      <c r="H60"/>
      <c r="I60"/>
      <c r="J60"/>
      <c r="K60"/>
      <c r="L60"/>
      <c r="M60"/>
      <c r="N60"/>
      <c r="O60"/>
      <c r="P60"/>
    </row>
    <row r="61" spans="7:16">
      <c r="G61"/>
      <c r="H61"/>
      <c r="I61"/>
      <c r="J61"/>
      <c r="K61"/>
      <c r="L61"/>
      <c r="M61"/>
      <c r="N61"/>
      <c r="O61"/>
      <c r="P61"/>
    </row>
    <row r="62" spans="7:16">
      <c r="G62"/>
      <c r="H62"/>
      <c r="I62"/>
      <c r="J62"/>
      <c r="K62"/>
      <c r="L62"/>
      <c r="M62"/>
      <c r="N62"/>
      <c r="O62"/>
      <c r="P62"/>
    </row>
    <row r="63" spans="7:16">
      <c r="G63"/>
      <c r="H63"/>
      <c r="I63"/>
      <c r="J63"/>
      <c r="K63"/>
      <c r="L63"/>
      <c r="M63"/>
      <c r="N63"/>
      <c r="O63"/>
      <c r="P63"/>
    </row>
    <row r="64" spans="7:16">
      <c r="G64"/>
      <c r="H64"/>
      <c r="I64"/>
      <c r="J64"/>
      <c r="K64"/>
      <c r="L64"/>
      <c r="M64"/>
      <c r="N64"/>
      <c r="O64"/>
      <c r="P64"/>
    </row>
    <row r="65" spans="7:16">
      <c r="G65"/>
      <c r="H65"/>
      <c r="I65"/>
      <c r="J65"/>
      <c r="K65"/>
      <c r="L65"/>
      <c r="M65"/>
      <c r="N65"/>
      <c r="O65"/>
      <c r="P65"/>
    </row>
    <row r="66" spans="7:16">
      <c r="G66"/>
      <c r="H66"/>
      <c r="I66"/>
      <c r="J66"/>
      <c r="K66"/>
      <c r="L66"/>
      <c r="M66"/>
      <c r="N66"/>
      <c r="O66"/>
      <c r="P66"/>
    </row>
    <row r="67" spans="7:16">
      <c r="G67"/>
      <c r="H67"/>
      <c r="I67"/>
      <c r="J67"/>
      <c r="K67"/>
      <c r="L67"/>
      <c r="M67"/>
      <c r="N67"/>
      <c r="O67"/>
      <c r="P67"/>
    </row>
    <row r="68" spans="7:16">
      <c r="G68"/>
      <c r="H68"/>
      <c r="I68"/>
      <c r="J68"/>
      <c r="K68"/>
      <c r="L68"/>
      <c r="M68"/>
      <c r="N68"/>
      <c r="O68"/>
      <c r="P68"/>
    </row>
    <row r="69" spans="7:16">
      <c r="G69"/>
      <c r="H69"/>
      <c r="I69"/>
      <c r="J69"/>
      <c r="K69"/>
      <c r="L69"/>
      <c r="M69"/>
      <c r="N69"/>
      <c r="O69"/>
      <c r="P69"/>
    </row>
    <row r="70" spans="7:16">
      <c r="G70"/>
      <c r="H70"/>
      <c r="I70"/>
      <c r="J70"/>
      <c r="K70"/>
      <c r="L70"/>
      <c r="M70"/>
      <c r="N70"/>
      <c r="O70"/>
      <c r="P70"/>
    </row>
    <row r="71" spans="7:16">
      <c r="G71"/>
      <c r="H71"/>
      <c r="I71"/>
      <c r="J71"/>
      <c r="K71"/>
      <c r="L71"/>
      <c r="M71"/>
      <c r="N71"/>
      <c r="O71"/>
      <c r="P71"/>
    </row>
    <row r="72" spans="7:16">
      <c r="G72"/>
      <c r="H72"/>
      <c r="I72"/>
      <c r="J72"/>
      <c r="K72"/>
      <c r="L72"/>
      <c r="M72"/>
      <c r="N72"/>
      <c r="O72"/>
      <c r="P72"/>
    </row>
    <row r="73" spans="7:16">
      <c r="G73"/>
      <c r="H73"/>
      <c r="I73"/>
      <c r="J73"/>
      <c r="K73"/>
      <c r="L73"/>
      <c r="M73"/>
      <c r="N73"/>
      <c r="O73"/>
      <c r="P73"/>
    </row>
    <row r="74" spans="7:16">
      <c r="G74" s="39"/>
      <c r="H74" s="39"/>
      <c r="I74"/>
      <c r="J74"/>
      <c r="K74"/>
      <c r="L74"/>
      <c r="M74"/>
      <c r="N74"/>
      <c r="O74"/>
      <c r="P74"/>
    </row>
    <row r="75" spans="7:16">
      <c r="G75" s="39"/>
      <c r="H75" s="39"/>
      <c r="I75" s="39"/>
      <c r="J75"/>
      <c r="K75"/>
      <c r="L75"/>
      <c r="M75"/>
      <c r="N75"/>
      <c r="O75"/>
      <c r="P75"/>
    </row>
    <row r="76" spans="7:16">
      <c r="G76" s="39"/>
      <c r="H76" s="39"/>
      <c r="I76" s="39"/>
      <c r="J76"/>
      <c r="K76"/>
      <c r="L76"/>
      <c r="M76"/>
      <c r="N76"/>
      <c r="O76"/>
      <c r="P76"/>
    </row>
    <row r="77" spans="7:16">
      <c r="G77" s="39"/>
      <c r="H77" s="39"/>
      <c r="I77" s="39"/>
      <c r="J77"/>
      <c r="K77"/>
      <c r="L77"/>
      <c r="M77"/>
      <c r="N77"/>
      <c r="O77"/>
      <c r="P77"/>
    </row>
    <row r="78" spans="7:16">
      <c r="G78" s="39"/>
      <c r="H78" s="39"/>
      <c r="I78" s="39"/>
      <c r="J78"/>
      <c r="K78"/>
      <c r="L78"/>
      <c r="M78"/>
      <c r="N78"/>
      <c r="O78"/>
      <c r="P78"/>
    </row>
    <row r="79" spans="7:16">
      <c r="G79" s="39"/>
      <c r="H79" s="39"/>
      <c r="I79" s="39"/>
      <c r="J79"/>
      <c r="K79"/>
      <c r="L79"/>
    </row>
    <row r="80" spans="7:16">
      <c r="G80" s="39"/>
      <c r="H80" s="39"/>
      <c r="I80" s="39"/>
      <c r="J80"/>
      <c r="K80"/>
      <c r="L80"/>
    </row>
    <row r="81" spans="6:26">
      <c r="G81" s="39"/>
      <c r="H81" s="39"/>
      <c r="I81" s="39"/>
      <c r="J81"/>
      <c r="K81"/>
      <c r="L81"/>
      <c r="M81"/>
      <c r="N81"/>
      <c r="O81"/>
      <c r="P81"/>
    </row>
    <row r="82" spans="6:26">
      <c r="F82" s="90"/>
      <c r="I82" s="39"/>
      <c r="M82"/>
      <c r="N82"/>
      <c r="O82"/>
      <c r="P82"/>
    </row>
    <row r="83" spans="6:26">
      <c r="F83" s="90"/>
      <c r="M83"/>
      <c r="N83"/>
      <c r="O83"/>
      <c r="P83"/>
    </row>
    <row r="84" spans="6:26">
      <c r="G84" s="39"/>
      <c r="H84" s="39"/>
      <c r="J84"/>
      <c r="K84"/>
      <c r="L84"/>
      <c r="M84"/>
      <c r="N84"/>
      <c r="O84"/>
      <c r="P84"/>
    </row>
    <row r="85" spans="6:26">
      <c r="G85" s="39"/>
      <c r="H85" s="39"/>
      <c r="I85" s="39"/>
      <c r="J85"/>
      <c r="K85"/>
      <c r="L85"/>
      <c r="M85"/>
      <c r="N85"/>
      <c r="O85"/>
      <c r="P85"/>
    </row>
    <row r="86" spans="6:26">
      <c r="G86" s="39"/>
      <c r="H86" s="39"/>
      <c r="I86" s="39"/>
      <c r="J86"/>
      <c r="K86"/>
      <c r="L86"/>
      <c r="M86"/>
      <c r="N86"/>
      <c r="O86"/>
      <c r="P86"/>
    </row>
    <row r="87" spans="6:26">
      <c r="G87" s="39"/>
      <c r="H87" s="39"/>
      <c r="I87" s="39"/>
      <c r="J87"/>
      <c r="K87"/>
      <c r="L87"/>
      <c r="M87"/>
      <c r="N87"/>
      <c r="O87"/>
      <c r="P87"/>
    </row>
    <row r="88" spans="6:26">
      <c r="G88" s="39"/>
      <c r="H88" s="39"/>
      <c r="I88" s="39"/>
      <c r="J88"/>
      <c r="K88"/>
      <c r="L88"/>
      <c r="M88"/>
      <c r="N88"/>
      <c r="O88"/>
      <c r="P88"/>
    </row>
    <row r="89" spans="6:26">
      <c r="G89" s="39"/>
      <c r="H89" s="39"/>
      <c r="I89" s="39"/>
      <c r="J89"/>
      <c r="K89"/>
      <c r="L89"/>
      <c r="M89"/>
      <c r="N89"/>
      <c r="O89"/>
      <c r="P89"/>
    </row>
    <row r="90" spans="6:26">
      <c r="G90" s="39"/>
      <c r="H90" s="39"/>
      <c r="I90" s="39"/>
      <c r="J90"/>
      <c r="K90"/>
      <c r="L90"/>
      <c r="M90"/>
      <c r="N90"/>
      <c r="O90"/>
      <c r="P90"/>
    </row>
    <row r="91" spans="6:26">
      <c r="G91" s="39"/>
      <c r="H91" s="39"/>
      <c r="I91" s="39"/>
      <c r="J91"/>
      <c r="K91"/>
      <c r="L91"/>
      <c r="M91"/>
      <c r="N91"/>
      <c r="O91"/>
      <c r="P91"/>
    </row>
    <row r="92" spans="6:26">
      <c r="G92" s="39"/>
      <c r="H92" s="39"/>
      <c r="I92" s="39"/>
      <c r="J92"/>
      <c r="K92"/>
      <c r="L92"/>
      <c r="M92"/>
      <c r="N92"/>
      <c r="O92"/>
      <c r="P92"/>
    </row>
    <row r="93" spans="6:26">
      <c r="G93" s="39"/>
      <c r="H93" s="39"/>
      <c r="I93" s="39"/>
      <c r="J93"/>
      <c r="K93"/>
      <c r="L93"/>
      <c r="M93"/>
      <c r="N93"/>
      <c r="O93"/>
      <c r="P93"/>
    </row>
    <row r="94" spans="6:26">
      <c r="G94" s="39"/>
      <c r="H94" s="39"/>
      <c r="I94" s="39"/>
      <c r="J94"/>
      <c r="K94"/>
      <c r="L94"/>
      <c r="M94"/>
      <c r="N94"/>
      <c r="O94"/>
      <c r="P94"/>
    </row>
    <row r="95" spans="6:26">
      <c r="G95" s="39"/>
      <c r="H95" s="39"/>
      <c r="I95" s="39"/>
      <c r="J95"/>
      <c r="K95"/>
      <c r="L95"/>
      <c r="M95"/>
      <c r="N95"/>
      <c r="O95"/>
      <c r="P95"/>
    </row>
    <row r="96" spans="6:26">
      <c r="G96" s="39"/>
      <c r="H96" s="39"/>
      <c r="I96" s="39"/>
      <c r="J96"/>
      <c r="K96"/>
      <c r="L96"/>
      <c r="M96"/>
      <c r="N96"/>
      <c r="O96"/>
      <c r="P96"/>
    </row>
    <row r="97" spans="7:16">
      <c r="G97" s="39"/>
      <c r="H97" s="39"/>
      <c r="I97" s="39"/>
      <c r="J97"/>
      <c r="K97"/>
      <c r="L97"/>
      <c r="M97"/>
      <c r="N97"/>
      <c r="O97"/>
      <c r="P97"/>
    </row>
    <row r="98" spans="7:16">
      <c r="G98" s="39"/>
      <c r="H98" s="39"/>
      <c r="I98" s="39"/>
      <c r="J98"/>
      <c r="K98"/>
      <c r="L98"/>
      <c r="M98"/>
      <c r="N98"/>
      <c r="O98"/>
      <c r="P98"/>
    </row>
    <row r="99" spans="7:16">
      <c r="G99" s="39"/>
      <c r="H99" s="39"/>
      <c r="I99" s="39"/>
      <c r="J99"/>
      <c r="K99"/>
      <c r="L99"/>
      <c r="M99"/>
      <c r="N99"/>
      <c r="O99"/>
      <c r="P99"/>
    </row>
    <row r="100" spans="7:16">
      <c r="G100" s="39"/>
      <c r="H100" s="39"/>
      <c r="I100" s="39"/>
      <c r="J100"/>
      <c r="K100"/>
      <c r="L100"/>
      <c r="M100"/>
      <c r="N100"/>
      <c r="O100"/>
      <c r="P100"/>
    </row>
    <row r="101" spans="7:16">
      <c r="G101" s="39"/>
      <c r="H101" s="39"/>
      <c r="I101" s="39"/>
      <c r="J101"/>
      <c r="K101"/>
      <c r="L101"/>
      <c r="M101"/>
      <c r="N101"/>
      <c r="O101"/>
      <c r="P101"/>
    </row>
    <row r="102" spans="7:16">
      <c r="G102" s="39"/>
      <c r="H102" s="39"/>
      <c r="I102" s="39"/>
      <c r="J102"/>
      <c r="K102"/>
      <c r="L102"/>
      <c r="M102"/>
      <c r="N102"/>
      <c r="O102"/>
      <c r="P102"/>
    </row>
    <row r="103" spans="7:16">
      <c r="G103" s="39"/>
      <c r="H103" s="39"/>
      <c r="I103" s="39"/>
      <c r="J103"/>
      <c r="K103"/>
      <c r="L103"/>
      <c r="M103"/>
      <c r="N103"/>
      <c r="O103"/>
      <c r="P103"/>
    </row>
    <row r="104" spans="7:16">
      <c r="G104" s="39"/>
      <c r="H104" s="39"/>
      <c r="I104" s="39"/>
      <c r="J104"/>
      <c r="K104"/>
      <c r="L104"/>
      <c r="M104"/>
      <c r="N104"/>
      <c r="O104"/>
      <c r="P104"/>
    </row>
    <row r="105" spans="7:16">
      <c r="G105" s="39"/>
      <c r="H105" s="39"/>
      <c r="I105" s="39"/>
      <c r="J105"/>
      <c r="K105"/>
      <c r="L105"/>
      <c r="M105"/>
      <c r="N105"/>
      <c r="O105"/>
      <c r="P105"/>
    </row>
    <row r="106" spans="7:16">
      <c r="G106" s="39"/>
      <c r="H106" s="39"/>
      <c r="I106" s="39"/>
      <c r="J106"/>
      <c r="K106"/>
      <c r="L106"/>
      <c r="M106"/>
      <c r="N106"/>
      <c r="O106"/>
      <c r="P106"/>
    </row>
    <row r="107" spans="7:16">
      <c r="G107" s="39"/>
      <c r="H107" s="39"/>
      <c r="I107" s="39"/>
      <c r="J107"/>
      <c r="K107"/>
      <c r="L107"/>
      <c r="M107"/>
      <c r="N107"/>
      <c r="O107"/>
      <c r="P107"/>
    </row>
    <row r="108" spans="7:16">
      <c r="G108" s="39"/>
      <c r="H108" s="39"/>
      <c r="I108" s="39"/>
      <c r="J108"/>
      <c r="K108"/>
      <c r="L108"/>
      <c r="M108"/>
      <c r="N108"/>
      <c r="O108"/>
      <c r="P108"/>
    </row>
    <row r="109" spans="7:16">
      <c r="G109" s="39"/>
      <c r="H109" s="39"/>
      <c r="I109" s="39"/>
      <c r="J109"/>
      <c r="K109"/>
      <c r="L109"/>
      <c r="M109"/>
      <c r="N109"/>
      <c r="O109"/>
      <c r="P109"/>
    </row>
    <row r="110" spans="7:16">
      <c r="G110" s="39"/>
      <c r="H110" s="39"/>
      <c r="I110" s="39"/>
      <c r="J110"/>
      <c r="K110"/>
      <c r="L110"/>
      <c r="M110"/>
      <c r="N110"/>
      <c r="O110"/>
      <c r="P110"/>
    </row>
    <row r="111" spans="7:16">
      <c r="G111" s="39"/>
      <c r="H111" s="39"/>
      <c r="I111" s="39"/>
      <c r="J111"/>
      <c r="K111"/>
      <c r="L111"/>
      <c r="M111"/>
      <c r="N111"/>
      <c r="O111"/>
      <c r="P111"/>
    </row>
    <row r="112" spans="7:16">
      <c r="G112" s="39"/>
      <c r="H112" s="39"/>
      <c r="I112" s="39"/>
      <c r="J112"/>
      <c r="K112"/>
      <c r="L112"/>
      <c r="M112"/>
      <c r="N112"/>
      <c r="O112"/>
      <c r="P112"/>
    </row>
    <row r="113" spans="7:16">
      <c r="G113" s="39"/>
      <c r="H113" s="39"/>
      <c r="I113" s="39"/>
      <c r="J113"/>
      <c r="K113"/>
      <c r="L113"/>
      <c r="M113"/>
      <c r="N113"/>
      <c r="O113"/>
      <c r="P113"/>
    </row>
    <row r="114" spans="7:16">
      <c r="G114" s="39"/>
      <c r="H114" s="39"/>
      <c r="I114" s="39"/>
      <c r="J114"/>
      <c r="K114"/>
      <c r="L114"/>
      <c r="M114"/>
      <c r="N114"/>
      <c r="O114"/>
      <c r="P114"/>
    </row>
    <row r="115" spans="7:16">
      <c r="G115" s="39"/>
      <c r="H115" s="39"/>
      <c r="I115" s="39"/>
      <c r="J115"/>
      <c r="K115"/>
      <c r="L115"/>
      <c r="M115"/>
      <c r="N115"/>
      <c r="O115"/>
      <c r="P115"/>
    </row>
    <row r="116" spans="7:16">
      <c r="G116" s="39"/>
      <c r="H116" s="39"/>
      <c r="I116" s="39"/>
      <c r="J116"/>
      <c r="K116"/>
      <c r="L116"/>
      <c r="M116"/>
      <c r="N116"/>
      <c r="O116"/>
      <c r="P116"/>
    </row>
    <row r="117" spans="7:16">
      <c r="G117" s="39"/>
      <c r="H117" s="39"/>
      <c r="I117" s="39"/>
      <c r="J117"/>
      <c r="K117"/>
      <c r="L117"/>
      <c r="M117"/>
      <c r="N117"/>
      <c r="O117"/>
      <c r="P117"/>
    </row>
    <row r="118" spans="7:16">
      <c r="G118" s="39"/>
      <c r="H118" s="39"/>
      <c r="I118" s="39"/>
      <c r="J118"/>
      <c r="K118"/>
      <c r="L118"/>
      <c r="M118"/>
      <c r="N118"/>
      <c r="O118"/>
      <c r="P118"/>
    </row>
    <row r="119" spans="7:16">
      <c r="G119" s="39"/>
      <c r="H119" s="39"/>
      <c r="I119" s="39"/>
      <c r="J119"/>
      <c r="K119"/>
      <c r="L119"/>
      <c r="M119"/>
      <c r="N119"/>
      <c r="O119"/>
      <c r="P119"/>
    </row>
    <row r="120" spans="7:16">
      <c r="G120" s="39"/>
      <c r="H120" s="39"/>
      <c r="I120" s="39"/>
      <c r="J120"/>
      <c r="K120"/>
      <c r="L120"/>
      <c r="M120"/>
      <c r="N120"/>
      <c r="O120"/>
      <c r="P120"/>
    </row>
    <row r="121" spans="7:16">
      <c r="G121" s="39"/>
      <c r="H121" s="39"/>
      <c r="I121" s="39"/>
      <c r="J121"/>
      <c r="K121"/>
      <c r="L121"/>
      <c r="M121"/>
      <c r="N121"/>
      <c r="O121"/>
      <c r="P121"/>
    </row>
    <row r="122" spans="7:16">
      <c r="G122" s="39"/>
      <c r="H122" s="39"/>
      <c r="I122" s="39"/>
      <c r="J122"/>
      <c r="K122"/>
      <c r="L122"/>
      <c r="M122"/>
      <c r="N122"/>
      <c r="O122"/>
      <c r="P122"/>
    </row>
    <row r="123" spans="7:16">
      <c r="G123" s="39"/>
      <c r="H123" s="39"/>
      <c r="I123" s="39"/>
      <c r="J123"/>
      <c r="K123"/>
      <c r="L123"/>
      <c r="M123"/>
      <c r="N123"/>
      <c r="O123"/>
      <c r="P123"/>
    </row>
    <row r="124" spans="7:16">
      <c r="G124" s="39"/>
      <c r="H124" s="39"/>
      <c r="I124" s="39"/>
      <c r="J124"/>
      <c r="K124"/>
      <c r="L124"/>
      <c r="M124"/>
      <c r="N124"/>
      <c r="O124"/>
      <c r="P124"/>
    </row>
    <row r="125" spans="7:16">
      <c r="G125" s="39"/>
      <c r="H125" s="39"/>
      <c r="I125" s="39"/>
      <c r="J125"/>
      <c r="K125"/>
      <c r="L125"/>
      <c r="M125"/>
      <c r="N125"/>
      <c r="O125"/>
      <c r="P125"/>
    </row>
    <row r="126" spans="7:16">
      <c r="G126" s="39"/>
      <c r="H126" s="39"/>
      <c r="I126" s="39"/>
      <c r="J126"/>
      <c r="K126"/>
      <c r="L126"/>
      <c r="M126"/>
      <c r="N126"/>
      <c r="O126"/>
      <c r="P126"/>
    </row>
    <row r="127" spans="7:16">
      <c r="G127" s="39"/>
      <c r="H127" s="39"/>
      <c r="I127" s="39"/>
      <c r="J127"/>
      <c r="K127"/>
      <c r="L127"/>
      <c r="M127"/>
      <c r="N127"/>
      <c r="O127"/>
      <c r="P127"/>
    </row>
    <row r="128" spans="7:16">
      <c r="G128" s="39"/>
      <c r="H128" s="39"/>
      <c r="I128" s="39"/>
      <c r="J128"/>
      <c r="K128"/>
      <c r="L128"/>
      <c r="M128"/>
      <c r="N128"/>
      <c r="O128"/>
      <c r="P128"/>
    </row>
    <row r="129" spans="7:16">
      <c r="G129" s="39"/>
      <c r="H129" s="39"/>
      <c r="I129" s="39"/>
      <c r="J129"/>
      <c r="K129"/>
      <c r="L129"/>
      <c r="M129"/>
      <c r="N129"/>
      <c r="O129"/>
      <c r="P129"/>
    </row>
    <row r="130" spans="7:16">
      <c r="G130" s="39"/>
      <c r="H130" s="39"/>
      <c r="I130" s="39"/>
      <c r="J130"/>
      <c r="K130"/>
      <c r="L130"/>
      <c r="M130"/>
      <c r="N130"/>
      <c r="O130"/>
      <c r="P130"/>
    </row>
    <row r="131" spans="7:16">
      <c r="G131" s="39"/>
      <c r="H131" s="39"/>
      <c r="I131" s="39"/>
      <c r="J131"/>
      <c r="K131"/>
      <c r="L131"/>
      <c r="M131"/>
      <c r="N131"/>
      <c r="O131"/>
      <c r="P131"/>
    </row>
    <row r="132" spans="7:16">
      <c r="G132" s="39"/>
      <c r="H132" s="39"/>
      <c r="I132" s="39"/>
      <c r="J132"/>
      <c r="K132"/>
      <c r="L132"/>
      <c r="M132"/>
      <c r="N132"/>
      <c r="O132"/>
      <c r="P132"/>
    </row>
    <row r="133" spans="7:16">
      <c r="G133" s="39"/>
      <c r="H133" s="39"/>
      <c r="I133" s="39"/>
      <c r="J133"/>
      <c r="K133"/>
      <c r="L133"/>
      <c r="M133"/>
      <c r="N133"/>
      <c r="O133"/>
      <c r="P133"/>
    </row>
    <row r="134" spans="7:16">
      <c r="G134" s="39"/>
      <c r="H134" s="39"/>
      <c r="I134" s="39"/>
      <c r="J134"/>
      <c r="K134"/>
      <c r="L134"/>
      <c r="M134"/>
      <c r="N134"/>
      <c r="O134"/>
      <c r="P134"/>
    </row>
    <row r="135" spans="7:16">
      <c r="G135" s="39"/>
      <c r="H135" s="39"/>
      <c r="I135" s="39"/>
      <c r="J135"/>
      <c r="K135"/>
      <c r="L135"/>
      <c r="M135"/>
      <c r="N135"/>
      <c r="O135"/>
      <c r="P135"/>
    </row>
    <row r="136" spans="7:16">
      <c r="G136" s="39"/>
      <c r="H136" s="39"/>
      <c r="I136" s="39"/>
      <c r="J136"/>
      <c r="K136"/>
      <c r="L136"/>
      <c r="M136"/>
      <c r="N136"/>
      <c r="O136"/>
      <c r="P136"/>
    </row>
    <row r="137" spans="7:16">
      <c r="G137" s="39"/>
      <c r="H137" s="39"/>
      <c r="I137" s="39"/>
      <c r="J137"/>
      <c r="K137"/>
      <c r="L137"/>
      <c r="M137"/>
      <c r="N137"/>
      <c r="O137"/>
      <c r="P137"/>
    </row>
    <row r="138" spans="7:16">
      <c r="G138" s="39"/>
      <c r="H138" s="39"/>
      <c r="I138" s="39"/>
      <c r="J138"/>
      <c r="K138"/>
      <c r="L138"/>
      <c r="M138"/>
      <c r="N138"/>
      <c r="O138"/>
      <c r="P138"/>
    </row>
    <row r="139" spans="7:16">
      <c r="G139" s="39"/>
      <c r="H139" s="39"/>
      <c r="I139" s="39"/>
      <c r="J139"/>
      <c r="K139"/>
      <c r="L139"/>
      <c r="M139"/>
      <c r="N139"/>
      <c r="O139"/>
      <c r="P139"/>
    </row>
    <row r="140" spans="7:16">
      <c r="G140" s="39"/>
      <c r="H140" s="39"/>
      <c r="I140" s="39"/>
      <c r="J140"/>
      <c r="K140"/>
      <c r="L140"/>
      <c r="M140"/>
      <c r="N140"/>
      <c r="O140"/>
      <c r="P140"/>
    </row>
    <row r="141" spans="7:16">
      <c r="G141" s="39"/>
      <c r="H141" s="39"/>
      <c r="I141" s="39"/>
      <c r="J141"/>
      <c r="K141"/>
      <c r="L141"/>
      <c r="M141"/>
      <c r="N141"/>
      <c r="O141"/>
      <c r="P141"/>
    </row>
    <row r="142" spans="7:16">
      <c r="G142" s="39"/>
      <c r="H142" s="39"/>
      <c r="I142" s="39"/>
      <c r="J142"/>
      <c r="K142"/>
      <c r="L142"/>
      <c r="M142"/>
      <c r="N142"/>
      <c r="O142"/>
      <c r="P142"/>
    </row>
    <row r="143" spans="7:16">
      <c r="G143" s="39"/>
      <c r="H143" s="39"/>
      <c r="I143" s="39"/>
      <c r="J143"/>
      <c r="K143"/>
      <c r="L143"/>
      <c r="M143"/>
      <c r="N143"/>
      <c r="O143"/>
      <c r="P143"/>
    </row>
    <row r="144" spans="7:16">
      <c r="G144" s="39"/>
      <c r="H144" s="39"/>
      <c r="I144" s="39"/>
      <c r="J144"/>
      <c r="K144"/>
      <c r="L144"/>
      <c r="M144"/>
      <c r="N144"/>
      <c r="O144"/>
      <c r="P144"/>
    </row>
    <row r="145" spans="7:16">
      <c r="G145" s="39"/>
      <c r="H145" s="39"/>
      <c r="I145" s="39"/>
      <c r="J145"/>
      <c r="K145"/>
      <c r="L145"/>
      <c r="M145"/>
      <c r="N145"/>
      <c r="O145"/>
      <c r="P145"/>
    </row>
    <row r="146" spans="7:16">
      <c r="G146" s="39"/>
      <c r="H146" s="39"/>
      <c r="I146" s="39"/>
      <c r="J146"/>
      <c r="K146"/>
      <c r="L146"/>
      <c r="M146"/>
      <c r="N146"/>
      <c r="O146"/>
      <c r="P146"/>
    </row>
    <row r="147" spans="7:16">
      <c r="G147" s="39"/>
      <c r="H147" s="39"/>
      <c r="I147" s="39"/>
      <c r="J147"/>
      <c r="K147"/>
      <c r="L147"/>
      <c r="M147"/>
      <c r="N147"/>
      <c r="O147"/>
      <c r="P147"/>
    </row>
    <row r="148" spans="7:16">
      <c r="G148" s="39"/>
      <c r="H148" s="39"/>
      <c r="I148" s="39"/>
      <c r="J148"/>
      <c r="K148"/>
      <c r="L148"/>
    </row>
    <row r="149" spans="7:16">
      <c r="G149" s="39"/>
      <c r="H149" s="39"/>
      <c r="I149" s="39"/>
      <c r="J149"/>
      <c r="K149"/>
      <c r="L149"/>
    </row>
    <row r="150" spans="7:16">
      <c r="G150" s="39"/>
      <c r="H150" s="39"/>
      <c r="I150" s="39"/>
      <c r="J150"/>
      <c r="K150"/>
      <c r="L150"/>
    </row>
    <row r="151" spans="7:16">
      <c r="I151" s="39"/>
    </row>
  </sheetData>
  <mergeCells count="24"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F2:N4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</mergeCells>
  <hyperlinks>
    <hyperlink ref="B10" location="'DASH'!A1" display="DASHBOARD" xr:uid="{6CD1F71A-13DC-4803-938D-D07C0149D7CF}"/>
    <hyperlink ref="B11" location="'DES-GL'!A1" display="DESIGN GUIDELINES" xr:uid="{0A216CBC-52C3-48B7-B32A-271A4E8AFC92}"/>
    <hyperlink ref="B13" location="'EXT-MAINS-DT'!A1" display="EXISTING POWER DESIGN" xr:uid="{770BDFAE-4979-4EC2-A85A-1EA6EAEF62FB}"/>
    <hyperlink ref="B14" location="'EXT-CALC'!A1" display="EXISTING DEMAND" xr:uid="{0540D3C5-720F-42E0-AD76-29B4EF39F296}"/>
    <hyperlink ref="B16" location="'CALC'!A1" display="POWER CALCULATOR" xr:uid="{BE570BFF-ABCB-4158-BF30-7FACED5E9E13}"/>
    <hyperlink ref="B17" location="'PLBC-CALC'!A1" display="PLBC CALCULATOR" xr:uid="{7E4CB6A1-A530-41EA-B338-48F6A29EA253}"/>
    <hyperlink ref="B18" location="'VDC'!A1" display="VD CALCULATOR" xr:uid="{793070FB-08F9-414E-8CA8-7822D20EEC3A}"/>
    <hyperlink ref="B20" location="'PRP-SOL'!A1" display="PROPOSED POWER DESIGN" xr:uid="{3404F065-542C-4D52-8B87-8F7358A40F53}"/>
    <hyperlink ref="B25" location="'DC'!A1" display="DOCUMENT CONTROL" xr:uid="{A4D8E3B5-69AF-4380-BAD0-DFF7DEAADDE7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94765-AD70-49C3-B9F5-7C02F0BF5071}">
  <sheetPr codeName="Sheet38"/>
  <dimension ref="B1:Z151"/>
  <sheetViews>
    <sheetView showGridLines="0" topLeftCell="D2" zoomScaleNormal="100" workbookViewId="0">
      <selection activeCell="G46" sqref="G46:P46"/>
    </sheetView>
  </sheetViews>
  <sheetFormatPr defaultRowHeight="14.45"/>
  <cols>
    <col min="1" max="1" width="0" hidden="1" customWidth="1"/>
    <col min="2" max="4" width="9.140625" style="1"/>
    <col min="6" max="6" width="14.42578125" customWidth="1"/>
    <col min="7" max="7" width="16.7109375" style="107" customWidth="1"/>
    <col min="8" max="9" width="15.28515625" style="107" customWidth="1"/>
    <col min="10" max="10" width="15.28515625" style="94" customWidth="1"/>
    <col min="11" max="11" width="10.28515625" style="94" customWidth="1"/>
    <col min="12" max="12" width="23.28515625" style="94" customWidth="1"/>
    <col min="13" max="14" width="15.28515625" style="94" customWidth="1"/>
    <col min="15" max="15" width="17.28515625" style="94" customWidth="1"/>
    <col min="16" max="16" width="15.28515625" style="94" customWidth="1"/>
    <col min="17" max="20" width="9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6" ht="15" hidden="1" customHeight="1"/>
    <row r="2" spans="2:16" ht="15" customHeight="1">
      <c r="F2" s="287" t="s">
        <v>587</v>
      </c>
      <c r="G2" s="287"/>
      <c r="H2" s="287"/>
      <c r="I2" s="287"/>
      <c r="J2" s="287"/>
      <c r="K2" s="287"/>
      <c r="L2" s="287"/>
      <c r="M2" s="287"/>
      <c r="N2" s="287"/>
    </row>
    <row r="3" spans="2:16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6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6">
      <c r="F5" t="s">
        <v>584</v>
      </c>
    </row>
    <row r="7" spans="2:16">
      <c r="C7" s="2" t="s">
        <v>152</v>
      </c>
      <c r="D7" s="12">
        <f>DCVer</f>
        <v>12.7</v>
      </c>
    </row>
    <row r="8" spans="2:16" ht="15" customHeight="1">
      <c r="G8"/>
      <c r="H8"/>
      <c r="I8"/>
      <c r="J8"/>
      <c r="K8"/>
      <c r="L8" s="125"/>
      <c r="M8"/>
      <c r="N8"/>
      <c r="O8"/>
      <c r="P8"/>
    </row>
    <row r="9" spans="2:16">
      <c r="B9" s="18"/>
      <c r="C9" s="18"/>
      <c r="D9" s="18"/>
      <c r="F9" s="50" t="s">
        <v>1713</v>
      </c>
      <c r="G9" s="50"/>
      <c r="H9" s="50"/>
      <c r="I9" s="50"/>
      <c r="J9" s="50"/>
      <c r="L9"/>
      <c r="M9"/>
    </row>
    <row r="10" spans="2:16" ht="15" customHeight="1">
      <c r="B10" s="18" t="s">
        <v>151</v>
      </c>
      <c r="C10" s="18"/>
      <c r="D10" s="18"/>
      <c r="F10" s="236">
        <f>CALC!T112</f>
        <v>0</v>
      </c>
      <c r="G10" s="71"/>
      <c r="H10" s="71"/>
      <c r="I10" s="50"/>
      <c r="J10" s="50"/>
      <c r="L10"/>
      <c r="M10"/>
    </row>
    <row r="11" spans="2:16">
      <c r="B11" s="18" t="s">
        <v>155</v>
      </c>
      <c r="C11" s="18"/>
      <c r="D11" s="18"/>
      <c r="F11" s="236">
        <f>CALC!T113</f>
        <v>0</v>
      </c>
      <c r="G11" s="71"/>
      <c r="H11" s="71"/>
      <c r="I11" s="50"/>
      <c r="J11" s="50"/>
      <c r="L11"/>
      <c r="M11"/>
    </row>
    <row r="12" spans="2:16">
      <c r="B12" s="18"/>
      <c r="C12" s="18"/>
      <c r="D12" s="18"/>
      <c r="F12" s="236">
        <f>CALC!T114</f>
        <v>0</v>
      </c>
      <c r="G12" s="191"/>
      <c r="H12" s="71"/>
      <c r="I12" s="50"/>
      <c r="J12" s="50"/>
      <c r="L12"/>
      <c r="M12"/>
    </row>
    <row r="13" spans="2:16">
      <c r="B13" s="18" t="s">
        <v>159</v>
      </c>
      <c r="C13" s="18"/>
      <c r="D13" s="18"/>
      <c r="F13" s="236">
        <f>CALC!T115</f>
        <v>0</v>
      </c>
      <c r="G13" s="191"/>
      <c r="H13" s="71"/>
      <c r="I13" s="50"/>
      <c r="J13" s="50"/>
      <c r="L13"/>
      <c r="M13"/>
    </row>
    <row r="14" spans="2:16">
      <c r="B14" s="18" t="s">
        <v>162</v>
      </c>
      <c r="C14" s="18"/>
      <c r="D14" s="18"/>
      <c r="F14" s="236">
        <f>CALC!R112</f>
        <v>0</v>
      </c>
      <c r="G14" s="191"/>
      <c r="H14" s="71"/>
      <c r="I14" s="50"/>
      <c r="J14" s="50"/>
      <c r="L14"/>
      <c r="M14"/>
    </row>
    <row r="15" spans="2:16" ht="15" customHeight="1">
      <c r="B15" s="18"/>
      <c r="C15" s="18"/>
      <c r="D15" s="18"/>
      <c r="F15" s="236">
        <f>CALC!R113</f>
        <v>0</v>
      </c>
      <c r="G15" s="191"/>
      <c r="H15" s="71"/>
      <c r="I15" s="50"/>
      <c r="J15" s="50"/>
      <c r="L15"/>
      <c r="M15"/>
    </row>
    <row r="16" spans="2:16">
      <c r="B16" s="18" t="s">
        <v>167</v>
      </c>
      <c r="C16" s="18"/>
      <c r="D16" s="18"/>
      <c r="F16" s="236">
        <f>CALC!R114</f>
        <v>0</v>
      </c>
      <c r="G16" s="191"/>
      <c r="H16" s="71"/>
      <c r="I16" s="50"/>
      <c r="J16" s="50"/>
      <c r="L16"/>
      <c r="M16"/>
    </row>
    <row r="17" spans="2:13">
      <c r="B17" s="18" t="s">
        <v>170</v>
      </c>
      <c r="C17" s="18"/>
      <c r="D17" s="18"/>
      <c r="F17" s="236">
        <f>CALC!R115</f>
        <v>0</v>
      </c>
      <c r="G17" s="191"/>
      <c r="H17" s="71"/>
      <c r="I17" s="50"/>
      <c r="J17" s="50"/>
      <c r="L17"/>
      <c r="M17"/>
    </row>
    <row r="18" spans="2:13">
      <c r="B18" s="18" t="s">
        <v>173</v>
      </c>
      <c r="C18" s="18"/>
      <c r="D18" s="18"/>
      <c r="F18" s="50"/>
      <c r="G18" s="71"/>
      <c r="H18" s="71"/>
      <c r="I18" s="50"/>
      <c r="J18" s="50"/>
      <c r="L18"/>
      <c r="M18"/>
    </row>
    <row r="19" spans="2:13">
      <c r="B19" s="18"/>
      <c r="C19" s="18"/>
      <c r="D19" s="18"/>
      <c r="F19" s="50"/>
      <c r="G19" s="71"/>
      <c r="H19" s="71"/>
      <c r="I19" s="50"/>
      <c r="J19" s="50"/>
      <c r="L19"/>
      <c r="M19"/>
    </row>
    <row r="20" spans="2:13" ht="15" customHeight="1">
      <c r="B20" s="18" t="s">
        <v>176</v>
      </c>
      <c r="C20" s="18"/>
      <c r="D20" s="18"/>
      <c r="F20" s="50"/>
      <c r="G20" s="71"/>
      <c r="H20" s="71"/>
      <c r="I20" s="50"/>
      <c r="J20" s="50"/>
      <c r="L20"/>
      <c r="M20"/>
    </row>
    <row r="21" spans="2:13">
      <c r="B21" s="18"/>
      <c r="C21" s="18"/>
      <c r="D21" s="18"/>
      <c r="F21" s="50"/>
      <c r="G21" s="71"/>
      <c r="H21" s="71"/>
      <c r="I21" s="50"/>
      <c r="J21" s="50"/>
      <c r="L21"/>
      <c r="M21"/>
    </row>
    <row r="22" spans="2:13">
      <c r="B22" s="18"/>
      <c r="C22" s="18"/>
      <c r="D22" s="18"/>
      <c r="F22" s="50"/>
      <c r="G22" s="71"/>
      <c r="H22" s="71"/>
      <c r="I22" s="50"/>
      <c r="J22" s="50"/>
      <c r="L22"/>
      <c r="M22"/>
    </row>
    <row r="23" spans="2:13">
      <c r="B23" s="18"/>
      <c r="C23" s="18"/>
      <c r="D23" s="18"/>
      <c r="F23" s="50"/>
      <c r="G23" s="71"/>
      <c r="H23" s="71"/>
      <c r="I23" s="50"/>
      <c r="J23" s="50"/>
      <c r="L23"/>
      <c r="M23"/>
    </row>
    <row r="24" spans="2:13">
      <c r="B24" s="18"/>
      <c r="C24" s="18"/>
      <c r="D24" s="18"/>
      <c r="F24" s="50"/>
      <c r="G24" s="71"/>
      <c r="H24" s="71"/>
      <c r="I24" s="50"/>
      <c r="J24" s="50"/>
      <c r="L24"/>
      <c r="M24"/>
    </row>
    <row r="25" spans="2:13">
      <c r="B25" s="18" t="s">
        <v>182</v>
      </c>
      <c r="C25" s="18"/>
      <c r="D25" s="18"/>
      <c r="F25" s="50"/>
      <c r="G25" s="71"/>
      <c r="H25" s="71"/>
      <c r="I25" s="50"/>
      <c r="J25" s="50"/>
      <c r="L25"/>
      <c r="M25"/>
    </row>
    <row r="26" spans="2:13" ht="15" customHeight="1">
      <c r="B26" s="285"/>
      <c r="C26" s="285"/>
      <c r="D26" s="285"/>
      <c r="F26" s="50"/>
      <c r="G26" s="191"/>
      <c r="H26" s="71"/>
      <c r="I26" s="50"/>
      <c r="J26" s="50"/>
      <c r="L26"/>
      <c r="M26"/>
    </row>
    <row r="27" spans="2:13" ht="15" customHeight="1">
      <c r="B27" s="285"/>
      <c r="C27" s="285"/>
      <c r="D27" s="285"/>
      <c r="F27" s="50"/>
      <c r="G27" s="191"/>
      <c r="H27" s="71"/>
      <c r="I27" s="50"/>
      <c r="J27" s="50"/>
      <c r="L27"/>
      <c r="M27"/>
    </row>
    <row r="28" spans="2:13" ht="15" customHeight="1">
      <c r="B28" s="293"/>
      <c r="C28" s="293"/>
      <c r="D28" s="293"/>
      <c r="F28" s="50"/>
      <c r="G28" s="191"/>
      <c r="H28" s="71"/>
      <c r="I28" s="50"/>
      <c r="J28" s="50"/>
      <c r="L28"/>
      <c r="M28"/>
    </row>
    <row r="29" spans="2:13" ht="15" customHeight="1">
      <c r="B29" s="293"/>
      <c r="C29" s="293"/>
      <c r="D29" s="293"/>
      <c r="F29" s="50"/>
      <c r="G29" s="191"/>
      <c r="H29" s="71"/>
      <c r="I29" s="50"/>
      <c r="J29" s="50"/>
      <c r="L29"/>
      <c r="M29"/>
    </row>
    <row r="30" spans="2:13">
      <c r="B30" s="293"/>
      <c r="C30" s="293"/>
      <c r="D30" s="293"/>
      <c r="F30" s="50"/>
      <c r="G30" s="191"/>
      <c r="H30" s="71"/>
      <c r="I30" s="50"/>
      <c r="J30" s="50"/>
      <c r="L30"/>
      <c r="M30"/>
    </row>
    <row r="31" spans="2:13">
      <c r="B31" s="293"/>
      <c r="C31" s="293"/>
      <c r="D31" s="293"/>
      <c r="F31" s="50"/>
      <c r="G31" s="191"/>
      <c r="H31" s="71"/>
      <c r="I31" s="50"/>
      <c r="J31" s="50"/>
      <c r="L31"/>
      <c r="M31"/>
    </row>
    <row r="32" spans="2:13">
      <c r="B32" s="289"/>
      <c r="C32" s="289"/>
      <c r="D32" s="289"/>
      <c r="F32" s="50"/>
      <c r="G32" s="191"/>
      <c r="H32" s="71"/>
      <c r="I32" s="50"/>
      <c r="J32" s="50"/>
      <c r="L32"/>
      <c r="M32"/>
    </row>
    <row r="33" spans="2:16">
      <c r="B33" s="289"/>
      <c r="C33" s="289"/>
      <c r="D33" s="289"/>
      <c r="F33" s="50"/>
      <c r="G33" s="191"/>
      <c r="H33" s="71"/>
      <c r="I33" s="50"/>
      <c r="J33" s="50"/>
      <c r="L33"/>
      <c r="M33"/>
    </row>
    <row r="34" spans="2:16">
      <c r="B34" s="289"/>
      <c r="C34" s="289"/>
      <c r="D34" s="289"/>
      <c r="F34" s="50"/>
      <c r="G34" s="191"/>
      <c r="H34" s="71"/>
      <c r="I34" s="50"/>
      <c r="J34" s="50"/>
      <c r="L34"/>
      <c r="M34"/>
      <c r="N34"/>
      <c r="O34"/>
    </row>
    <row r="35" spans="2:16">
      <c r="B35" s="289"/>
      <c r="C35" s="289"/>
      <c r="D35" s="289"/>
      <c r="F35" s="50"/>
      <c r="G35" s="71"/>
      <c r="H35" s="71"/>
      <c r="I35" s="50"/>
      <c r="J35" s="71"/>
      <c r="L35"/>
      <c r="M35"/>
      <c r="N35"/>
      <c r="O35"/>
    </row>
    <row r="36" spans="2:16">
      <c r="B36" s="289"/>
      <c r="C36" s="289"/>
      <c r="D36" s="289"/>
      <c r="F36" s="50"/>
      <c r="G36" s="53"/>
      <c r="H36" s="53"/>
      <c r="I36" s="50"/>
      <c r="J36" s="53"/>
      <c r="L36"/>
      <c r="M36"/>
      <c r="N36"/>
      <c r="O36"/>
    </row>
    <row r="37" spans="2:16">
      <c r="B37" s="289"/>
      <c r="C37" s="289"/>
      <c r="D37" s="289"/>
      <c r="F37" s="53"/>
      <c r="G37" s="53"/>
      <c r="H37" s="53"/>
      <c r="I37" s="53"/>
      <c r="J37" s="53"/>
      <c r="L37"/>
      <c r="M37"/>
      <c r="N37"/>
      <c r="O37"/>
    </row>
    <row r="38" spans="2:16">
      <c r="B38" s="289"/>
      <c r="C38" s="289"/>
      <c r="D38" s="289"/>
      <c r="F38" s="53"/>
      <c r="G38" s="53"/>
      <c r="H38" s="53"/>
      <c r="I38" s="53"/>
      <c r="J38" s="53"/>
      <c r="L38"/>
      <c r="M38"/>
      <c r="N38"/>
      <c r="O38"/>
    </row>
    <row r="39" spans="2:16">
      <c r="B39" s="289"/>
      <c r="C39" s="289"/>
      <c r="D39" s="289"/>
      <c r="G39"/>
      <c r="H39"/>
      <c r="I39"/>
      <c r="J39"/>
      <c r="K39"/>
      <c r="L39"/>
      <c r="M39"/>
      <c r="N39"/>
      <c r="P39"/>
    </row>
    <row r="40" spans="2:16">
      <c r="B40" s="289"/>
      <c r="C40" s="289"/>
      <c r="D40" s="289"/>
      <c r="G40"/>
      <c r="H40"/>
      <c r="I40"/>
      <c r="J40"/>
      <c r="K40"/>
      <c r="L40"/>
      <c r="M40"/>
      <c r="N40"/>
      <c r="O40"/>
      <c r="P40"/>
    </row>
    <row r="41" spans="2:16">
      <c r="B41" s="289"/>
      <c r="C41" s="289"/>
      <c r="D41" s="289"/>
      <c r="G41"/>
      <c r="H41"/>
      <c r="I41"/>
      <c r="J41"/>
      <c r="K41"/>
      <c r="L41"/>
      <c r="M41"/>
      <c r="N41"/>
      <c r="O41"/>
      <c r="P41"/>
    </row>
    <row r="42" spans="2:16">
      <c r="B42" s="289"/>
      <c r="C42" s="289"/>
      <c r="D42" s="289"/>
      <c r="G42"/>
      <c r="H42"/>
      <c r="I42"/>
      <c r="J42"/>
      <c r="K42"/>
      <c r="L42"/>
      <c r="M42"/>
      <c r="N42"/>
      <c r="O42"/>
      <c r="P42"/>
    </row>
    <row r="43" spans="2:16">
      <c r="B43" s="289"/>
      <c r="C43" s="289"/>
      <c r="D43" s="289"/>
      <c r="G43"/>
      <c r="H43"/>
      <c r="I43"/>
      <c r="J43"/>
      <c r="K43"/>
      <c r="L43"/>
      <c r="M43"/>
      <c r="N43"/>
      <c r="O43"/>
      <c r="P43"/>
    </row>
    <row r="44" spans="2:16">
      <c r="B44" s="289"/>
      <c r="C44" s="289"/>
      <c r="D44" s="289"/>
      <c r="G44"/>
      <c r="H44"/>
      <c r="I44"/>
      <c r="J44"/>
      <c r="K44"/>
      <c r="L44"/>
      <c r="M44"/>
      <c r="N44"/>
      <c r="O44"/>
      <c r="P44"/>
    </row>
    <row r="45" spans="2:16">
      <c r="B45" s="289"/>
      <c r="C45" s="289"/>
      <c r="D45" s="289"/>
      <c r="G45"/>
      <c r="H45"/>
      <c r="I45"/>
      <c r="J45"/>
      <c r="K45"/>
      <c r="L45"/>
      <c r="M45"/>
      <c r="N45"/>
      <c r="O45"/>
      <c r="P45"/>
    </row>
    <row r="46" spans="2:16">
      <c r="B46" s="289"/>
      <c r="C46" s="289"/>
      <c r="D46" s="289"/>
      <c r="G46"/>
      <c r="H46"/>
      <c r="I46"/>
      <c r="J46"/>
      <c r="K46"/>
      <c r="L46"/>
      <c r="M46"/>
      <c r="N46"/>
      <c r="O46"/>
      <c r="P46"/>
    </row>
    <row r="47" spans="2:16">
      <c r="B47" s="289"/>
      <c r="C47" s="289"/>
      <c r="D47" s="289"/>
      <c r="G47"/>
      <c r="H47"/>
      <c r="I47"/>
      <c r="J47"/>
      <c r="K47"/>
      <c r="L47"/>
      <c r="M47"/>
      <c r="N47"/>
      <c r="O47"/>
      <c r="P47"/>
    </row>
    <row r="48" spans="2:16">
      <c r="B48" s="289"/>
      <c r="C48" s="289"/>
      <c r="D48" s="289"/>
      <c r="G48"/>
      <c r="H48"/>
      <c r="I48"/>
      <c r="J48"/>
      <c r="K48"/>
      <c r="L48"/>
      <c r="M48"/>
      <c r="N48"/>
      <c r="O48"/>
      <c r="P48"/>
    </row>
    <row r="49" spans="7:16">
      <c r="G49"/>
      <c r="H49"/>
      <c r="I49"/>
      <c r="J49"/>
      <c r="K49"/>
      <c r="L49"/>
      <c r="M49"/>
      <c r="N49"/>
      <c r="O49"/>
      <c r="P49"/>
    </row>
    <row r="50" spans="7:16">
      <c r="G50"/>
      <c r="H50"/>
      <c r="I50"/>
      <c r="J50"/>
      <c r="K50"/>
      <c r="L50"/>
      <c r="M50"/>
      <c r="N50"/>
      <c r="O50"/>
      <c r="P50"/>
    </row>
    <row r="51" spans="7:16">
      <c r="G51"/>
      <c r="H51"/>
      <c r="I51"/>
      <c r="J51"/>
      <c r="K51"/>
      <c r="L51"/>
      <c r="M51"/>
      <c r="N51"/>
      <c r="O51"/>
      <c r="P51"/>
    </row>
    <row r="52" spans="7:16">
      <c r="G52"/>
      <c r="H52"/>
      <c r="I52"/>
      <c r="J52"/>
      <c r="K52"/>
      <c r="L52"/>
      <c r="M52"/>
      <c r="N52"/>
      <c r="O52"/>
      <c r="P52"/>
    </row>
    <row r="53" spans="7:16">
      <c r="G53"/>
      <c r="H53"/>
      <c r="I53"/>
      <c r="J53"/>
      <c r="K53"/>
      <c r="L53"/>
      <c r="M53"/>
      <c r="N53"/>
      <c r="O53"/>
      <c r="P53"/>
    </row>
    <row r="54" spans="7:16">
      <c r="G54"/>
      <c r="H54"/>
      <c r="I54"/>
      <c r="J54"/>
      <c r="K54"/>
      <c r="L54"/>
      <c r="M54"/>
      <c r="N54"/>
      <c r="O54"/>
      <c r="P54"/>
    </row>
    <row r="55" spans="7:16">
      <c r="G55"/>
      <c r="H55"/>
      <c r="I55"/>
      <c r="J55"/>
      <c r="K55"/>
      <c r="L55"/>
      <c r="M55"/>
      <c r="N55"/>
      <c r="O55"/>
      <c r="P55"/>
    </row>
    <row r="56" spans="7:16">
      <c r="G56"/>
      <c r="H56"/>
      <c r="I56"/>
      <c r="J56"/>
      <c r="K56"/>
      <c r="L56"/>
      <c r="M56"/>
      <c r="N56"/>
      <c r="O56"/>
      <c r="P56"/>
    </row>
    <row r="57" spans="7:16">
      <c r="G57"/>
      <c r="H57"/>
      <c r="I57"/>
      <c r="J57"/>
      <c r="K57"/>
      <c r="L57"/>
      <c r="M57"/>
      <c r="N57"/>
      <c r="O57"/>
      <c r="P57"/>
    </row>
    <row r="58" spans="7:16">
      <c r="G58"/>
      <c r="H58"/>
      <c r="I58"/>
      <c r="J58"/>
      <c r="K58"/>
      <c r="L58"/>
      <c r="M58"/>
      <c r="N58"/>
      <c r="O58"/>
      <c r="P58"/>
    </row>
    <row r="59" spans="7:16">
      <c r="G59"/>
      <c r="H59"/>
      <c r="I59"/>
      <c r="J59"/>
      <c r="K59"/>
      <c r="L59"/>
      <c r="M59"/>
      <c r="N59"/>
      <c r="O59"/>
      <c r="P59"/>
    </row>
    <row r="60" spans="7:16">
      <c r="G60"/>
      <c r="H60"/>
      <c r="I60"/>
      <c r="J60"/>
      <c r="K60"/>
      <c r="L60"/>
      <c r="M60"/>
      <c r="N60"/>
      <c r="O60"/>
      <c r="P60"/>
    </row>
    <row r="61" spans="7:16">
      <c r="G61"/>
      <c r="H61"/>
      <c r="I61"/>
      <c r="J61"/>
      <c r="K61"/>
      <c r="L61"/>
      <c r="M61"/>
      <c r="N61"/>
      <c r="O61"/>
      <c r="P61"/>
    </row>
    <row r="62" spans="7:16">
      <c r="G62"/>
      <c r="H62"/>
      <c r="I62"/>
      <c r="J62"/>
      <c r="K62"/>
      <c r="L62"/>
      <c r="M62"/>
      <c r="N62"/>
      <c r="O62"/>
      <c r="P62"/>
    </row>
    <row r="63" spans="7:16">
      <c r="G63"/>
      <c r="H63"/>
      <c r="I63"/>
      <c r="J63"/>
      <c r="K63"/>
      <c r="L63"/>
      <c r="M63"/>
      <c r="N63"/>
      <c r="O63"/>
      <c r="P63"/>
    </row>
    <row r="64" spans="7:16">
      <c r="G64"/>
      <c r="H64"/>
      <c r="I64"/>
      <c r="J64"/>
      <c r="K64"/>
      <c r="L64"/>
      <c r="M64"/>
      <c r="N64"/>
      <c r="O64"/>
      <c r="P64"/>
    </row>
    <row r="65" spans="7:16">
      <c r="G65"/>
      <c r="H65"/>
      <c r="I65"/>
      <c r="J65"/>
      <c r="K65"/>
      <c r="L65"/>
      <c r="M65"/>
      <c r="N65"/>
      <c r="O65"/>
      <c r="P65"/>
    </row>
    <row r="66" spans="7:16">
      <c r="G66"/>
      <c r="H66"/>
      <c r="I66"/>
      <c r="J66"/>
      <c r="K66"/>
      <c r="L66"/>
      <c r="M66"/>
      <c r="N66"/>
      <c r="O66"/>
      <c r="P66"/>
    </row>
    <row r="67" spans="7:16">
      <c r="G67"/>
      <c r="H67"/>
      <c r="I67"/>
      <c r="J67"/>
      <c r="K67"/>
      <c r="L67"/>
      <c r="M67"/>
      <c r="N67"/>
      <c r="O67"/>
      <c r="P67"/>
    </row>
    <row r="68" spans="7:16">
      <c r="G68"/>
      <c r="H68"/>
      <c r="I68"/>
      <c r="J68"/>
      <c r="K68"/>
      <c r="L68"/>
      <c r="M68"/>
      <c r="N68"/>
      <c r="O68"/>
      <c r="P68"/>
    </row>
    <row r="69" spans="7:16">
      <c r="G69"/>
      <c r="H69"/>
      <c r="I69"/>
      <c r="J69"/>
      <c r="K69"/>
      <c r="L69"/>
      <c r="M69"/>
      <c r="N69"/>
      <c r="O69"/>
      <c r="P69"/>
    </row>
    <row r="70" spans="7:16">
      <c r="G70"/>
      <c r="H70"/>
      <c r="I70"/>
      <c r="J70"/>
      <c r="K70"/>
      <c r="L70"/>
      <c r="M70"/>
      <c r="N70"/>
      <c r="O70"/>
      <c r="P70"/>
    </row>
    <row r="71" spans="7:16">
      <c r="G71"/>
      <c r="H71"/>
      <c r="I71"/>
      <c r="J71"/>
      <c r="K71"/>
      <c r="L71"/>
      <c r="M71"/>
      <c r="N71"/>
      <c r="O71"/>
      <c r="P71"/>
    </row>
    <row r="72" spans="7:16">
      <c r="G72"/>
      <c r="H72"/>
      <c r="I72"/>
      <c r="J72"/>
      <c r="K72"/>
      <c r="L72"/>
      <c r="M72"/>
      <c r="N72"/>
      <c r="O72"/>
      <c r="P72"/>
    </row>
    <row r="73" spans="7:16">
      <c r="G73"/>
      <c r="H73"/>
      <c r="I73"/>
      <c r="J73"/>
      <c r="K73"/>
      <c r="L73"/>
      <c r="M73"/>
      <c r="N73"/>
      <c r="O73"/>
      <c r="P73"/>
    </row>
    <row r="74" spans="7:16">
      <c r="G74" s="39"/>
      <c r="H74" s="39"/>
      <c r="I74"/>
      <c r="J74"/>
      <c r="K74"/>
      <c r="L74"/>
      <c r="M74"/>
      <c r="N74"/>
      <c r="O74"/>
      <c r="P74"/>
    </row>
    <row r="75" spans="7:16">
      <c r="G75" s="39"/>
      <c r="H75" s="39"/>
      <c r="I75" s="39"/>
      <c r="J75"/>
      <c r="K75"/>
      <c r="L75"/>
      <c r="M75"/>
      <c r="N75"/>
      <c r="O75"/>
      <c r="P75"/>
    </row>
    <row r="76" spans="7:16">
      <c r="G76" s="39"/>
      <c r="H76" s="39"/>
      <c r="I76" s="39"/>
      <c r="J76"/>
      <c r="K76"/>
      <c r="L76"/>
      <c r="M76"/>
      <c r="N76"/>
      <c r="O76"/>
      <c r="P76"/>
    </row>
    <row r="77" spans="7:16">
      <c r="G77" s="39"/>
      <c r="H77" s="39"/>
      <c r="I77" s="39"/>
      <c r="J77"/>
      <c r="K77"/>
      <c r="L77"/>
      <c r="M77"/>
      <c r="N77"/>
      <c r="O77"/>
      <c r="P77"/>
    </row>
    <row r="78" spans="7:16">
      <c r="G78" s="39"/>
      <c r="H78" s="39"/>
      <c r="I78" s="39"/>
      <c r="J78"/>
      <c r="K78"/>
      <c r="L78"/>
      <c r="M78"/>
      <c r="N78"/>
      <c r="O78"/>
      <c r="P78"/>
    </row>
    <row r="79" spans="7:16">
      <c r="G79" s="39"/>
      <c r="H79" s="39"/>
      <c r="I79" s="39"/>
      <c r="J79"/>
      <c r="K79"/>
      <c r="L79"/>
    </row>
    <row r="80" spans="7:16">
      <c r="G80" s="39"/>
      <c r="H80" s="39"/>
      <c r="I80" s="39"/>
      <c r="J80"/>
      <c r="K80"/>
      <c r="L80"/>
    </row>
    <row r="81" spans="6:26">
      <c r="G81" s="39"/>
      <c r="H81" s="39"/>
      <c r="I81" s="39"/>
      <c r="J81"/>
      <c r="K81"/>
      <c r="L81"/>
      <c r="M81"/>
      <c r="N81"/>
      <c r="O81"/>
      <c r="P81"/>
    </row>
    <row r="82" spans="6:26">
      <c r="F82" s="90"/>
      <c r="I82" s="39"/>
      <c r="M82"/>
      <c r="N82"/>
      <c r="O82"/>
      <c r="P82"/>
    </row>
    <row r="83" spans="6:26">
      <c r="F83" s="90"/>
      <c r="M83"/>
      <c r="N83"/>
      <c r="O83"/>
      <c r="P83"/>
    </row>
    <row r="84" spans="6:26">
      <c r="G84" s="39"/>
      <c r="H84" s="39"/>
      <c r="J84"/>
      <c r="K84"/>
      <c r="L84"/>
      <c r="M84"/>
      <c r="N84"/>
      <c r="O84"/>
      <c r="P84"/>
    </row>
    <row r="85" spans="6:26">
      <c r="G85" s="39"/>
      <c r="H85" s="39"/>
      <c r="I85" s="39"/>
      <c r="J85"/>
      <c r="K85"/>
      <c r="L85"/>
      <c r="M85"/>
      <c r="N85"/>
      <c r="O85"/>
      <c r="P85"/>
    </row>
    <row r="86" spans="6:26">
      <c r="G86" s="39"/>
      <c r="H86" s="39"/>
      <c r="I86" s="39"/>
      <c r="J86"/>
      <c r="K86"/>
      <c r="L86"/>
      <c r="M86"/>
      <c r="N86"/>
      <c r="O86"/>
      <c r="P86"/>
    </row>
    <row r="87" spans="6:26">
      <c r="G87" s="39"/>
      <c r="H87" s="39"/>
      <c r="I87" s="39"/>
      <c r="J87"/>
      <c r="K87"/>
      <c r="L87"/>
      <c r="M87"/>
      <c r="N87"/>
      <c r="O87"/>
      <c r="P87"/>
    </row>
    <row r="88" spans="6:26">
      <c r="G88" s="39"/>
      <c r="H88" s="39"/>
      <c r="I88" s="39"/>
      <c r="J88"/>
      <c r="K88"/>
      <c r="L88"/>
      <c r="M88"/>
      <c r="N88"/>
      <c r="O88"/>
      <c r="P88"/>
    </row>
    <row r="89" spans="6:26">
      <c r="G89" s="39"/>
      <c r="H89" s="39"/>
      <c r="I89" s="39"/>
      <c r="J89"/>
      <c r="K89"/>
      <c r="L89"/>
      <c r="M89"/>
      <c r="N89"/>
      <c r="O89"/>
      <c r="P89"/>
    </row>
    <row r="90" spans="6:26">
      <c r="G90" s="39"/>
      <c r="H90" s="39"/>
      <c r="I90" s="39"/>
      <c r="J90"/>
      <c r="K90"/>
      <c r="L90"/>
      <c r="M90"/>
      <c r="N90"/>
      <c r="O90"/>
      <c r="P90"/>
    </row>
    <row r="91" spans="6:26">
      <c r="G91" s="39"/>
      <c r="H91" s="39"/>
      <c r="I91" s="39"/>
      <c r="J91"/>
      <c r="K91"/>
      <c r="L91"/>
      <c r="M91"/>
      <c r="N91"/>
      <c r="O91"/>
      <c r="P91"/>
    </row>
    <row r="92" spans="6:26">
      <c r="G92" s="39"/>
      <c r="H92" s="39"/>
      <c r="I92" s="39"/>
      <c r="J92"/>
      <c r="K92"/>
      <c r="L92"/>
      <c r="M92"/>
      <c r="N92"/>
      <c r="O92"/>
      <c r="P92"/>
    </row>
    <row r="93" spans="6:26">
      <c r="G93" s="39"/>
      <c r="H93" s="39"/>
      <c r="I93" s="39"/>
      <c r="J93"/>
      <c r="K93"/>
      <c r="L93"/>
      <c r="M93"/>
      <c r="N93"/>
      <c r="O93"/>
      <c r="P93"/>
    </row>
    <row r="94" spans="6:26">
      <c r="G94" s="39"/>
      <c r="H94" s="39"/>
      <c r="I94" s="39"/>
      <c r="J94"/>
      <c r="K94"/>
      <c r="L94"/>
      <c r="M94"/>
      <c r="N94"/>
      <c r="O94"/>
      <c r="P94"/>
    </row>
    <row r="95" spans="6:26">
      <c r="G95" s="39"/>
      <c r="H95" s="39"/>
      <c r="I95" s="39"/>
      <c r="J95"/>
      <c r="K95"/>
      <c r="L95"/>
      <c r="M95"/>
      <c r="N95"/>
      <c r="O95"/>
      <c r="P95"/>
    </row>
    <row r="96" spans="6:26">
      <c r="G96" s="39"/>
      <c r="H96" s="39"/>
      <c r="I96" s="39"/>
      <c r="J96"/>
      <c r="K96"/>
      <c r="L96"/>
      <c r="M96"/>
      <c r="N96"/>
      <c r="O96"/>
      <c r="P96"/>
    </row>
    <row r="97" spans="7:16">
      <c r="G97" s="39"/>
      <c r="H97" s="39"/>
      <c r="I97" s="39"/>
      <c r="J97"/>
      <c r="K97"/>
      <c r="L97"/>
      <c r="M97"/>
      <c r="N97"/>
      <c r="O97"/>
      <c r="P97"/>
    </row>
    <row r="98" spans="7:16">
      <c r="G98" s="39"/>
      <c r="H98" s="39"/>
      <c r="I98" s="39"/>
      <c r="J98"/>
      <c r="K98"/>
      <c r="L98"/>
      <c r="M98"/>
      <c r="N98"/>
      <c r="O98"/>
      <c r="P98"/>
    </row>
    <row r="99" spans="7:16">
      <c r="G99" s="39"/>
      <c r="H99" s="39"/>
      <c r="I99" s="39"/>
      <c r="J99"/>
      <c r="K99"/>
      <c r="L99"/>
      <c r="M99"/>
      <c r="N99"/>
      <c r="O99"/>
      <c r="P99"/>
    </row>
    <row r="100" spans="7:16">
      <c r="G100" s="39"/>
      <c r="H100" s="39"/>
      <c r="I100" s="39"/>
      <c r="J100"/>
      <c r="K100"/>
      <c r="L100"/>
      <c r="M100"/>
      <c r="N100"/>
      <c r="O100"/>
      <c r="P100"/>
    </row>
    <row r="101" spans="7:16">
      <c r="G101" s="39"/>
      <c r="H101" s="39"/>
      <c r="I101" s="39"/>
      <c r="J101"/>
      <c r="K101"/>
      <c r="L101"/>
      <c r="M101"/>
      <c r="N101"/>
      <c r="O101"/>
      <c r="P101"/>
    </row>
    <row r="102" spans="7:16">
      <c r="G102" s="39"/>
      <c r="H102" s="39"/>
      <c r="I102" s="39"/>
      <c r="J102"/>
      <c r="K102"/>
      <c r="L102"/>
      <c r="M102"/>
      <c r="N102"/>
      <c r="O102"/>
      <c r="P102"/>
    </row>
    <row r="103" spans="7:16">
      <c r="G103" s="39"/>
      <c r="H103" s="39"/>
      <c r="I103" s="39"/>
      <c r="J103"/>
      <c r="K103"/>
      <c r="L103"/>
      <c r="M103"/>
      <c r="N103"/>
      <c r="O103"/>
      <c r="P103"/>
    </row>
    <row r="104" spans="7:16">
      <c r="G104" s="39"/>
      <c r="H104" s="39"/>
      <c r="I104" s="39"/>
      <c r="J104"/>
      <c r="K104"/>
      <c r="L104"/>
      <c r="M104"/>
      <c r="N104"/>
      <c r="O104"/>
      <c r="P104"/>
    </row>
    <row r="105" spans="7:16">
      <c r="G105" s="39"/>
      <c r="H105" s="39"/>
      <c r="I105" s="39"/>
      <c r="J105"/>
      <c r="K105"/>
      <c r="L105"/>
      <c r="M105"/>
      <c r="N105"/>
      <c r="O105"/>
      <c r="P105"/>
    </row>
    <row r="106" spans="7:16">
      <c r="G106" s="39"/>
      <c r="H106" s="39"/>
      <c r="I106" s="39"/>
      <c r="J106"/>
      <c r="K106"/>
      <c r="L106"/>
      <c r="M106"/>
      <c r="N106"/>
      <c r="O106"/>
      <c r="P106"/>
    </row>
    <row r="107" spans="7:16">
      <c r="G107" s="39"/>
      <c r="H107" s="39"/>
      <c r="I107" s="39"/>
      <c r="J107"/>
      <c r="K107"/>
      <c r="L107"/>
      <c r="M107"/>
      <c r="N107"/>
      <c r="O107"/>
      <c r="P107"/>
    </row>
    <row r="108" spans="7:16">
      <c r="G108" s="39"/>
      <c r="H108" s="39"/>
      <c r="I108" s="39"/>
      <c r="J108"/>
      <c r="K108"/>
      <c r="L108"/>
      <c r="M108"/>
      <c r="N108"/>
      <c r="O108"/>
      <c r="P108"/>
    </row>
    <row r="109" spans="7:16">
      <c r="G109" s="39"/>
      <c r="H109" s="39"/>
      <c r="I109" s="39"/>
      <c r="J109"/>
      <c r="K109"/>
      <c r="L109"/>
      <c r="M109"/>
      <c r="N109"/>
      <c r="O109"/>
      <c r="P109"/>
    </row>
    <row r="110" spans="7:16">
      <c r="G110" s="39"/>
      <c r="H110" s="39"/>
      <c r="I110" s="39"/>
      <c r="J110"/>
      <c r="K110"/>
      <c r="L110"/>
      <c r="M110"/>
      <c r="N110"/>
      <c r="O110"/>
      <c r="P110"/>
    </row>
    <row r="111" spans="7:16">
      <c r="G111" s="39"/>
      <c r="H111" s="39"/>
      <c r="I111" s="39"/>
      <c r="J111"/>
      <c r="K111"/>
      <c r="L111"/>
      <c r="M111"/>
      <c r="N111"/>
      <c r="O111"/>
      <c r="P111"/>
    </row>
    <row r="112" spans="7:16">
      <c r="G112" s="39"/>
      <c r="H112" s="39"/>
      <c r="I112" s="39"/>
      <c r="J112"/>
      <c r="K112"/>
      <c r="L112"/>
      <c r="M112"/>
      <c r="N112"/>
      <c r="O112"/>
      <c r="P112"/>
    </row>
    <row r="113" spans="7:16">
      <c r="G113" s="39"/>
      <c r="H113" s="39"/>
      <c r="I113" s="39"/>
      <c r="J113"/>
      <c r="K113"/>
      <c r="L113"/>
      <c r="M113"/>
      <c r="N113"/>
      <c r="O113"/>
      <c r="P113"/>
    </row>
    <row r="114" spans="7:16">
      <c r="G114" s="39"/>
      <c r="H114" s="39"/>
      <c r="I114" s="39"/>
      <c r="J114"/>
      <c r="K114"/>
      <c r="L114"/>
      <c r="M114"/>
      <c r="N114"/>
      <c r="O114"/>
      <c r="P114"/>
    </row>
    <row r="115" spans="7:16">
      <c r="G115" s="39"/>
      <c r="H115" s="39"/>
      <c r="I115" s="39"/>
      <c r="J115"/>
      <c r="K115"/>
      <c r="L115"/>
      <c r="M115"/>
      <c r="N115"/>
      <c r="O115"/>
      <c r="P115"/>
    </row>
    <row r="116" spans="7:16">
      <c r="G116" s="39"/>
      <c r="H116" s="39"/>
      <c r="I116" s="39"/>
      <c r="J116"/>
      <c r="K116"/>
      <c r="L116"/>
      <c r="M116"/>
      <c r="N116"/>
      <c r="O116"/>
      <c r="P116"/>
    </row>
    <row r="117" spans="7:16">
      <c r="G117" s="39"/>
      <c r="H117" s="39"/>
      <c r="I117" s="39"/>
      <c r="J117"/>
      <c r="K117"/>
      <c r="L117"/>
      <c r="M117"/>
      <c r="N117"/>
      <c r="O117"/>
      <c r="P117"/>
    </row>
    <row r="118" spans="7:16">
      <c r="G118" s="39"/>
      <c r="H118" s="39"/>
      <c r="I118" s="39"/>
      <c r="J118"/>
      <c r="K118"/>
      <c r="L118"/>
      <c r="M118"/>
      <c r="N118"/>
      <c r="O118"/>
      <c r="P118"/>
    </row>
    <row r="119" spans="7:16">
      <c r="G119" s="39"/>
      <c r="H119" s="39"/>
      <c r="I119" s="39"/>
      <c r="J119"/>
      <c r="K119"/>
      <c r="L119"/>
      <c r="M119"/>
      <c r="N119"/>
      <c r="O119"/>
      <c r="P119"/>
    </row>
    <row r="120" spans="7:16">
      <c r="G120" s="39"/>
      <c r="H120" s="39"/>
      <c r="I120" s="39"/>
      <c r="J120"/>
      <c r="K120"/>
      <c r="L120"/>
      <c r="M120"/>
      <c r="N120"/>
      <c r="O120"/>
      <c r="P120"/>
    </row>
    <row r="121" spans="7:16">
      <c r="G121" s="39"/>
      <c r="H121" s="39"/>
      <c r="I121" s="39"/>
      <c r="J121"/>
      <c r="K121"/>
      <c r="L121"/>
      <c r="M121"/>
      <c r="N121"/>
      <c r="O121"/>
      <c r="P121"/>
    </row>
    <row r="122" spans="7:16">
      <c r="G122" s="39"/>
      <c r="H122" s="39"/>
      <c r="I122" s="39"/>
      <c r="J122"/>
      <c r="K122"/>
      <c r="L122"/>
      <c r="M122"/>
      <c r="N122"/>
      <c r="O122"/>
      <c r="P122"/>
    </row>
    <row r="123" spans="7:16">
      <c r="G123" s="39"/>
      <c r="H123" s="39"/>
      <c r="I123" s="39"/>
      <c r="J123"/>
      <c r="K123"/>
      <c r="L123"/>
      <c r="M123"/>
      <c r="N123"/>
      <c r="O123"/>
      <c r="P123"/>
    </row>
    <row r="124" spans="7:16">
      <c r="G124" s="39"/>
      <c r="H124" s="39"/>
      <c r="I124" s="39"/>
      <c r="J124"/>
      <c r="K124"/>
      <c r="L124"/>
      <c r="M124"/>
      <c r="N124"/>
      <c r="O124"/>
      <c r="P124"/>
    </row>
    <row r="125" spans="7:16">
      <c r="G125" s="39"/>
      <c r="H125" s="39"/>
      <c r="I125" s="39"/>
      <c r="J125"/>
      <c r="K125"/>
      <c r="L125"/>
      <c r="M125"/>
      <c r="N125"/>
      <c r="O125"/>
      <c r="P125"/>
    </row>
    <row r="126" spans="7:16">
      <c r="G126" s="39"/>
      <c r="H126" s="39"/>
      <c r="I126" s="39"/>
      <c r="J126"/>
      <c r="K126"/>
      <c r="L126"/>
      <c r="M126"/>
      <c r="N126"/>
      <c r="O126"/>
      <c r="P126"/>
    </row>
    <row r="127" spans="7:16">
      <c r="G127" s="39"/>
      <c r="H127" s="39"/>
      <c r="I127" s="39"/>
      <c r="J127"/>
      <c r="K127"/>
      <c r="L127"/>
      <c r="M127"/>
      <c r="N127"/>
      <c r="O127"/>
      <c r="P127"/>
    </row>
    <row r="128" spans="7:16">
      <c r="G128" s="39"/>
      <c r="H128" s="39"/>
      <c r="I128" s="39"/>
      <c r="J128"/>
      <c r="K128"/>
      <c r="L128"/>
      <c r="M128"/>
      <c r="N128"/>
      <c r="O128"/>
      <c r="P128"/>
    </row>
    <row r="129" spans="7:16">
      <c r="G129" s="39"/>
      <c r="H129" s="39"/>
      <c r="I129" s="39"/>
      <c r="J129"/>
      <c r="K129"/>
      <c r="L129"/>
      <c r="M129"/>
      <c r="N129"/>
      <c r="O129"/>
      <c r="P129"/>
    </row>
    <row r="130" spans="7:16">
      <c r="G130" s="39"/>
      <c r="H130" s="39"/>
      <c r="I130" s="39"/>
      <c r="J130"/>
      <c r="K130"/>
      <c r="L130"/>
      <c r="M130"/>
      <c r="N130"/>
      <c r="O130"/>
      <c r="P130"/>
    </row>
    <row r="131" spans="7:16">
      <c r="G131" s="39"/>
      <c r="H131" s="39"/>
      <c r="I131" s="39"/>
      <c r="J131"/>
      <c r="K131"/>
      <c r="L131"/>
      <c r="M131"/>
      <c r="N131"/>
      <c r="O131"/>
      <c r="P131"/>
    </row>
    <row r="132" spans="7:16">
      <c r="G132" s="39"/>
      <c r="H132" s="39"/>
      <c r="I132" s="39"/>
      <c r="J132"/>
      <c r="K132"/>
      <c r="L132"/>
      <c r="M132"/>
      <c r="N132"/>
      <c r="O132"/>
      <c r="P132"/>
    </row>
    <row r="133" spans="7:16">
      <c r="G133" s="39"/>
      <c r="H133" s="39"/>
      <c r="I133" s="39"/>
      <c r="J133"/>
      <c r="K133"/>
      <c r="L133"/>
      <c r="M133"/>
      <c r="N133"/>
      <c r="O133"/>
      <c r="P133"/>
    </row>
    <row r="134" spans="7:16">
      <c r="G134" s="39"/>
      <c r="H134" s="39"/>
      <c r="I134" s="39"/>
      <c r="J134"/>
      <c r="K134"/>
      <c r="L134"/>
      <c r="M134"/>
      <c r="N134"/>
      <c r="O134"/>
      <c r="P134"/>
    </row>
    <row r="135" spans="7:16">
      <c r="G135" s="39"/>
      <c r="H135" s="39"/>
      <c r="I135" s="39"/>
      <c r="J135"/>
      <c r="K135"/>
      <c r="L135"/>
      <c r="M135"/>
      <c r="N135"/>
      <c r="O135"/>
      <c r="P135"/>
    </row>
    <row r="136" spans="7:16">
      <c r="G136" s="39"/>
      <c r="H136" s="39"/>
      <c r="I136" s="39"/>
      <c r="J136"/>
      <c r="K136"/>
      <c r="L136"/>
      <c r="M136"/>
      <c r="N136"/>
      <c r="O136"/>
      <c r="P136"/>
    </row>
    <row r="137" spans="7:16">
      <c r="G137" s="39"/>
      <c r="H137" s="39"/>
      <c r="I137" s="39"/>
      <c r="J137"/>
      <c r="K137"/>
      <c r="L137"/>
      <c r="M137"/>
      <c r="N137"/>
      <c r="O137"/>
      <c r="P137"/>
    </row>
    <row r="138" spans="7:16">
      <c r="G138" s="39"/>
      <c r="H138" s="39"/>
      <c r="I138" s="39"/>
      <c r="J138"/>
      <c r="K138"/>
      <c r="L138"/>
      <c r="M138"/>
      <c r="N138"/>
      <c r="O138"/>
      <c r="P138"/>
    </row>
    <row r="139" spans="7:16">
      <c r="G139" s="39"/>
      <c r="H139" s="39"/>
      <c r="I139" s="39"/>
      <c r="J139"/>
      <c r="K139"/>
      <c r="L139"/>
      <c r="M139"/>
      <c r="N139"/>
      <c r="O139"/>
      <c r="P139"/>
    </row>
    <row r="140" spans="7:16">
      <c r="G140" s="39"/>
      <c r="H140" s="39"/>
      <c r="I140" s="39"/>
      <c r="J140"/>
      <c r="K140"/>
      <c r="L140"/>
      <c r="M140"/>
      <c r="N140"/>
      <c r="O140"/>
      <c r="P140"/>
    </row>
    <row r="141" spans="7:16">
      <c r="G141" s="39"/>
      <c r="H141" s="39"/>
      <c r="I141" s="39"/>
      <c r="J141"/>
      <c r="K141"/>
      <c r="L141"/>
      <c r="M141"/>
      <c r="N141"/>
      <c r="O141"/>
      <c r="P141"/>
    </row>
    <row r="142" spans="7:16">
      <c r="G142" s="39"/>
      <c r="H142" s="39"/>
      <c r="I142" s="39"/>
      <c r="J142"/>
      <c r="K142"/>
      <c r="L142"/>
      <c r="M142"/>
      <c r="N142"/>
      <c r="O142"/>
      <c r="P142"/>
    </row>
    <row r="143" spans="7:16">
      <c r="G143" s="39"/>
      <c r="H143" s="39"/>
      <c r="I143" s="39"/>
      <c r="J143"/>
      <c r="K143"/>
      <c r="L143"/>
      <c r="M143"/>
      <c r="N143"/>
      <c r="O143"/>
      <c r="P143"/>
    </row>
    <row r="144" spans="7:16">
      <c r="G144" s="39"/>
      <c r="H144" s="39"/>
      <c r="I144" s="39"/>
      <c r="J144"/>
      <c r="K144"/>
      <c r="L144"/>
      <c r="M144"/>
      <c r="N144"/>
      <c r="O144"/>
      <c r="P144"/>
    </row>
    <row r="145" spans="7:16">
      <c r="G145" s="39"/>
      <c r="H145" s="39"/>
      <c r="I145" s="39"/>
      <c r="J145"/>
      <c r="K145"/>
      <c r="L145"/>
      <c r="M145"/>
      <c r="N145"/>
      <c r="O145"/>
      <c r="P145"/>
    </row>
    <row r="146" spans="7:16">
      <c r="G146" s="39"/>
      <c r="H146" s="39"/>
      <c r="I146" s="39"/>
      <c r="J146"/>
      <c r="K146"/>
      <c r="L146"/>
      <c r="M146"/>
      <c r="N146"/>
      <c r="O146"/>
      <c r="P146"/>
    </row>
    <row r="147" spans="7:16">
      <c r="G147" s="39"/>
      <c r="H147" s="39"/>
      <c r="I147" s="39"/>
      <c r="J147"/>
      <c r="K147"/>
      <c r="L147"/>
      <c r="M147"/>
      <c r="N147"/>
      <c r="O147"/>
      <c r="P147"/>
    </row>
    <row r="148" spans="7:16">
      <c r="G148" s="39"/>
      <c r="H148" s="39"/>
      <c r="I148" s="39"/>
      <c r="J148"/>
      <c r="K148"/>
      <c r="L148"/>
    </row>
    <row r="149" spans="7:16">
      <c r="G149" s="39"/>
      <c r="H149" s="39"/>
      <c r="I149" s="39"/>
      <c r="J149"/>
      <c r="K149"/>
      <c r="L149"/>
    </row>
    <row r="150" spans="7:16">
      <c r="G150" s="39"/>
      <c r="H150" s="39"/>
      <c r="I150" s="39"/>
      <c r="J150"/>
      <c r="K150"/>
      <c r="L150"/>
    </row>
    <row r="151" spans="7:16">
      <c r="I151" s="39"/>
    </row>
  </sheetData>
  <mergeCells count="24">
    <mergeCell ref="B36:D36"/>
    <mergeCell ref="F2:N4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</mergeCells>
  <hyperlinks>
    <hyperlink ref="B10" location="'DASH'!A1" display="DASHBOARD" xr:uid="{B41EE8AF-7C6D-4409-8CCB-BFCE71028E05}"/>
    <hyperlink ref="B11" location="'DES-GL'!A1" display="DESIGN GUIDELINES" xr:uid="{D38B45FF-7755-419B-BD61-220B71443DCC}"/>
    <hyperlink ref="B13" location="'EXT-MAINS-DT'!A1" display="EXISTING POWER DESIGN" xr:uid="{D56B2B7E-E025-415B-85AC-F11385AEA60A}"/>
    <hyperlink ref="B14" location="'EXT-CALC'!A1" display="EXISTING DEMAND" xr:uid="{B08375BB-C5CC-4F81-AC47-DF4E87E4B77A}"/>
    <hyperlink ref="B16" location="'CALC'!A1" display="POWER CALCULATOR" xr:uid="{C8A80926-D99A-4D91-BDEE-B8FE733AC598}"/>
    <hyperlink ref="B17" location="'PLBC-CALC'!A1" display="PLBC CALCULATOR" xr:uid="{0E35BBFE-8D32-4BD7-B9FB-CDE700EE37A6}"/>
    <hyperlink ref="B18" location="'VDC'!A1" display="VD CALCULATOR" xr:uid="{16BCB922-34A4-45B7-BD31-25A2BCFB0997}"/>
    <hyperlink ref="B20" location="'PRP-SOL'!A1" display="PROPOSED POWER DESIGN" xr:uid="{430C0A02-BE1E-4582-8818-7008E267AA11}"/>
    <hyperlink ref="B25" location="'DC'!A1" display="DOCUMENT CONTROL" xr:uid="{B8DD0FC3-23C7-4AE3-B0C5-8262CCE050BB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ECE3-82B8-45A1-8A38-D563BA6DB95E}">
  <sheetPr codeName="Sheet21"/>
  <dimension ref="B1:N500"/>
  <sheetViews>
    <sheetView showGridLines="0" topLeftCell="B2" workbookViewId="0">
      <selection activeCell="G46" sqref="G46:P46"/>
    </sheetView>
  </sheetViews>
  <sheetFormatPr defaultRowHeight="14.45"/>
  <cols>
    <col min="1" max="1" width="0" hidden="1" customWidth="1"/>
    <col min="2" max="4" width="9.28515625" style="1"/>
    <col min="6" max="6" width="39.5703125" customWidth="1"/>
    <col min="7" max="8" width="9.7109375" customWidth="1"/>
    <col min="9" max="9" width="6.7109375" customWidth="1"/>
    <col min="10" max="10" width="28.5703125" customWidth="1"/>
    <col min="11" max="12" width="9.7109375" customWidth="1"/>
    <col min="13" max="13" width="17.7109375" customWidth="1"/>
    <col min="14" max="14" width="16.28515625" customWidth="1"/>
    <col min="15" max="15" width="13.28515625" customWidth="1"/>
    <col min="16" max="16" width="16.28515625" customWidth="1"/>
    <col min="17" max="17" width="18.28515625" customWidth="1"/>
    <col min="18" max="18" width="19.5703125" customWidth="1"/>
    <col min="19" max="19" width="3" customWidth="1"/>
    <col min="20" max="20" width="33.28515625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4" ht="15" hidden="1" customHeight="1"/>
    <row r="2" spans="2:14" ht="15" customHeight="1">
      <c r="F2" s="287" t="s">
        <v>588</v>
      </c>
      <c r="G2" s="287"/>
      <c r="H2" s="287"/>
      <c r="I2" s="287"/>
      <c r="J2" s="287"/>
      <c r="K2" s="287"/>
      <c r="L2" s="287"/>
      <c r="M2" s="74"/>
      <c r="N2" s="74"/>
    </row>
    <row r="3" spans="2:14" ht="15" customHeight="1">
      <c r="F3" s="287"/>
      <c r="G3" s="287"/>
      <c r="H3" s="287"/>
      <c r="I3" s="287"/>
      <c r="J3" s="287"/>
      <c r="K3" s="287"/>
      <c r="L3" s="287"/>
      <c r="M3" s="74"/>
      <c r="N3" s="74"/>
    </row>
    <row r="4" spans="2:14" ht="15" customHeight="1">
      <c r="F4" s="288"/>
      <c r="G4" s="288"/>
      <c r="H4" s="288"/>
      <c r="I4" s="288"/>
      <c r="J4" s="288"/>
      <c r="K4" s="288"/>
      <c r="L4" s="288"/>
      <c r="M4" s="75"/>
      <c r="N4" s="75"/>
    </row>
    <row r="5" spans="2:14">
      <c r="F5" t="s">
        <v>589</v>
      </c>
    </row>
    <row r="7" spans="2:14">
      <c r="C7" s="2" t="s">
        <v>152</v>
      </c>
      <c r="D7" s="12">
        <f>DCVer</f>
        <v>12.7</v>
      </c>
    </row>
    <row r="8" spans="2:14">
      <c r="F8" s="63" t="s">
        <v>1714</v>
      </c>
      <c r="J8" s="63" t="s">
        <v>1715</v>
      </c>
    </row>
    <row r="9" spans="2:14">
      <c r="B9" s="18"/>
      <c r="C9" s="18"/>
      <c r="D9" s="18"/>
      <c r="F9" s="60" t="s">
        <v>1716</v>
      </c>
      <c r="G9" s="61" t="s">
        <v>1717</v>
      </c>
      <c r="H9" s="62" t="s">
        <v>1718</v>
      </c>
      <c r="J9" s="60" t="s">
        <v>1716</v>
      </c>
      <c r="K9" s="61" t="s">
        <v>1717</v>
      </c>
      <c r="L9" s="62" t="s">
        <v>1718</v>
      </c>
    </row>
    <row r="10" spans="2:14">
      <c r="B10" s="18" t="s">
        <v>151</v>
      </c>
      <c r="C10" s="18"/>
      <c r="D10" s="18"/>
    </row>
    <row r="11" spans="2:14">
      <c r="B11" s="18" t="s">
        <v>155</v>
      </c>
      <c r="C11" s="18"/>
      <c r="D11" s="18"/>
      <c r="F11" s="17" t="str">
        <f ca="1">IFERROR(INDEX(DBRANEQ!$H$10:$H$500,MATCH(ROW(E1),$G$11:$G$500,0)),"")</f>
        <v/>
      </c>
      <c r="G11" s="17" t="str">
        <f ca="1">IF(H11=0,"",COUNTIF($H$11:H11,"&gt;0"))</f>
        <v/>
      </c>
      <c r="H11" s="17">
        <f ca="1">IFERROR(SEARCH(INDIRECT(CELL("address")),DBRANEQ!H10),0)</f>
        <v>0</v>
      </c>
      <c r="J11" t="str">
        <f ca="1">IFERROR(INDEX(DBTXEQ!$H$10:$H$500,MATCH(ROW(I1),$K$11:$K$500,0)),"")</f>
        <v/>
      </c>
      <c r="K11" t="str">
        <f ca="1">IF(L11=0,"",COUNTIF($L$11:L11,"&gt;0"))</f>
        <v/>
      </c>
      <c r="L11">
        <f ca="1">IFERROR(SEARCH(INDIRECT(CELL("address")),DBTXEQ!H10),0)</f>
        <v>0</v>
      </c>
    </row>
    <row r="12" spans="2:14">
      <c r="B12" s="18"/>
      <c r="C12" s="18"/>
      <c r="D12" s="18"/>
      <c r="F12" s="17" t="str">
        <f ca="1">IFERROR(INDEX(DBRANEQ!$H$10:$H$500,MATCH(ROW(E2),$G$11:$G$500,0)),"")</f>
        <v/>
      </c>
      <c r="G12" s="17" t="str">
        <f ca="1">IF(H12=0,"",COUNTIF($H$11:H12,"&gt;0"))</f>
        <v/>
      </c>
      <c r="H12" s="17">
        <f ca="1">IFERROR(SEARCH(INDIRECT(CELL("address")),DBRANEQ!H11),0)</f>
        <v>0</v>
      </c>
      <c r="J12" t="str">
        <f ca="1">IFERROR(INDEX(DBTXEQ!$H$10:$H$500,MATCH(ROW(I2),$K$11:$K$500,0)),"")</f>
        <v/>
      </c>
      <c r="K12" t="str">
        <f ca="1">IF(L12=0,"",COUNTIF($L$11:L12,"&gt;0"))</f>
        <v/>
      </c>
      <c r="L12">
        <f ca="1">IFERROR(SEARCH(INDIRECT(CELL("address")),DBTXEQ!H11),0)</f>
        <v>0</v>
      </c>
    </row>
    <row r="13" spans="2:14">
      <c r="B13" s="18" t="s">
        <v>159</v>
      </c>
      <c r="C13" s="18"/>
      <c r="D13" s="18"/>
      <c r="F13" s="17" t="str">
        <f ca="1">IFERROR(INDEX(DBRANEQ!$H$10:$H$500,MATCH(ROW(E3),$G$11:$G$500,0)),"")</f>
        <v/>
      </c>
      <c r="G13" s="17" t="str">
        <f ca="1">IF(H13=0,"",COUNTIF($H$11:H13,"&gt;0"))</f>
        <v/>
      </c>
      <c r="H13" s="17">
        <f ca="1">IFERROR(SEARCH(INDIRECT(CELL("address")),DBRANEQ!H12),0)</f>
        <v>0</v>
      </c>
      <c r="J13" t="str">
        <f ca="1">IFERROR(INDEX(DBTXEQ!$H$10:$H$500,MATCH(ROW(I3),$K$11:$K$500,0)),"")</f>
        <v/>
      </c>
      <c r="K13" t="str">
        <f ca="1">IF(L13=0,"",COUNTIF($L$11:L13,"&gt;0"))</f>
        <v/>
      </c>
      <c r="L13">
        <f ca="1">IFERROR(SEARCH(INDIRECT(CELL("address")),DBTXEQ!H12),0)</f>
        <v>0</v>
      </c>
    </row>
    <row r="14" spans="2:14">
      <c r="B14" s="18" t="s">
        <v>162</v>
      </c>
      <c r="C14" s="18"/>
      <c r="D14" s="18"/>
      <c r="F14" s="17" t="str">
        <f ca="1">IFERROR(INDEX(DBRANEQ!$H$10:$H$500,MATCH(ROW(E4),$G$11:$G$500,0)),"")</f>
        <v/>
      </c>
      <c r="G14" s="17" t="str">
        <f ca="1">IF(H14=0,"",COUNTIF($H$11:H14,"&gt;0"))</f>
        <v/>
      </c>
      <c r="H14" s="17">
        <f ca="1">IFERROR(SEARCH(INDIRECT(CELL("address")),DBRANEQ!H13),0)</f>
        <v>0</v>
      </c>
      <c r="J14" t="str">
        <f ca="1">IFERROR(INDEX(DBTXEQ!$H$10:$H$500,MATCH(ROW(I4),$K$11:$K$500,0)),"")</f>
        <v/>
      </c>
      <c r="K14" t="str">
        <f ca="1">IF(L14=0,"",COUNTIF($L$11:L14,"&gt;0"))</f>
        <v/>
      </c>
      <c r="L14">
        <f ca="1">IFERROR(SEARCH(INDIRECT(CELL("address")),DBTXEQ!H13),0)</f>
        <v>0</v>
      </c>
    </row>
    <row r="15" spans="2:14">
      <c r="B15" s="18"/>
      <c r="C15" s="18"/>
      <c r="D15" s="18"/>
      <c r="F15" s="17" t="str">
        <f ca="1">IFERROR(INDEX(DBRANEQ!$H$10:$H$500,MATCH(ROW(E5),$G$11:$G$500,0)),"")</f>
        <v/>
      </c>
      <c r="G15" s="17" t="str">
        <f ca="1">IF(H15=0,"",COUNTIF($H$11:H15,"&gt;0"))</f>
        <v/>
      </c>
      <c r="H15" s="17">
        <f ca="1">IFERROR(SEARCH(INDIRECT(CELL("address")),DBRANEQ!H14),0)</f>
        <v>0</v>
      </c>
      <c r="J15" t="str">
        <f ca="1">IFERROR(INDEX(DBTXEQ!$H$10:$H$500,MATCH(ROW(I5),$K$11:$K$500,0)),"")</f>
        <v/>
      </c>
      <c r="K15" t="str">
        <f ca="1">IF(L15=0,"",COUNTIF($L$11:L15,"&gt;0"))</f>
        <v/>
      </c>
      <c r="L15">
        <f ca="1">IFERROR(SEARCH(INDIRECT(CELL("address")),DBTXEQ!H14),0)</f>
        <v>0</v>
      </c>
    </row>
    <row r="16" spans="2:14">
      <c r="B16" s="18" t="s">
        <v>167</v>
      </c>
      <c r="C16" s="18"/>
      <c r="D16" s="18"/>
      <c r="F16" s="17" t="str">
        <f ca="1">IFERROR(INDEX(DBRANEQ!$H$10:$H$500,MATCH(ROW(E6),$G$11:$G$500,0)),"")</f>
        <v/>
      </c>
      <c r="G16" s="17" t="str">
        <f ca="1">IF(H16=0,"",COUNTIF($H$11:H16,"&gt;0"))</f>
        <v/>
      </c>
      <c r="H16" s="17">
        <f ca="1">IFERROR(SEARCH(INDIRECT(CELL("address")),DBRANEQ!H15),0)</f>
        <v>0</v>
      </c>
      <c r="J16" t="str">
        <f ca="1">IFERROR(INDEX(DBTXEQ!$H$10:$H$500,MATCH(ROW(I6),$K$11:$K$500,0)),"")</f>
        <v/>
      </c>
      <c r="K16" t="str">
        <f ca="1">IF(L16=0,"",COUNTIF($L$11:L16,"&gt;0"))</f>
        <v/>
      </c>
      <c r="L16">
        <f ca="1">IFERROR(SEARCH(INDIRECT(CELL("address")),DBTXEQ!H15),0)</f>
        <v>0</v>
      </c>
    </row>
    <row r="17" spans="2:12">
      <c r="B17" s="18" t="s">
        <v>170</v>
      </c>
      <c r="C17" s="18"/>
      <c r="D17" s="18"/>
      <c r="F17" s="17" t="str">
        <f ca="1">IFERROR(INDEX(DBRANEQ!$H$10:$H$500,MATCH(ROW(E7),$G$11:$G$500,0)),"")</f>
        <v/>
      </c>
      <c r="G17" s="17" t="str">
        <f ca="1">IF(H17=0,"",COUNTIF($H$11:H17,"&gt;0"))</f>
        <v/>
      </c>
      <c r="H17" s="17">
        <f ca="1">IFERROR(SEARCH(INDIRECT(CELL("address")),DBRANEQ!H16),0)</f>
        <v>0</v>
      </c>
      <c r="J17" t="str">
        <f ca="1">IFERROR(INDEX(DBTXEQ!$H$10:$H$500,MATCH(ROW(I7),$K$11:$K$500,0)),"")</f>
        <v/>
      </c>
      <c r="K17" t="str">
        <f ca="1">IF(L17=0,"",COUNTIF($L$11:L17,"&gt;0"))</f>
        <v/>
      </c>
      <c r="L17">
        <f ca="1">IFERROR(SEARCH(INDIRECT(CELL("address")),DBTXEQ!H16),0)</f>
        <v>0</v>
      </c>
    </row>
    <row r="18" spans="2:12">
      <c r="B18" s="18" t="s">
        <v>173</v>
      </c>
      <c r="C18" s="18"/>
      <c r="D18" s="18"/>
      <c r="F18" s="17" t="str">
        <f ca="1">IFERROR(INDEX(DBRANEQ!$H$10:$H$500,MATCH(ROW(E8),$G$11:$G$500,0)),"")</f>
        <v/>
      </c>
      <c r="G18" s="17" t="str">
        <f ca="1">IF(H18=0,"",COUNTIF($H$11:H18,"&gt;0"))</f>
        <v/>
      </c>
      <c r="H18" s="17">
        <f ca="1">IFERROR(SEARCH(INDIRECT(CELL("address")),DBRANEQ!H17),0)</f>
        <v>0</v>
      </c>
      <c r="J18" t="str">
        <f ca="1">IFERROR(INDEX(DBTXEQ!$H$10:$H$500,MATCH(ROW(I8),$K$11:$K$500,0)),"")</f>
        <v/>
      </c>
      <c r="K18" t="str">
        <f ca="1">IF(L18=0,"",COUNTIF($L$11:L18,"&gt;0"))</f>
        <v/>
      </c>
      <c r="L18">
        <f ca="1">IFERROR(SEARCH(INDIRECT(CELL("address")),DBTXEQ!H17),0)</f>
        <v>0</v>
      </c>
    </row>
    <row r="19" spans="2:12">
      <c r="B19" s="18"/>
      <c r="C19" s="18"/>
      <c r="D19" s="18"/>
      <c r="F19" s="17" t="str">
        <f ca="1">IFERROR(INDEX(DBRANEQ!$H$10:$H$500,MATCH(ROW(E9),$G$11:$G$500,0)),"")</f>
        <v/>
      </c>
      <c r="G19" s="17" t="str">
        <f ca="1">IF(H19=0,"",COUNTIF($H$11:H19,"&gt;0"))</f>
        <v/>
      </c>
      <c r="H19" s="17">
        <f ca="1">IFERROR(SEARCH(INDIRECT(CELL("address")),DBRANEQ!H18),0)</f>
        <v>0</v>
      </c>
      <c r="J19" t="str">
        <f ca="1">IFERROR(INDEX(DBTXEQ!$H$10:$H$500,MATCH(ROW(I9),$K$11:$K$500,0)),"")</f>
        <v/>
      </c>
      <c r="K19" t="str">
        <f ca="1">IF(L19=0,"",COUNTIF($L$11:L19,"&gt;0"))</f>
        <v/>
      </c>
      <c r="L19">
        <f ca="1">IFERROR(SEARCH(INDIRECT(CELL("address")),DBTXEQ!H18),0)</f>
        <v>0</v>
      </c>
    </row>
    <row r="20" spans="2:12">
      <c r="B20" s="18" t="s">
        <v>176</v>
      </c>
      <c r="C20" s="18"/>
      <c r="D20" s="18"/>
      <c r="F20" s="17" t="str">
        <f ca="1">IFERROR(INDEX(DBRANEQ!$H$10:$H$500,MATCH(ROW(E10),$G$11:$G$500,0)),"")</f>
        <v/>
      </c>
      <c r="G20" s="17" t="str">
        <f ca="1">IF(H20=0,"",COUNTIF($H$11:H20,"&gt;0"))</f>
        <v/>
      </c>
      <c r="H20" s="17">
        <f ca="1">IFERROR(SEARCH(INDIRECT(CELL("address")),DBRANEQ!H19),0)</f>
        <v>0</v>
      </c>
      <c r="J20" t="str">
        <f ca="1">IFERROR(INDEX(DBTXEQ!$H$10:$H$500,MATCH(ROW(I10),$K$11:$K$500,0)),"")</f>
        <v/>
      </c>
      <c r="K20" t="str">
        <f ca="1">IF(L20=0,"",COUNTIF($L$11:L20,"&gt;0"))</f>
        <v/>
      </c>
      <c r="L20">
        <f ca="1">IFERROR(SEARCH(INDIRECT(CELL("address")),DBTXEQ!H19),0)</f>
        <v>0</v>
      </c>
    </row>
    <row r="21" spans="2:12">
      <c r="B21" s="18"/>
      <c r="C21" s="18"/>
      <c r="D21" s="18"/>
      <c r="F21" s="17" t="str">
        <f ca="1">IFERROR(INDEX(DBRANEQ!$H$10:$H$500,MATCH(ROW(E11),$G$11:$G$500,0)),"")</f>
        <v/>
      </c>
      <c r="G21" s="17" t="str">
        <f ca="1">IF(H21=0,"",COUNTIF($H$11:H21,"&gt;0"))</f>
        <v/>
      </c>
      <c r="H21" s="17">
        <f ca="1">IFERROR(SEARCH(INDIRECT(CELL("address")),DBRANEQ!H20),0)</f>
        <v>0</v>
      </c>
      <c r="J21" t="str">
        <f ca="1">IFERROR(INDEX(DBTXEQ!$H$10:$H$500,MATCH(ROW(I11),$K$11:$K$500,0)),"")</f>
        <v/>
      </c>
      <c r="K21" t="str">
        <f ca="1">IF(L21=0,"",COUNTIF($L$11:L21,"&gt;0"))</f>
        <v/>
      </c>
      <c r="L21">
        <f ca="1">IFERROR(SEARCH(INDIRECT(CELL("address")),DBTXEQ!H20),0)</f>
        <v>0</v>
      </c>
    </row>
    <row r="22" spans="2:12">
      <c r="B22" s="18"/>
      <c r="C22" s="18"/>
      <c r="D22" s="18"/>
      <c r="F22" s="17" t="str">
        <f ca="1">IFERROR(INDEX(DBRANEQ!$H$10:$H$500,MATCH(ROW(E12),$G$11:$G$500,0)),"")</f>
        <v/>
      </c>
      <c r="G22" s="17" t="str">
        <f ca="1">IF(H22=0,"",COUNTIF($H$11:H22,"&gt;0"))</f>
        <v/>
      </c>
      <c r="H22" s="17">
        <f ca="1">IFERROR(SEARCH(INDIRECT(CELL("address")),DBRANEQ!H21),0)</f>
        <v>0</v>
      </c>
      <c r="J22" t="str">
        <f ca="1">IFERROR(INDEX(DBTXEQ!$H$10:$H$500,MATCH(ROW(I12),$K$11:$K$500,0)),"")</f>
        <v/>
      </c>
      <c r="K22" t="str">
        <f ca="1">IF(L22=0,"",COUNTIF($L$11:L22,"&gt;0"))</f>
        <v/>
      </c>
      <c r="L22">
        <f ca="1">IFERROR(SEARCH(INDIRECT(CELL("address")),DBTXEQ!H21),0)</f>
        <v>0</v>
      </c>
    </row>
    <row r="23" spans="2:12">
      <c r="B23" s="18"/>
      <c r="C23" s="18"/>
      <c r="D23" s="18"/>
      <c r="F23" s="17" t="str">
        <f ca="1">IFERROR(INDEX(DBRANEQ!$H$10:$H$500,MATCH(ROW(E13),$G$11:$G$500,0)),"")</f>
        <v/>
      </c>
      <c r="G23" s="17" t="str">
        <f ca="1">IF(H23=0,"",COUNTIF($H$11:H23,"&gt;0"))</f>
        <v/>
      </c>
      <c r="H23" s="17">
        <f ca="1">IFERROR(SEARCH(INDIRECT(CELL("address")),DBRANEQ!H22),0)</f>
        <v>0</v>
      </c>
      <c r="J23" t="str">
        <f ca="1">IFERROR(INDEX(DBTXEQ!$H$10:$H$500,MATCH(ROW(I13),$K$11:$K$500,0)),"")</f>
        <v/>
      </c>
      <c r="K23" t="str">
        <f ca="1">IF(L23=0,"",COUNTIF($L$11:L23,"&gt;0"))</f>
        <v/>
      </c>
      <c r="L23">
        <f ca="1">IFERROR(SEARCH(INDIRECT(CELL("address")),DBTXEQ!H22),0)</f>
        <v>0</v>
      </c>
    </row>
    <row r="24" spans="2:12">
      <c r="B24" s="18"/>
      <c r="C24" s="18"/>
      <c r="D24" s="18"/>
      <c r="F24" s="17" t="str">
        <f ca="1">IFERROR(INDEX(DBRANEQ!$H$10:$H$500,MATCH(ROW(E14),$G$11:$G$500,0)),"")</f>
        <v/>
      </c>
      <c r="G24" s="17" t="str">
        <f ca="1">IF(H24=0,"",COUNTIF($H$11:H24,"&gt;0"))</f>
        <v/>
      </c>
      <c r="H24" s="17">
        <f ca="1">IFERROR(SEARCH(INDIRECT(CELL("address")),DBRANEQ!H23),0)</f>
        <v>0</v>
      </c>
      <c r="J24" t="str">
        <f ca="1">IFERROR(INDEX(DBTXEQ!$H$10:$H$500,MATCH(ROW(I14),$K$11:$K$500,0)),"")</f>
        <v/>
      </c>
      <c r="K24" t="str">
        <f ca="1">IF(L24=0,"",COUNTIF($L$11:L24,"&gt;0"))</f>
        <v/>
      </c>
      <c r="L24">
        <f ca="1">IFERROR(SEARCH(INDIRECT(CELL("address")),DBTXEQ!H23),0)</f>
        <v>0</v>
      </c>
    </row>
    <row r="25" spans="2:12">
      <c r="B25" s="18" t="s">
        <v>182</v>
      </c>
      <c r="C25" s="18"/>
      <c r="D25" s="18"/>
      <c r="F25" s="17" t="str">
        <f ca="1">IFERROR(INDEX(DBRANEQ!$H$10:$H$500,MATCH(ROW(E15),$G$11:$G$500,0)),"")</f>
        <v/>
      </c>
      <c r="G25" s="17" t="str">
        <f ca="1">IF(H25=0,"",COUNTIF($H$11:H25,"&gt;0"))</f>
        <v/>
      </c>
      <c r="H25" s="17">
        <f ca="1">IFERROR(SEARCH(INDIRECT(CELL("address")),DBRANEQ!H24),0)</f>
        <v>0</v>
      </c>
      <c r="J25" t="str">
        <f ca="1">IFERROR(INDEX(DBTXEQ!$H$10:$H$500,MATCH(ROW(I15),$K$11:$K$500,0)),"")</f>
        <v/>
      </c>
      <c r="K25" t="str">
        <f ca="1">IF(L25=0,"",COUNTIF($L$11:L25,"&gt;0"))</f>
        <v/>
      </c>
      <c r="L25">
        <f ca="1">IFERROR(SEARCH(INDIRECT(CELL("address")),DBTXEQ!H24),0)</f>
        <v>0</v>
      </c>
    </row>
    <row r="26" spans="2:12">
      <c r="B26" s="285"/>
      <c r="C26" s="285"/>
      <c r="D26" s="285"/>
      <c r="F26" s="17" t="str">
        <f ca="1">IFERROR(INDEX(DBRANEQ!$H$10:$H$500,MATCH(ROW(E16),$G$11:$G$500,0)),"")</f>
        <v/>
      </c>
      <c r="G26" s="17" t="str">
        <f ca="1">IF(H26=0,"",COUNTIF($H$11:H26,"&gt;0"))</f>
        <v/>
      </c>
      <c r="H26" s="17">
        <f ca="1">IFERROR(SEARCH(INDIRECT(CELL("address")),DBRANEQ!H25),0)</f>
        <v>0</v>
      </c>
      <c r="J26" t="str">
        <f ca="1">IFERROR(INDEX(DBTXEQ!$H$10:$H$500,MATCH(ROW(I16),$K$11:$K$500,0)),"")</f>
        <v/>
      </c>
      <c r="K26" t="str">
        <f ca="1">IF(L26=0,"",COUNTIF($L$11:L26,"&gt;0"))</f>
        <v/>
      </c>
      <c r="L26">
        <f ca="1">IFERROR(SEARCH(INDIRECT(CELL("address")),DBTXEQ!H25),0)</f>
        <v>0</v>
      </c>
    </row>
    <row r="27" spans="2:12">
      <c r="B27" s="285"/>
      <c r="C27" s="285"/>
      <c r="D27" s="285"/>
      <c r="F27" s="17" t="str">
        <f ca="1">IFERROR(INDEX(DBRANEQ!$H$10:$H$500,MATCH(ROW(E17),$G$11:$G$500,0)),"")</f>
        <v/>
      </c>
      <c r="G27" s="17" t="str">
        <f ca="1">IF(H27=0,"",COUNTIF($H$11:H27,"&gt;0"))</f>
        <v/>
      </c>
      <c r="H27" s="17">
        <f ca="1">IFERROR(SEARCH(INDIRECT(CELL("address")),DBRANEQ!H26),0)</f>
        <v>0</v>
      </c>
      <c r="J27" t="str">
        <f ca="1">IFERROR(INDEX(DBTXEQ!$H$10:$H$500,MATCH(ROW(I17),$K$11:$K$500,0)),"")</f>
        <v/>
      </c>
      <c r="K27" t="str">
        <f ca="1">IF(L27=0,"",COUNTIF($L$11:L27,"&gt;0"))</f>
        <v/>
      </c>
      <c r="L27">
        <f ca="1">IFERROR(SEARCH(INDIRECT(CELL("address")),DBTXEQ!H26),0)</f>
        <v>0</v>
      </c>
    </row>
    <row r="28" spans="2:12">
      <c r="B28" s="293"/>
      <c r="C28" s="293"/>
      <c r="D28" s="293"/>
      <c r="F28" s="17" t="str">
        <f ca="1">IFERROR(INDEX(DBRANEQ!$H$10:$H$500,MATCH(ROW(E18),$G$11:$G$500,0)),"")</f>
        <v/>
      </c>
      <c r="G28" s="17" t="str">
        <f ca="1">IF(H28=0,"",COUNTIF($H$11:H28,"&gt;0"))</f>
        <v/>
      </c>
      <c r="H28" s="17">
        <f ca="1">IFERROR(SEARCH(INDIRECT(CELL("address")),DBRANEQ!H27),0)</f>
        <v>0</v>
      </c>
      <c r="J28" t="str">
        <f ca="1">IFERROR(INDEX(DBTXEQ!$H$10:$H$500,MATCH(ROW(I18),$K$11:$K$500,0)),"")</f>
        <v/>
      </c>
      <c r="K28" t="str">
        <f ca="1">IF(L28=0,"",COUNTIF($L$11:L28,"&gt;0"))</f>
        <v/>
      </c>
      <c r="L28">
        <f ca="1">IFERROR(SEARCH(INDIRECT(CELL("address")),DBTXEQ!H27),0)</f>
        <v>0</v>
      </c>
    </row>
    <row r="29" spans="2:12">
      <c r="B29" s="293"/>
      <c r="C29" s="293"/>
      <c r="D29" s="293"/>
      <c r="F29" s="17" t="str">
        <f ca="1">IFERROR(INDEX(DBRANEQ!$H$10:$H$500,MATCH(ROW(E19),$G$11:$G$500,0)),"")</f>
        <v/>
      </c>
      <c r="G29" s="17" t="str">
        <f ca="1">IF(H29=0,"",COUNTIF($H$11:H29,"&gt;0"))</f>
        <v/>
      </c>
      <c r="H29" s="17">
        <f ca="1">IFERROR(SEARCH(INDIRECT(CELL("address")),DBRANEQ!H28),0)</f>
        <v>0</v>
      </c>
      <c r="J29" t="str">
        <f ca="1">IFERROR(INDEX(DBTXEQ!$H$10:$H$500,MATCH(ROW(I19),$K$11:$K$500,0)),"")</f>
        <v/>
      </c>
      <c r="K29" t="str">
        <f ca="1">IF(L29=0,"",COUNTIF($L$11:L29,"&gt;0"))</f>
        <v/>
      </c>
      <c r="L29">
        <f ca="1">IFERROR(SEARCH(INDIRECT(CELL("address")),DBTXEQ!H28),0)</f>
        <v>0</v>
      </c>
    </row>
    <row r="30" spans="2:12">
      <c r="B30" s="293"/>
      <c r="C30" s="293"/>
      <c r="D30" s="293"/>
      <c r="F30" s="17" t="str">
        <f ca="1">IFERROR(INDEX(DBRANEQ!$H$10:$H$500,MATCH(ROW(E20),$G$11:$G$500,0)),"")</f>
        <v/>
      </c>
      <c r="G30" s="17" t="str">
        <f ca="1">IF(H30=0,"",COUNTIF($H$11:H30,"&gt;0"))</f>
        <v/>
      </c>
      <c r="H30" s="17">
        <f ca="1">IFERROR(SEARCH(INDIRECT(CELL("address")),DBRANEQ!H29),0)</f>
        <v>0</v>
      </c>
      <c r="J30" t="str">
        <f ca="1">IFERROR(INDEX(DBTXEQ!$H$10:$H$500,MATCH(ROW(I20),$K$11:$K$500,0)),"")</f>
        <v/>
      </c>
      <c r="K30" t="str">
        <f ca="1">IF(L30=0,"",COUNTIF($L$11:L30,"&gt;0"))</f>
        <v/>
      </c>
      <c r="L30">
        <f ca="1">IFERROR(SEARCH(INDIRECT(CELL("address")),DBTXEQ!H29),0)</f>
        <v>0</v>
      </c>
    </row>
    <row r="31" spans="2:12">
      <c r="B31" s="293"/>
      <c r="C31" s="293"/>
      <c r="D31" s="293"/>
      <c r="F31" s="17" t="str">
        <f ca="1">IFERROR(INDEX(DBRANEQ!$H$10:$H$500,MATCH(ROW(E21),$G$11:$G$500,0)),"")</f>
        <v/>
      </c>
      <c r="G31" s="17" t="str">
        <f ca="1">IF(H31=0,"",COUNTIF($H$11:H31,"&gt;0"))</f>
        <v/>
      </c>
      <c r="H31" s="17">
        <f ca="1">IFERROR(SEARCH(INDIRECT(CELL("address")),DBRANEQ!H30),0)</f>
        <v>0</v>
      </c>
      <c r="J31" t="str">
        <f ca="1">IFERROR(INDEX(DBTXEQ!$H$10:$H$500,MATCH(ROW(I21),$K$11:$K$500,0)),"")</f>
        <v/>
      </c>
      <c r="K31" t="str">
        <f ca="1">IF(L31=0,"",COUNTIF($L$11:L31,"&gt;0"))</f>
        <v/>
      </c>
      <c r="L31">
        <f ca="1">IFERROR(SEARCH(INDIRECT(CELL("address")),DBTXEQ!H30),0)</f>
        <v>0</v>
      </c>
    </row>
    <row r="32" spans="2:12">
      <c r="B32" s="289"/>
      <c r="C32" s="289"/>
      <c r="D32" s="289"/>
      <c r="F32" s="17" t="str">
        <f ca="1">IFERROR(INDEX(DBRANEQ!$H$10:$H$500,MATCH(ROW(E22),$G$11:$G$500,0)),"")</f>
        <v/>
      </c>
      <c r="G32" s="17" t="str">
        <f ca="1">IF(H32=0,"",COUNTIF($H$11:H32,"&gt;0"))</f>
        <v/>
      </c>
      <c r="H32" s="17">
        <f ca="1">IFERROR(SEARCH(INDIRECT(CELL("address")),DBRANEQ!H31),0)</f>
        <v>0</v>
      </c>
      <c r="J32" t="str">
        <f ca="1">IFERROR(INDEX(DBTXEQ!$H$10:$H$500,MATCH(ROW(I22),$K$11:$K$500,0)),"")</f>
        <v/>
      </c>
      <c r="K32" t="str">
        <f ca="1">IF(L32=0,"",COUNTIF($L$11:L32,"&gt;0"))</f>
        <v/>
      </c>
      <c r="L32">
        <f ca="1">IFERROR(SEARCH(INDIRECT(CELL("address")),DBTXEQ!H31),0)</f>
        <v>0</v>
      </c>
    </row>
    <row r="33" spans="2:12">
      <c r="B33" s="289"/>
      <c r="C33" s="289"/>
      <c r="D33" s="289"/>
      <c r="F33" s="17" t="str">
        <f ca="1">IFERROR(INDEX(DBRANEQ!$H$10:$H$500,MATCH(ROW(E23),$G$11:$G$500,0)),"")</f>
        <v/>
      </c>
      <c r="G33" s="17" t="str">
        <f ca="1">IF(H33=0,"",COUNTIF($H$11:H33,"&gt;0"))</f>
        <v/>
      </c>
      <c r="H33" s="17">
        <f ca="1">IFERROR(SEARCH(INDIRECT(CELL("address")),DBRANEQ!H32),0)</f>
        <v>0</v>
      </c>
      <c r="J33" t="str">
        <f ca="1">IFERROR(INDEX(DBTXEQ!$H$10:$H$500,MATCH(ROW(I23),$K$11:$K$500,0)),"")</f>
        <v/>
      </c>
      <c r="K33" t="str">
        <f ca="1">IF(L33=0,"",COUNTIF($L$11:L33,"&gt;0"))</f>
        <v/>
      </c>
      <c r="L33">
        <f ca="1">IFERROR(SEARCH(INDIRECT(CELL("address")),DBTXEQ!H32),0)</f>
        <v>0</v>
      </c>
    </row>
    <row r="34" spans="2:12">
      <c r="B34" s="289"/>
      <c r="C34" s="289"/>
      <c r="D34" s="289"/>
      <c r="F34" s="17" t="str">
        <f ca="1">IFERROR(INDEX(DBRANEQ!$H$10:$H$500,MATCH(ROW(E24),$G$11:$G$500,0)),"")</f>
        <v/>
      </c>
      <c r="G34" s="17" t="str">
        <f ca="1">IF(H34=0,"",COUNTIF($H$11:H34,"&gt;0"))</f>
        <v/>
      </c>
      <c r="H34" s="17">
        <f ca="1">IFERROR(SEARCH(INDIRECT(CELL("address")),DBRANEQ!H33),0)</f>
        <v>0</v>
      </c>
      <c r="J34" t="str">
        <f ca="1">IFERROR(INDEX(DBTXEQ!$H$10:$H$500,MATCH(ROW(I24),$K$11:$K$500,0)),"")</f>
        <v/>
      </c>
      <c r="K34" t="str">
        <f ca="1">IF(L34=0,"",COUNTIF($L$11:L34,"&gt;0"))</f>
        <v/>
      </c>
      <c r="L34">
        <f ca="1">IFERROR(SEARCH(INDIRECT(CELL("address")),DBTXEQ!H33),0)</f>
        <v>0</v>
      </c>
    </row>
    <row r="35" spans="2:12">
      <c r="B35" s="289"/>
      <c r="C35" s="289"/>
      <c r="D35" s="289"/>
      <c r="F35" s="17" t="str">
        <f ca="1">IFERROR(INDEX(DBRANEQ!$H$10:$H$500,MATCH(ROW(E25),$G$11:$G$500,0)),"")</f>
        <v/>
      </c>
      <c r="G35" s="17" t="str">
        <f ca="1">IF(H35=0,"",COUNTIF($H$11:H35,"&gt;0"))</f>
        <v/>
      </c>
      <c r="H35" s="17">
        <f ca="1">IFERROR(SEARCH(INDIRECT(CELL("address")),DBRANEQ!H34),0)</f>
        <v>0</v>
      </c>
      <c r="J35" t="str">
        <f ca="1">IFERROR(INDEX(DBTXEQ!$H$10:$H$500,MATCH(ROW(I25),$K$11:$K$500,0)),"")</f>
        <v/>
      </c>
      <c r="K35" t="str">
        <f ca="1">IF(L35=0,"",COUNTIF($L$11:L35,"&gt;0"))</f>
        <v/>
      </c>
      <c r="L35">
        <f ca="1">IFERROR(SEARCH(INDIRECT(CELL("address")),DBTXEQ!H34),0)</f>
        <v>0</v>
      </c>
    </row>
    <row r="36" spans="2:12">
      <c r="B36" s="289"/>
      <c r="C36" s="289"/>
      <c r="D36" s="289"/>
      <c r="F36" s="17" t="str">
        <f ca="1">IFERROR(INDEX(DBRANEQ!$H$10:$H$500,MATCH(ROW(E26),$G$11:$G$500,0)),"")</f>
        <v/>
      </c>
      <c r="G36" s="17" t="str">
        <f ca="1">IF(H36=0,"",COUNTIF($H$11:H36,"&gt;0"))</f>
        <v/>
      </c>
      <c r="H36" s="17">
        <f ca="1">IFERROR(SEARCH(INDIRECT(CELL("address")),DBRANEQ!H35),0)</f>
        <v>0</v>
      </c>
      <c r="J36" t="str">
        <f ca="1">IFERROR(INDEX(DBTXEQ!$H$10:$H$500,MATCH(ROW(I26),$K$11:$K$500,0)),"")</f>
        <v/>
      </c>
      <c r="K36" t="str">
        <f ca="1">IF(L36=0,"",COUNTIF($L$11:L36,"&gt;0"))</f>
        <v/>
      </c>
      <c r="L36">
        <f ca="1">IFERROR(SEARCH(INDIRECT(CELL("address")),DBTXEQ!H35),0)</f>
        <v>0</v>
      </c>
    </row>
    <row r="37" spans="2:12">
      <c r="B37" s="289"/>
      <c r="C37" s="289"/>
      <c r="D37" s="289"/>
      <c r="F37" s="17" t="str">
        <f ca="1">IFERROR(INDEX(DBRANEQ!$H$10:$H$500,MATCH(ROW(E27),$G$11:$G$500,0)),"")</f>
        <v/>
      </c>
      <c r="G37" s="17" t="str">
        <f ca="1">IF(H37=0,"",COUNTIF($H$11:H37,"&gt;0"))</f>
        <v/>
      </c>
      <c r="H37" s="17">
        <f ca="1">IFERROR(SEARCH(INDIRECT(CELL("address")),DBRANEQ!H36),0)</f>
        <v>0</v>
      </c>
      <c r="J37" t="str">
        <f ca="1">IFERROR(INDEX(DBTXEQ!$H$10:$H$500,MATCH(ROW(I27),$K$11:$K$500,0)),"")</f>
        <v/>
      </c>
      <c r="K37" t="str">
        <f ca="1">IF(L37=0,"",COUNTIF($L$11:L37,"&gt;0"))</f>
        <v/>
      </c>
      <c r="L37">
        <f ca="1">IFERROR(SEARCH(INDIRECT(CELL("address")),DBTXEQ!H36),0)</f>
        <v>0</v>
      </c>
    </row>
    <row r="38" spans="2:12">
      <c r="B38" s="289"/>
      <c r="C38" s="289"/>
      <c r="D38" s="289"/>
      <c r="F38" s="17" t="str">
        <f ca="1">IFERROR(INDEX(DBRANEQ!$H$10:$H$500,MATCH(ROW(E28),$G$11:$G$500,0)),"")</f>
        <v/>
      </c>
      <c r="G38" s="17" t="str">
        <f ca="1">IF(H38=0,"",COUNTIF($H$11:H38,"&gt;0"))</f>
        <v/>
      </c>
      <c r="H38" s="17">
        <f ca="1">IFERROR(SEARCH(INDIRECT(CELL("address")),DBRANEQ!H37),0)</f>
        <v>0</v>
      </c>
      <c r="J38" t="str">
        <f ca="1">IFERROR(INDEX(DBTXEQ!$H$10:$H$500,MATCH(ROW(I28),$K$11:$K$500,0)),"")</f>
        <v/>
      </c>
      <c r="K38" t="str">
        <f ca="1">IF(L38=0,"",COUNTIF($L$11:L38,"&gt;0"))</f>
        <v/>
      </c>
      <c r="L38">
        <f ca="1">IFERROR(SEARCH(INDIRECT(CELL("address")),DBTXEQ!H37),0)</f>
        <v>0</v>
      </c>
    </row>
    <row r="39" spans="2:12">
      <c r="B39" s="289"/>
      <c r="C39" s="289"/>
      <c r="D39" s="289"/>
      <c r="F39" s="17" t="str">
        <f ca="1">IFERROR(INDEX(DBRANEQ!$H$10:$H$500,MATCH(ROW(E29),$G$11:$G$500,0)),"")</f>
        <v/>
      </c>
      <c r="G39" s="17" t="str">
        <f ca="1">IF(H39=0,"",COUNTIF($H$11:H39,"&gt;0"))</f>
        <v/>
      </c>
      <c r="H39" s="17">
        <f ca="1">IFERROR(SEARCH(INDIRECT(CELL("address")),DBRANEQ!H38),0)</f>
        <v>0</v>
      </c>
      <c r="J39" t="str">
        <f ca="1">IFERROR(INDEX(DBTXEQ!$H$10:$H$500,MATCH(ROW(I29),$K$11:$K$500,0)),"")</f>
        <v/>
      </c>
      <c r="K39" t="str">
        <f ca="1">IF(L39=0,"",COUNTIF($L$11:L39,"&gt;0"))</f>
        <v/>
      </c>
      <c r="L39">
        <f ca="1">IFERROR(SEARCH(INDIRECT(CELL("address")),DBTXEQ!H38),0)</f>
        <v>0</v>
      </c>
    </row>
    <row r="40" spans="2:12">
      <c r="B40" s="289"/>
      <c r="C40" s="289"/>
      <c r="D40" s="289"/>
      <c r="F40" s="17" t="str">
        <f ca="1">IFERROR(INDEX(DBRANEQ!$H$10:$H$500,MATCH(ROW(E30),$G$11:$G$500,0)),"")</f>
        <v/>
      </c>
      <c r="G40" s="17" t="str">
        <f ca="1">IF(H40=0,"",COUNTIF($H$11:H40,"&gt;0"))</f>
        <v/>
      </c>
      <c r="H40" s="17">
        <f ca="1">IFERROR(SEARCH(INDIRECT(CELL("address")),DBRANEQ!H39),0)</f>
        <v>0</v>
      </c>
      <c r="J40" t="str">
        <f ca="1">IFERROR(INDEX(DBTXEQ!$H$10:$H$500,MATCH(ROW(I30),$K$11:$K$500,0)),"")</f>
        <v/>
      </c>
      <c r="K40" t="str">
        <f ca="1">IF(L40=0,"",COUNTIF($L$11:L40,"&gt;0"))</f>
        <v/>
      </c>
      <c r="L40">
        <f ca="1">IFERROR(SEARCH(INDIRECT(CELL("address")),DBTXEQ!H39),0)</f>
        <v>0</v>
      </c>
    </row>
    <row r="41" spans="2:12">
      <c r="B41" s="289"/>
      <c r="C41" s="289"/>
      <c r="D41" s="289"/>
      <c r="F41" s="17" t="str">
        <f ca="1">IFERROR(INDEX(DBRANEQ!$H$10:$H$500,MATCH(ROW(E31),$G$11:$G$500,0)),"")</f>
        <v/>
      </c>
      <c r="G41" s="17" t="str">
        <f ca="1">IF(H41=0,"",COUNTIF($H$11:H41,"&gt;0"))</f>
        <v/>
      </c>
      <c r="H41" s="17">
        <f ca="1">IFERROR(SEARCH(INDIRECT(CELL("address")),DBRANEQ!H40),0)</f>
        <v>0</v>
      </c>
      <c r="J41" t="str">
        <f ca="1">IFERROR(INDEX(DBTXEQ!$H$10:$H$500,MATCH(ROW(I31),$K$11:$K$500,0)),"")</f>
        <v/>
      </c>
      <c r="K41" t="str">
        <f ca="1">IF(L41=0,"",COUNTIF($L$11:L41,"&gt;0"))</f>
        <v/>
      </c>
      <c r="L41">
        <f ca="1">IFERROR(SEARCH(INDIRECT(CELL("address")),DBTXEQ!H40),0)</f>
        <v>0</v>
      </c>
    </row>
    <row r="42" spans="2:12">
      <c r="B42" s="289"/>
      <c r="C42" s="289"/>
      <c r="D42" s="289"/>
      <c r="F42" s="17" t="str">
        <f ca="1">IFERROR(INDEX(DBRANEQ!$H$10:$H$500,MATCH(ROW(E32),$G$11:$G$500,0)),"")</f>
        <v/>
      </c>
      <c r="G42" s="17" t="str">
        <f ca="1">IF(H42=0,"",COUNTIF($H$11:H42,"&gt;0"))</f>
        <v/>
      </c>
      <c r="H42" s="17">
        <f ca="1">IFERROR(SEARCH(INDIRECT(CELL("address")),DBRANEQ!H41),0)</f>
        <v>0</v>
      </c>
      <c r="J42" t="str">
        <f ca="1">IFERROR(INDEX(DBTXEQ!$H$10:$H$500,MATCH(ROW(I32),$K$11:$K$500,0)),"")</f>
        <v/>
      </c>
      <c r="K42" t="str">
        <f ca="1">IF(L42=0,"",COUNTIF($L$11:L42,"&gt;0"))</f>
        <v/>
      </c>
      <c r="L42">
        <f ca="1">IFERROR(SEARCH(INDIRECT(CELL("address")),DBTXEQ!H41),0)</f>
        <v>0</v>
      </c>
    </row>
    <row r="43" spans="2:12">
      <c r="B43" s="289"/>
      <c r="C43" s="289"/>
      <c r="D43" s="289"/>
      <c r="F43" s="17" t="str">
        <f ca="1">IFERROR(INDEX(DBRANEQ!$H$10:$H$500,MATCH(ROW(E33),$G$11:$G$500,0)),"")</f>
        <v/>
      </c>
      <c r="G43" s="17" t="str">
        <f ca="1">IF(H43=0,"",COUNTIF($H$11:H43,"&gt;0"))</f>
        <v/>
      </c>
      <c r="H43" s="17">
        <f ca="1">IFERROR(SEARCH(INDIRECT(CELL("address")),DBRANEQ!H42),0)</f>
        <v>0</v>
      </c>
      <c r="J43" t="str">
        <f ca="1">IFERROR(INDEX(DBTXEQ!$H$10:$H$500,MATCH(ROW(I33),$K$11:$K$500,0)),"")</f>
        <v/>
      </c>
      <c r="K43" t="str">
        <f ca="1">IF(L43=0,"",COUNTIF($L$11:L43,"&gt;0"))</f>
        <v/>
      </c>
      <c r="L43">
        <f ca="1">IFERROR(SEARCH(INDIRECT(CELL("address")),DBTXEQ!H42),0)</f>
        <v>0</v>
      </c>
    </row>
    <row r="44" spans="2:12">
      <c r="B44" s="289"/>
      <c r="C44" s="289"/>
      <c r="D44" s="289"/>
      <c r="F44" s="17" t="str">
        <f ca="1">IFERROR(INDEX(DBRANEQ!$H$10:$H$500,MATCH(ROW(E34),$G$11:$G$500,0)),"")</f>
        <v/>
      </c>
      <c r="G44" s="17" t="str">
        <f ca="1">IF(H44=0,"",COUNTIF($H$11:H44,"&gt;0"))</f>
        <v/>
      </c>
      <c r="H44" s="17">
        <f ca="1">IFERROR(SEARCH(INDIRECT(CELL("address")),DBRANEQ!H43),0)</f>
        <v>0</v>
      </c>
      <c r="J44" t="str">
        <f ca="1">IFERROR(INDEX(DBTXEQ!$H$10:$H$500,MATCH(ROW(I34),$K$11:$K$500,0)),"")</f>
        <v/>
      </c>
      <c r="K44" t="str">
        <f ca="1">IF(L44=0,"",COUNTIF($L$11:L44,"&gt;0"))</f>
        <v/>
      </c>
      <c r="L44">
        <f ca="1">IFERROR(SEARCH(INDIRECT(CELL("address")),DBTXEQ!H43),0)</f>
        <v>0</v>
      </c>
    </row>
    <row r="45" spans="2:12">
      <c r="B45" s="289"/>
      <c r="C45" s="289"/>
      <c r="D45" s="289"/>
      <c r="F45" s="17" t="str">
        <f ca="1">IFERROR(INDEX(DBRANEQ!$H$10:$H$500,MATCH(ROW(E35),$G$11:$G$500,0)),"")</f>
        <v/>
      </c>
      <c r="G45" s="17" t="str">
        <f ca="1">IF(H45=0,"",COUNTIF($H$11:H45,"&gt;0"))</f>
        <v/>
      </c>
      <c r="H45" s="17">
        <f ca="1">IFERROR(SEARCH(INDIRECT(CELL("address")),DBRANEQ!H44),0)</f>
        <v>0</v>
      </c>
      <c r="J45" t="str">
        <f ca="1">IFERROR(INDEX(DBTXEQ!$H$10:$H$500,MATCH(ROW(I35),$K$11:$K$500,0)),"")</f>
        <v/>
      </c>
      <c r="K45" t="str">
        <f ca="1">IF(L45=0,"",COUNTIF($L$11:L45,"&gt;0"))</f>
        <v/>
      </c>
      <c r="L45">
        <f ca="1">IFERROR(SEARCH(INDIRECT(CELL("address")),DBTXEQ!H44),0)</f>
        <v>0</v>
      </c>
    </row>
    <row r="46" spans="2:12">
      <c r="B46" s="289"/>
      <c r="C46" s="289"/>
      <c r="D46" s="289"/>
      <c r="F46" s="17" t="str">
        <f ca="1">IFERROR(INDEX(DBRANEQ!$H$10:$H$500,MATCH(ROW(E36),$G$11:$G$500,0)),"")</f>
        <v/>
      </c>
      <c r="G46" s="17" t="str">
        <f ca="1">IF(H46=0,"",COUNTIF($H$11:H46,"&gt;0"))</f>
        <v/>
      </c>
      <c r="H46" s="17">
        <f ca="1">IFERROR(SEARCH(INDIRECT(CELL("address")),DBRANEQ!H45),0)</f>
        <v>0</v>
      </c>
      <c r="J46" t="str">
        <f ca="1">IFERROR(INDEX(DBTXEQ!$H$10:$H$500,MATCH(ROW(I36),$K$11:$K$500,0)),"")</f>
        <v/>
      </c>
      <c r="K46" t="str">
        <f ca="1">IF(L46=0,"",COUNTIF($L$11:L46,"&gt;0"))</f>
        <v/>
      </c>
      <c r="L46">
        <f ca="1">IFERROR(SEARCH(INDIRECT(CELL("address")),DBTXEQ!H45),0)</f>
        <v>0</v>
      </c>
    </row>
    <row r="47" spans="2:12">
      <c r="B47" s="289"/>
      <c r="C47" s="289"/>
      <c r="D47" s="289"/>
      <c r="F47" s="17" t="str">
        <f ca="1">IFERROR(INDEX(DBRANEQ!$H$10:$H$500,MATCH(ROW(E37),$G$11:$G$500,0)),"")</f>
        <v/>
      </c>
      <c r="G47" s="17" t="str">
        <f ca="1">IF(H47=0,"",COUNTIF($H$11:H47,"&gt;0"))</f>
        <v/>
      </c>
      <c r="H47" s="17">
        <f ca="1">IFERROR(SEARCH(INDIRECT(CELL("address")),DBRANEQ!H46),0)</f>
        <v>0</v>
      </c>
      <c r="J47" t="str">
        <f ca="1">IFERROR(INDEX(DBTXEQ!$H$10:$H$500,MATCH(ROW(I37),$K$11:$K$500,0)),"")</f>
        <v/>
      </c>
      <c r="K47" t="str">
        <f ca="1">IF(L47=0,"",COUNTIF($L$11:L47,"&gt;0"))</f>
        <v/>
      </c>
      <c r="L47">
        <f ca="1">IFERROR(SEARCH(INDIRECT(CELL("address")),DBTXEQ!H46),0)</f>
        <v>0</v>
      </c>
    </row>
    <row r="48" spans="2:12">
      <c r="B48" s="289"/>
      <c r="C48" s="289"/>
      <c r="D48" s="289"/>
      <c r="F48" s="17" t="str">
        <f ca="1">IFERROR(INDEX(DBRANEQ!$H$10:$H$500,MATCH(ROW(E38),$G$11:$G$500,0)),"")</f>
        <v/>
      </c>
      <c r="G48" s="17" t="str">
        <f ca="1">IF(H48=0,"",COUNTIF($H$11:H48,"&gt;0"))</f>
        <v/>
      </c>
      <c r="H48" s="17">
        <f ca="1">IFERROR(SEARCH(INDIRECT(CELL("address")),DBRANEQ!H47),0)</f>
        <v>0</v>
      </c>
      <c r="J48" t="str">
        <f ca="1">IFERROR(INDEX(DBTXEQ!$H$10:$H$500,MATCH(ROW(I38),$K$11:$K$500,0)),"")</f>
        <v/>
      </c>
      <c r="K48" t="str">
        <f ca="1">IF(L48=0,"",COUNTIF($L$11:L48,"&gt;0"))</f>
        <v/>
      </c>
      <c r="L48">
        <f ca="1">IFERROR(SEARCH(INDIRECT(CELL("address")),DBTXEQ!H47),0)</f>
        <v>0</v>
      </c>
    </row>
    <row r="49" spans="6:12">
      <c r="F49" s="17" t="str">
        <f ca="1">IFERROR(INDEX(DBRANEQ!$H$10:$H$500,MATCH(ROW(E39),$G$11:$G$500,0)),"")</f>
        <v/>
      </c>
      <c r="G49" s="17" t="str">
        <f ca="1">IF(H49=0,"",COUNTIF($H$11:H49,"&gt;0"))</f>
        <v/>
      </c>
      <c r="H49" s="17">
        <f ca="1">IFERROR(SEARCH(INDIRECT(CELL("address")),DBRANEQ!H48),0)</f>
        <v>0</v>
      </c>
      <c r="J49" t="str">
        <f ca="1">IFERROR(INDEX(DBTXEQ!$H$10:$H$500,MATCH(ROW(I39),$K$11:$K$500,0)),"")</f>
        <v/>
      </c>
      <c r="K49" t="str">
        <f ca="1">IF(L49=0,"",COUNTIF($L$11:L49,"&gt;0"))</f>
        <v/>
      </c>
      <c r="L49">
        <f ca="1">IFERROR(SEARCH(INDIRECT(CELL("address")),DBTXEQ!H48),0)</f>
        <v>0</v>
      </c>
    </row>
    <row r="50" spans="6:12">
      <c r="F50" s="17" t="str">
        <f ca="1">IFERROR(INDEX(DBRANEQ!$H$10:$H$500,MATCH(ROW(E40),$G$11:$G$500,0)),"")</f>
        <v/>
      </c>
      <c r="G50" s="17" t="str">
        <f ca="1">IF(H50=0,"",COUNTIF($H$11:H50,"&gt;0"))</f>
        <v/>
      </c>
      <c r="H50" s="17">
        <f ca="1">IFERROR(SEARCH(INDIRECT(CELL("address")),DBRANEQ!H49),0)</f>
        <v>0</v>
      </c>
      <c r="J50" t="str">
        <f ca="1">IFERROR(INDEX(DBTXEQ!$H$10:$H$500,MATCH(ROW(I40),$K$11:$K$500,0)),"")</f>
        <v/>
      </c>
      <c r="K50" t="str">
        <f ca="1">IF(L50=0,"",COUNTIF($L$11:L50,"&gt;0"))</f>
        <v/>
      </c>
      <c r="L50">
        <f ca="1">IFERROR(SEARCH(INDIRECT(CELL("address")),DBTXEQ!H49),0)</f>
        <v>0</v>
      </c>
    </row>
    <row r="51" spans="6:12">
      <c r="F51" s="17" t="str">
        <f ca="1">IFERROR(INDEX(DBRANEQ!$H$10:$H$500,MATCH(ROW(E41),$G$11:$G$500,0)),"")</f>
        <v/>
      </c>
      <c r="G51" s="17" t="str">
        <f ca="1">IF(H51=0,"",COUNTIF($H$11:H51,"&gt;0"))</f>
        <v/>
      </c>
      <c r="H51" s="17">
        <f ca="1">IFERROR(SEARCH(INDIRECT(CELL("address")),DBRANEQ!H50),0)</f>
        <v>0</v>
      </c>
      <c r="J51" t="str">
        <f ca="1">IFERROR(INDEX(DBTXEQ!$H$10:$H$500,MATCH(ROW(I41),$K$11:$K$500,0)),"")</f>
        <v/>
      </c>
      <c r="K51" t="str">
        <f ca="1">IF(L51=0,"",COUNTIF($L$11:L51,"&gt;0"))</f>
        <v/>
      </c>
      <c r="L51">
        <f ca="1">IFERROR(SEARCH(INDIRECT(CELL("address")),DBTXEQ!H50),0)</f>
        <v>0</v>
      </c>
    </row>
    <row r="52" spans="6:12">
      <c r="F52" s="17" t="str">
        <f ca="1">IFERROR(INDEX(DBRANEQ!$H$10:$H$500,MATCH(ROW(E42),$G$11:$G$500,0)),"")</f>
        <v/>
      </c>
      <c r="G52" s="17" t="str">
        <f ca="1">IF(H52=0,"",COUNTIF($H$11:H52,"&gt;0"))</f>
        <v/>
      </c>
      <c r="H52" s="17">
        <f ca="1">IFERROR(SEARCH(INDIRECT(CELL("address")),DBRANEQ!H51),0)</f>
        <v>0</v>
      </c>
      <c r="J52" t="str">
        <f ca="1">IFERROR(INDEX(DBTXEQ!$H$10:$H$500,MATCH(ROW(I42),$K$11:$K$500,0)),"")</f>
        <v/>
      </c>
      <c r="K52" t="str">
        <f ca="1">IF(L52=0,"",COUNTIF($L$11:L52,"&gt;0"))</f>
        <v/>
      </c>
      <c r="L52">
        <f ca="1">IFERROR(SEARCH(INDIRECT(CELL("address")),DBTXEQ!H51),0)</f>
        <v>0</v>
      </c>
    </row>
    <row r="53" spans="6:12">
      <c r="F53" s="17" t="str">
        <f ca="1">IFERROR(INDEX(DBRANEQ!$H$10:$H$500,MATCH(ROW(E43),$G$11:$G$500,0)),"")</f>
        <v/>
      </c>
      <c r="G53" s="17" t="str">
        <f ca="1">IF(H53=0,"",COUNTIF($H$11:H53,"&gt;0"))</f>
        <v/>
      </c>
      <c r="H53" s="17">
        <f ca="1">IFERROR(SEARCH(INDIRECT(CELL("address")),DBRANEQ!H52),0)</f>
        <v>0</v>
      </c>
      <c r="J53" t="str">
        <f ca="1">IFERROR(INDEX(DBTXEQ!$H$10:$H$500,MATCH(ROW(I43),$K$11:$K$500,0)),"")</f>
        <v/>
      </c>
      <c r="K53" t="str">
        <f ca="1">IF(L53=0,"",COUNTIF($L$11:L53,"&gt;0"))</f>
        <v/>
      </c>
      <c r="L53">
        <f ca="1">IFERROR(SEARCH(INDIRECT(CELL("address")),DBTXEQ!H52),0)</f>
        <v>0</v>
      </c>
    </row>
    <row r="54" spans="6:12">
      <c r="F54" s="17" t="str">
        <f ca="1">IFERROR(INDEX(DBRANEQ!$H$10:$H$500,MATCH(ROW(E44),$G$11:$G$500,0)),"")</f>
        <v/>
      </c>
      <c r="G54" s="17" t="str">
        <f ca="1">IF(H54=0,"",COUNTIF($H$11:H54,"&gt;0"))</f>
        <v/>
      </c>
      <c r="H54" s="17">
        <f ca="1">IFERROR(SEARCH(INDIRECT(CELL("address")),DBRANEQ!H53),0)</f>
        <v>0</v>
      </c>
      <c r="J54" t="str">
        <f ca="1">IFERROR(INDEX(DBTXEQ!$H$10:$H$500,MATCH(ROW(I44),$K$11:$K$500,0)),"")</f>
        <v/>
      </c>
      <c r="K54" t="str">
        <f ca="1">IF(L54=0,"",COUNTIF($L$11:L54,"&gt;0"))</f>
        <v/>
      </c>
      <c r="L54">
        <f ca="1">IFERROR(SEARCH(INDIRECT(CELL("address")),DBTXEQ!H53),0)</f>
        <v>0</v>
      </c>
    </row>
    <row r="55" spans="6:12">
      <c r="F55" s="17" t="str">
        <f ca="1">IFERROR(INDEX(DBRANEQ!$H$10:$H$500,MATCH(ROW(E45),$G$11:$G$500,0)),"")</f>
        <v/>
      </c>
      <c r="G55" s="17" t="str">
        <f ca="1">IF(H55=0,"",COUNTIF($H$11:H55,"&gt;0"))</f>
        <v/>
      </c>
      <c r="H55" s="17">
        <f ca="1">IFERROR(SEARCH(INDIRECT(CELL("address")),DBRANEQ!H54),0)</f>
        <v>0</v>
      </c>
      <c r="J55" t="str">
        <f ca="1">IFERROR(INDEX(DBTXEQ!$H$10:$H$500,MATCH(ROW(I45),$K$11:$K$500,0)),"")</f>
        <v/>
      </c>
      <c r="K55" t="str">
        <f ca="1">IF(L55=0,"",COUNTIF($L$11:L55,"&gt;0"))</f>
        <v/>
      </c>
      <c r="L55">
        <f ca="1">IFERROR(SEARCH(INDIRECT(CELL("address")),DBTXEQ!H54),0)</f>
        <v>0</v>
      </c>
    </row>
    <row r="56" spans="6:12">
      <c r="F56" s="17" t="str">
        <f ca="1">IFERROR(INDEX(DBRANEQ!$H$10:$H$500,MATCH(ROW(E46),$G$11:$G$500,0)),"")</f>
        <v/>
      </c>
      <c r="G56" s="17" t="str">
        <f ca="1">IF(H56=0,"",COUNTIF($H$11:H56,"&gt;0"))</f>
        <v/>
      </c>
      <c r="H56" s="17">
        <f ca="1">IFERROR(SEARCH(INDIRECT(CELL("address")),DBRANEQ!H55),0)</f>
        <v>0</v>
      </c>
      <c r="J56" t="str">
        <f ca="1">IFERROR(INDEX(DBTXEQ!$H$10:$H$500,MATCH(ROW(I46),$K$11:$K$500,0)),"")</f>
        <v/>
      </c>
      <c r="K56" t="str">
        <f ca="1">IF(L56=0,"",COUNTIF($L$11:L56,"&gt;0"))</f>
        <v/>
      </c>
      <c r="L56">
        <f ca="1">IFERROR(SEARCH(INDIRECT(CELL("address")),DBTXEQ!H55),0)</f>
        <v>0</v>
      </c>
    </row>
    <row r="57" spans="6:12">
      <c r="F57" s="17" t="str">
        <f ca="1">IFERROR(INDEX(DBRANEQ!$H$10:$H$500,MATCH(ROW(E47),$G$11:$G$500,0)),"")</f>
        <v/>
      </c>
      <c r="G57" s="17" t="str">
        <f ca="1">IF(H57=0,"",COUNTIF($H$11:H57,"&gt;0"))</f>
        <v/>
      </c>
      <c r="H57" s="17">
        <f ca="1">IFERROR(SEARCH(INDIRECT(CELL("address")),DBRANEQ!H56),0)</f>
        <v>0</v>
      </c>
      <c r="J57" t="str">
        <f ca="1">IFERROR(INDEX(DBTXEQ!$H$10:$H$500,MATCH(ROW(I47),$K$11:$K$500,0)),"")</f>
        <v/>
      </c>
      <c r="K57" t="str">
        <f ca="1">IF(L57=0,"",COUNTIF($L$11:L57,"&gt;0"))</f>
        <v/>
      </c>
      <c r="L57">
        <f ca="1">IFERROR(SEARCH(INDIRECT(CELL("address")),DBTXEQ!H56),0)</f>
        <v>0</v>
      </c>
    </row>
    <row r="58" spans="6:12">
      <c r="F58" s="17" t="str">
        <f ca="1">IFERROR(INDEX(DBRANEQ!$H$10:$H$500,MATCH(ROW(E48),$G$11:$G$500,0)),"")</f>
        <v/>
      </c>
      <c r="G58" s="17" t="str">
        <f ca="1">IF(H58=0,"",COUNTIF($H$11:H58,"&gt;0"))</f>
        <v/>
      </c>
      <c r="H58" s="17">
        <f ca="1">IFERROR(SEARCH(INDIRECT(CELL("address")),DBRANEQ!H57),0)</f>
        <v>0</v>
      </c>
      <c r="J58" t="str">
        <f ca="1">IFERROR(INDEX(DBTXEQ!$H$10:$H$500,MATCH(ROW(I48),$K$11:$K$500,0)),"")</f>
        <v/>
      </c>
      <c r="K58" t="str">
        <f ca="1">IF(L58=0,"",COUNTIF($L$11:L58,"&gt;0"))</f>
        <v/>
      </c>
      <c r="L58">
        <f ca="1">IFERROR(SEARCH(INDIRECT(CELL("address")),DBTXEQ!H57),0)</f>
        <v>0</v>
      </c>
    </row>
    <row r="59" spans="6:12">
      <c r="F59" s="17" t="str">
        <f ca="1">IFERROR(INDEX(DBRANEQ!$H$10:$H$500,MATCH(ROW(E49),$G$11:$G$500,0)),"")</f>
        <v/>
      </c>
      <c r="G59" s="17" t="str">
        <f ca="1">IF(H59=0,"",COUNTIF($H$11:H59,"&gt;0"))</f>
        <v/>
      </c>
      <c r="H59" s="17">
        <f ca="1">IFERROR(SEARCH(INDIRECT(CELL("address")),DBRANEQ!H58),0)</f>
        <v>0</v>
      </c>
      <c r="J59" t="str">
        <f ca="1">IFERROR(INDEX(DBTXEQ!$H$10:$H$500,MATCH(ROW(I49),$K$11:$K$500,0)),"")</f>
        <v/>
      </c>
      <c r="K59" t="str">
        <f ca="1">IF(L59=0,"",COUNTIF($L$11:L59,"&gt;0"))</f>
        <v/>
      </c>
      <c r="L59">
        <f ca="1">IFERROR(SEARCH(INDIRECT(CELL("address")),DBTXEQ!H58),0)</f>
        <v>0</v>
      </c>
    </row>
    <row r="60" spans="6:12">
      <c r="F60" s="17" t="str">
        <f ca="1">IFERROR(INDEX(DBRANEQ!$H$10:$H$500,MATCH(ROW(E50),$G$11:$G$500,0)),"")</f>
        <v/>
      </c>
      <c r="G60" s="17" t="str">
        <f ca="1">IF(H60=0,"",COUNTIF($H$11:H60,"&gt;0"))</f>
        <v/>
      </c>
      <c r="H60" s="17">
        <f ca="1">IFERROR(SEARCH(INDIRECT(CELL("address")),DBRANEQ!H59),0)</f>
        <v>0</v>
      </c>
      <c r="J60" t="str">
        <f ca="1">IFERROR(INDEX(DBTXEQ!$H$10:$H$500,MATCH(ROW(I50),$K$11:$K$500,0)),"")</f>
        <v/>
      </c>
      <c r="K60" t="str">
        <f ca="1">IF(L60=0,"",COUNTIF($L$11:L60,"&gt;0"))</f>
        <v/>
      </c>
      <c r="L60">
        <f ca="1">IFERROR(SEARCH(INDIRECT(CELL("address")),DBTXEQ!H59),0)</f>
        <v>0</v>
      </c>
    </row>
    <row r="61" spans="6:12">
      <c r="F61" s="17" t="str">
        <f ca="1">IFERROR(INDEX(DBRANEQ!$H$10:$H$500,MATCH(ROW(E51),$G$11:$G$500,0)),"")</f>
        <v/>
      </c>
      <c r="G61" s="17" t="str">
        <f ca="1">IF(H61=0,"",COUNTIF($H$11:H61,"&gt;0"))</f>
        <v/>
      </c>
      <c r="H61" s="17">
        <f ca="1">IFERROR(SEARCH(INDIRECT(CELL("address")),DBRANEQ!H60),0)</f>
        <v>0</v>
      </c>
      <c r="J61" t="str">
        <f ca="1">IFERROR(INDEX(DBTXEQ!$H$10:$H$500,MATCH(ROW(I51),$K$11:$K$500,0)),"")</f>
        <v/>
      </c>
      <c r="K61" t="str">
        <f ca="1">IF(L61=0,"",COUNTIF($L$11:L61,"&gt;0"))</f>
        <v/>
      </c>
      <c r="L61">
        <f ca="1">IFERROR(SEARCH(INDIRECT(CELL("address")),DBTXEQ!H60),0)</f>
        <v>0</v>
      </c>
    </row>
    <row r="62" spans="6:12">
      <c r="F62" s="17" t="str">
        <f ca="1">IFERROR(INDEX(DBRANEQ!$H$10:$H$500,MATCH(ROW(E52),$G$11:$G$500,0)),"")</f>
        <v/>
      </c>
      <c r="G62" s="17" t="str">
        <f ca="1">IF(H62=0,"",COUNTIF($H$11:H62,"&gt;0"))</f>
        <v/>
      </c>
      <c r="H62" s="17">
        <f ca="1">IFERROR(SEARCH(INDIRECT(CELL("address")),DBRANEQ!H61),0)</f>
        <v>0</v>
      </c>
      <c r="J62" t="str">
        <f ca="1">IFERROR(INDEX(DBTXEQ!$H$10:$H$500,MATCH(ROW(I52),$K$11:$K$500,0)),"")</f>
        <v/>
      </c>
      <c r="K62" t="str">
        <f ca="1">IF(L62=0,"",COUNTIF($L$11:L62,"&gt;0"))</f>
        <v/>
      </c>
      <c r="L62">
        <f ca="1">IFERROR(SEARCH(INDIRECT(CELL("address")),DBTXEQ!H61),0)</f>
        <v>0</v>
      </c>
    </row>
    <row r="63" spans="6:12">
      <c r="F63" s="17" t="str">
        <f ca="1">IFERROR(INDEX(DBRANEQ!$H$10:$H$500,MATCH(ROW(E53),$G$11:$G$500,0)),"")</f>
        <v/>
      </c>
      <c r="G63" s="17" t="str">
        <f ca="1">IF(H63=0,"",COUNTIF($H$11:H63,"&gt;0"))</f>
        <v/>
      </c>
      <c r="H63" s="17">
        <f ca="1">IFERROR(SEARCH(INDIRECT(CELL("address")),DBRANEQ!H62),0)</f>
        <v>0</v>
      </c>
      <c r="J63" t="str">
        <f ca="1">IFERROR(INDEX(DBTXEQ!$H$10:$H$500,MATCH(ROW(I53),$K$11:$K$500,0)),"")</f>
        <v/>
      </c>
      <c r="K63" t="str">
        <f ca="1">IF(L63=0,"",COUNTIF($L$11:L63,"&gt;0"))</f>
        <v/>
      </c>
      <c r="L63">
        <f ca="1">IFERROR(SEARCH(INDIRECT(CELL("address")),DBTXEQ!H62),0)</f>
        <v>0</v>
      </c>
    </row>
    <row r="64" spans="6:12">
      <c r="F64" s="17" t="str">
        <f ca="1">IFERROR(INDEX(DBRANEQ!$H$10:$H$500,MATCH(ROW(E54),$G$11:$G$500,0)),"")</f>
        <v/>
      </c>
      <c r="G64" s="17" t="str">
        <f ca="1">IF(H64=0,"",COUNTIF($H$11:H64,"&gt;0"))</f>
        <v/>
      </c>
      <c r="H64" s="17">
        <f ca="1">IFERROR(SEARCH(INDIRECT(CELL("address")),DBRANEQ!H63),0)</f>
        <v>0</v>
      </c>
      <c r="J64" t="str">
        <f ca="1">IFERROR(INDEX(DBTXEQ!$H$10:$H$500,MATCH(ROW(I54),$K$11:$K$500,0)),"")</f>
        <v/>
      </c>
      <c r="K64" t="str">
        <f ca="1">IF(L64=0,"",COUNTIF($L$11:L64,"&gt;0"))</f>
        <v/>
      </c>
      <c r="L64">
        <f ca="1">IFERROR(SEARCH(INDIRECT(CELL("address")),DBTXEQ!H63),0)</f>
        <v>0</v>
      </c>
    </row>
    <row r="65" spans="6:12">
      <c r="F65" s="17" t="str">
        <f ca="1">IFERROR(INDEX(DBRANEQ!$H$10:$H$500,MATCH(ROW(E55),$G$11:$G$500,0)),"")</f>
        <v/>
      </c>
      <c r="G65" s="17" t="str">
        <f ca="1">IF(H65=0,"",COUNTIF($H$11:H65,"&gt;0"))</f>
        <v/>
      </c>
      <c r="H65" s="17">
        <f ca="1">IFERROR(SEARCH(INDIRECT(CELL("address")),DBRANEQ!H64),0)</f>
        <v>0</v>
      </c>
      <c r="J65" t="str">
        <f ca="1">IFERROR(INDEX(DBTXEQ!$H$10:$H$500,MATCH(ROW(I55),$K$11:$K$500,0)),"")</f>
        <v/>
      </c>
      <c r="K65" t="str">
        <f ca="1">IF(L65=0,"",COUNTIF($L$11:L65,"&gt;0"))</f>
        <v/>
      </c>
      <c r="L65">
        <f ca="1">IFERROR(SEARCH(INDIRECT(CELL("address")),DBTXEQ!H64),0)</f>
        <v>0</v>
      </c>
    </row>
    <row r="66" spans="6:12">
      <c r="F66" s="17" t="str">
        <f ca="1">IFERROR(INDEX(DBRANEQ!$H$10:$H$500,MATCH(ROW(E56),$G$11:$G$500,0)),"")</f>
        <v/>
      </c>
      <c r="G66" s="17" t="str">
        <f ca="1">IF(H66=0,"",COUNTIF($H$11:H66,"&gt;0"))</f>
        <v/>
      </c>
      <c r="H66" s="17">
        <f ca="1">IFERROR(SEARCH(INDIRECT(CELL("address")),DBRANEQ!H65),0)</f>
        <v>0</v>
      </c>
      <c r="J66" t="str">
        <f ca="1">IFERROR(INDEX(DBTXEQ!$H$10:$H$500,MATCH(ROW(I56),$K$11:$K$500,0)),"")</f>
        <v/>
      </c>
      <c r="K66" t="str">
        <f ca="1">IF(L66=0,"",COUNTIF($L$11:L66,"&gt;0"))</f>
        <v/>
      </c>
      <c r="L66">
        <f ca="1">IFERROR(SEARCH(INDIRECT(CELL("address")),DBTXEQ!H65),0)</f>
        <v>0</v>
      </c>
    </row>
    <row r="67" spans="6:12">
      <c r="F67" s="17" t="str">
        <f ca="1">IFERROR(INDEX(DBRANEQ!$H$10:$H$500,MATCH(ROW(E57),$G$11:$G$500,0)),"")</f>
        <v/>
      </c>
      <c r="G67" s="17" t="str">
        <f ca="1">IF(H67=0,"",COUNTIF($H$11:H67,"&gt;0"))</f>
        <v/>
      </c>
      <c r="H67" s="17">
        <f ca="1">IFERROR(SEARCH(INDIRECT(CELL("address")),DBRANEQ!H66),0)</f>
        <v>0</v>
      </c>
      <c r="J67" t="str">
        <f ca="1">IFERROR(INDEX(DBTXEQ!$H$10:$H$500,MATCH(ROW(I57),$K$11:$K$500,0)),"")</f>
        <v/>
      </c>
      <c r="K67" t="str">
        <f ca="1">IF(L67=0,"",COUNTIF($L$11:L67,"&gt;0"))</f>
        <v/>
      </c>
      <c r="L67">
        <f ca="1">IFERROR(SEARCH(INDIRECT(CELL("address")),DBTXEQ!H66),0)</f>
        <v>0</v>
      </c>
    </row>
    <row r="68" spans="6:12">
      <c r="F68" s="17" t="str">
        <f ca="1">IFERROR(INDEX(DBRANEQ!$H$10:$H$500,MATCH(ROW(E58),$G$11:$G$500,0)),"")</f>
        <v/>
      </c>
      <c r="G68" s="17" t="str">
        <f ca="1">IF(H68=0,"",COUNTIF($H$11:H68,"&gt;0"))</f>
        <v/>
      </c>
      <c r="H68" s="17">
        <f ca="1">IFERROR(SEARCH(INDIRECT(CELL("address")),DBRANEQ!H67),0)</f>
        <v>0</v>
      </c>
      <c r="J68" t="str">
        <f ca="1">IFERROR(INDEX(DBTXEQ!$H$10:$H$500,MATCH(ROW(I58),$K$11:$K$500,0)),"")</f>
        <v/>
      </c>
      <c r="K68" t="str">
        <f ca="1">IF(L68=0,"",COUNTIF($L$11:L68,"&gt;0"))</f>
        <v/>
      </c>
      <c r="L68">
        <f ca="1">IFERROR(SEARCH(INDIRECT(CELL("address")),DBTXEQ!H67),0)</f>
        <v>0</v>
      </c>
    </row>
    <row r="69" spans="6:12">
      <c r="F69" s="17" t="str">
        <f ca="1">IFERROR(INDEX(DBRANEQ!$H$10:$H$500,MATCH(ROW(E59),$G$11:$G$500,0)),"")</f>
        <v/>
      </c>
      <c r="G69" s="17" t="str">
        <f ca="1">IF(H69=0,"",COUNTIF($H$11:H69,"&gt;0"))</f>
        <v/>
      </c>
      <c r="H69" s="17">
        <f ca="1">IFERROR(SEARCH(INDIRECT(CELL("address")),DBRANEQ!H68),0)</f>
        <v>0</v>
      </c>
      <c r="J69" t="str">
        <f ca="1">IFERROR(INDEX(DBTXEQ!$H$10:$H$500,MATCH(ROW(I59),$K$11:$K$500,0)),"")</f>
        <v/>
      </c>
      <c r="K69" t="str">
        <f ca="1">IF(L69=0,"",COUNTIF($L$11:L69,"&gt;0"))</f>
        <v/>
      </c>
      <c r="L69">
        <f ca="1">IFERROR(SEARCH(INDIRECT(CELL("address")),DBTXEQ!H68),0)</f>
        <v>0</v>
      </c>
    </row>
    <row r="70" spans="6:12">
      <c r="F70" s="17" t="str">
        <f ca="1">IFERROR(INDEX(DBRANEQ!$H$10:$H$500,MATCH(ROW(E60),$G$11:$G$500,0)),"")</f>
        <v/>
      </c>
      <c r="G70" s="17" t="str">
        <f ca="1">IF(H70=0,"",COUNTIF($H$11:H70,"&gt;0"))</f>
        <v/>
      </c>
      <c r="H70" s="17">
        <f ca="1">IFERROR(SEARCH(INDIRECT(CELL("address")),DBRANEQ!H69),0)</f>
        <v>0</v>
      </c>
      <c r="J70" t="str">
        <f ca="1">IFERROR(INDEX(DBTXEQ!$H$10:$H$500,MATCH(ROW(I60),$K$11:$K$500,0)),"")</f>
        <v/>
      </c>
      <c r="K70" t="str">
        <f ca="1">IF(L70=0,"",COUNTIF($L$11:L70,"&gt;0"))</f>
        <v/>
      </c>
      <c r="L70">
        <f ca="1">IFERROR(SEARCH(INDIRECT(CELL("address")),DBTXEQ!H69),0)</f>
        <v>0</v>
      </c>
    </row>
    <row r="71" spans="6:12">
      <c r="F71" s="17" t="str">
        <f ca="1">IFERROR(INDEX(DBRANEQ!$H$10:$H$500,MATCH(ROW(E61),$G$11:$G$500,0)),"")</f>
        <v/>
      </c>
      <c r="G71" s="17" t="str">
        <f ca="1">IF(H71=0,"",COUNTIF($H$11:H71,"&gt;0"))</f>
        <v/>
      </c>
      <c r="H71" s="17">
        <f ca="1">IFERROR(SEARCH(INDIRECT(CELL("address")),DBRANEQ!H70),0)</f>
        <v>0</v>
      </c>
      <c r="J71" t="str">
        <f ca="1">IFERROR(INDEX(DBTXEQ!$H$10:$H$500,MATCH(ROW(I61),$K$11:$K$500,0)),"")</f>
        <v/>
      </c>
      <c r="K71" t="str">
        <f ca="1">IF(L71=0,"",COUNTIF($L$11:L71,"&gt;0"))</f>
        <v/>
      </c>
      <c r="L71">
        <f ca="1">IFERROR(SEARCH(INDIRECT(CELL("address")),DBTXEQ!H70),0)</f>
        <v>0</v>
      </c>
    </row>
    <row r="72" spans="6:12">
      <c r="F72" s="17" t="str">
        <f ca="1">IFERROR(INDEX(DBRANEQ!$H$10:$H$500,MATCH(ROW(E62),$G$11:$G$500,0)),"")</f>
        <v/>
      </c>
      <c r="G72" s="17" t="str">
        <f ca="1">IF(H72=0,"",COUNTIF($H$11:H72,"&gt;0"))</f>
        <v/>
      </c>
      <c r="H72" s="17">
        <f ca="1">IFERROR(SEARCH(INDIRECT(CELL("address")),DBRANEQ!H71),0)</f>
        <v>0</v>
      </c>
      <c r="J72" t="str">
        <f ca="1">IFERROR(INDEX(DBTXEQ!$H$10:$H$500,MATCH(ROW(I62),$K$11:$K$500,0)),"")</f>
        <v/>
      </c>
      <c r="K72" t="str">
        <f ca="1">IF(L72=0,"",COUNTIF($L$11:L72,"&gt;0"))</f>
        <v/>
      </c>
      <c r="L72">
        <f ca="1">IFERROR(SEARCH(INDIRECT(CELL("address")),DBTXEQ!H71),0)</f>
        <v>0</v>
      </c>
    </row>
    <row r="73" spans="6:12">
      <c r="F73" s="17" t="str">
        <f ca="1">IFERROR(INDEX(DBRANEQ!$H$10:$H$500,MATCH(ROW(E63),$G$11:$G$500,0)),"")</f>
        <v/>
      </c>
      <c r="G73" s="17" t="str">
        <f ca="1">IF(H73=0,"",COUNTIF($H$11:H73,"&gt;0"))</f>
        <v/>
      </c>
      <c r="H73" s="17">
        <f ca="1">IFERROR(SEARCH(INDIRECT(CELL("address")),DBRANEQ!H72),0)</f>
        <v>0</v>
      </c>
      <c r="J73" t="str">
        <f ca="1">IFERROR(INDEX(DBTXEQ!$H$10:$H$500,MATCH(ROW(I63),$K$11:$K$500,0)),"")</f>
        <v/>
      </c>
      <c r="K73" t="str">
        <f ca="1">IF(L73=0,"",COUNTIF($L$11:L73,"&gt;0"))</f>
        <v/>
      </c>
      <c r="L73">
        <f ca="1">IFERROR(SEARCH(INDIRECT(CELL("address")),DBTXEQ!H72),0)</f>
        <v>0</v>
      </c>
    </row>
    <row r="74" spans="6:12">
      <c r="F74" s="17" t="str">
        <f ca="1">IFERROR(INDEX(DBRANEQ!$H$10:$H$500,MATCH(ROW(E64),$G$11:$G$500,0)),"")</f>
        <v/>
      </c>
      <c r="G74" s="17" t="str">
        <f ca="1">IF(H74=0,"",COUNTIF($H$11:H74,"&gt;0"))</f>
        <v/>
      </c>
      <c r="H74" s="17">
        <f ca="1">IFERROR(SEARCH(INDIRECT(CELL("address")),DBRANEQ!H73),0)</f>
        <v>0</v>
      </c>
      <c r="J74" t="str">
        <f ca="1">IFERROR(INDEX(DBTXEQ!$H$10:$H$500,MATCH(ROW(I64),$K$11:$K$500,0)),"")</f>
        <v/>
      </c>
      <c r="K74" t="str">
        <f ca="1">IF(L74=0,"",COUNTIF($L$11:L74,"&gt;0"))</f>
        <v/>
      </c>
      <c r="L74">
        <f ca="1">IFERROR(SEARCH(INDIRECT(CELL("address")),DBTXEQ!H73),0)</f>
        <v>0</v>
      </c>
    </row>
    <row r="75" spans="6:12">
      <c r="F75" s="17" t="str">
        <f ca="1">IFERROR(INDEX(DBRANEQ!$H$10:$H$500,MATCH(ROW(E65),$G$11:$G$500,0)),"")</f>
        <v/>
      </c>
      <c r="G75" s="17" t="str">
        <f ca="1">IF(H75=0,"",COUNTIF($H$11:H75,"&gt;0"))</f>
        <v/>
      </c>
      <c r="H75" s="17">
        <f ca="1">IFERROR(SEARCH(INDIRECT(CELL("address")),DBRANEQ!H74),0)</f>
        <v>0</v>
      </c>
      <c r="J75" t="str">
        <f ca="1">IFERROR(INDEX(DBTXEQ!$H$10:$H$500,MATCH(ROW(I65),$K$11:$K$500,0)),"")</f>
        <v/>
      </c>
      <c r="K75" t="str">
        <f ca="1">IF(L75=0,"",COUNTIF($L$11:L75,"&gt;0"))</f>
        <v/>
      </c>
      <c r="L75">
        <f ca="1">IFERROR(SEARCH(INDIRECT(CELL("address")),DBTXEQ!H74),0)</f>
        <v>0</v>
      </c>
    </row>
    <row r="76" spans="6:12">
      <c r="F76" s="17" t="str">
        <f ca="1">IFERROR(INDEX(DBRANEQ!$H$10:$H$500,MATCH(ROW(E66),$G$11:$G$500,0)),"")</f>
        <v/>
      </c>
      <c r="G76" s="17" t="str">
        <f ca="1">IF(H76=0,"",COUNTIF($H$11:H76,"&gt;0"))</f>
        <v/>
      </c>
      <c r="H76" s="17">
        <f ca="1">IFERROR(SEARCH(INDIRECT(CELL("address")),DBRANEQ!H75),0)</f>
        <v>0</v>
      </c>
      <c r="J76" t="str">
        <f ca="1">IFERROR(INDEX(DBTXEQ!$H$10:$H$500,MATCH(ROW(I66),$K$11:$K$500,0)),"")</f>
        <v/>
      </c>
      <c r="K76" t="str">
        <f ca="1">IF(L76=0,"",COUNTIF($L$11:L76,"&gt;0"))</f>
        <v/>
      </c>
      <c r="L76">
        <f ca="1">IFERROR(SEARCH(INDIRECT(CELL("address")),DBTXEQ!H75),0)</f>
        <v>0</v>
      </c>
    </row>
    <row r="77" spans="6:12">
      <c r="F77" s="17" t="str">
        <f ca="1">IFERROR(INDEX(DBRANEQ!$H$10:$H$500,MATCH(ROW(E67),$G$11:$G$500,0)),"")</f>
        <v/>
      </c>
      <c r="G77" s="17" t="str">
        <f ca="1">IF(H77=0,"",COUNTIF($H$11:H77,"&gt;0"))</f>
        <v/>
      </c>
      <c r="H77" s="17">
        <f ca="1">IFERROR(SEARCH(INDIRECT(CELL("address")),DBRANEQ!H76),0)</f>
        <v>0</v>
      </c>
      <c r="J77" t="str">
        <f ca="1">IFERROR(INDEX(DBTXEQ!$H$10:$H$500,MATCH(ROW(I67),$K$11:$K$500,0)),"")</f>
        <v/>
      </c>
      <c r="K77" t="str">
        <f ca="1">IF(L77=0,"",COUNTIF($L$11:L77,"&gt;0"))</f>
        <v/>
      </c>
      <c r="L77">
        <f ca="1">IFERROR(SEARCH(INDIRECT(CELL("address")),DBTXEQ!H76),0)</f>
        <v>0</v>
      </c>
    </row>
    <row r="78" spans="6:12">
      <c r="F78" s="17" t="str">
        <f ca="1">IFERROR(INDEX(DBRANEQ!$H$10:$H$500,MATCH(ROW(E68),$G$11:$G$500,0)),"")</f>
        <v/>
      </c>
      <c r="G78" s="17" t="str">
        <f ca="1">IF(H78=0,"",COUNTIF($H$11:H78,"&gt;0"))</f>
        <v/>
      </c>
      <c r="H78" s="17">
        <f ca="1">IFERROR(SEARCH(INDIRECT(CELL("address")),DBRANEQ!H77),0)</f>
        <v>0</v>
      </c>
      <c r="J78" t="str">
        <f ca="1">IFERROR(INDEX(DBTXEQ!$H$10:$H$500,MATCH(ROW(I68),$K$11:$K$500,0)),"")</f>
        <v/>
      </c>
      <c r="K78" t="str">
        <f ca="1">IF(L78=0,"",COUNTIF($L$11:L78,"&gt;0"))</f>
        <v/>
      </c>
      <c r="L78">
        <f ca="1">IFERROR(SEARCH(INDIRECT(CELL("address")),DBTXEQ!H77),0)</f>
        <v>0</v>
      </c>
    </row>
    <row r="79" spans="6:12">
      <c r="F79" s="17" t="str">
        <f ca="1">IFERROR(INDEX(DBRANEQ!$H$10:$H$500,MATCH(ROW(E69),$G$11:$G$500,0)),"")</f>
        <v/>
      </c>
      <c r="G79" s="17" t="str">
        <f ca="1">IF(H79=0,"",COUNTIF($H$11:H79,"&gt;0"))</f>
        <v/>
      </c>
      <c r="H79" s="17">
        <f ca="1">IFERROR(SEARCH(INDIRECT(CELL("address")),DBRANEQ!H78),0)</f>
        <v>0</v>
      </c>
      <c r="J79" t="str">
        <f ca="1">IFERROR(INDEX(DBTXEQ!$H$10:$H$500,MATCH(ROW(I69),$K$11:$K$500,0)),"")</f>
        <v/>
      </c>
      <c r="K79" t="str">
        <f ca="1">IF(L79=0,"",COUNTIF($L$11:L79,"&gt;0"))</f>
        <v/>
      </c>
      <c r="L79">
        <f ca="1">IFERROR(SEARCH(INDIRECT(CELL("address")),DBTXEQ!H78),0)</f>
        <v>0</v>
      </c>
    </row>
    <row r="80" spans="6:12">
      <c r="F80" s="17" t="str">
        <f ca="1">IFERROR(INDEX(DBRANEQ!$H$10:$H$500,MATCH(ROW(E70),$G$11:$G$500,0)),"")</f>
        <v/>
      </c>
      <c r="G80" s="17" t="str">
        <f ca="1">IF(H80=0,"",COUNTIF($H$11:H80,"&gt;0"))</f>
        <v/>
      </c>
      <c r="H80" s="17">
        <f ca="1">IFERROR(SEARCH(INDIRECT(CELL("address")),DBRANEQ!H79),0)</f>
        <v>0</v>
      </c>
      <c r="J80" t="str">
        <f ca="1">IFERROR(INDEX(DBTXEQ!$H$10:$H$500,MATCH(ROW(I70),$K$11:$K$500,0)),"")</f>
        <v/>
      </c>
      <c r="K80" t="str">
        <f ca="1">IF(L80=0,"",COUNTIF($L$11:L80,"&gt;0"))</f>
        <v/>
      </c>
      <c r="L80">
        <f ca="1">IFERROR(SEARCH(INDIRECT(CELL("address")),DBTXEQ!H79),0)</f>
        <v>0</v>
      </c>
    </row>
    <row r="81" spans="6:12">
      <c r="F81" s="17" t="str">
        <f ca="1">IFERROR(INDEX(DBRANEQ!$H$10:$H$500,MATCH(ROW(E71),$G$11:$G$500,0)),"")</f>
        <v/>
      </c>
      <c r="G81" s="17" t="str">
        <f ca="1">IF(H81=0,"",COUNTIF($H$11:H81,"&gt;0"))</f>
        <v/>
      </c>
      <c r="H81" s="17">
        <f ca="1">IFERROR(SEARCH(INDIRECT(CELL("address")),DBRANEQ!H80),0)</f>
        <v>0</v>
      </c>
      <c r="J81" t="str">
        <f ca="1">IFERROR(INDEX(DBTXEQ!$H$10:$H$500,MATCH(ROW(I71),$K$11:$K$500,0)),"")</f>
        <v/>
      </c>
      <c r="K81" t="str">
        <f ca="1">IF(L81=0,"",COUNTIF($L$11:L81,"&gt;0"))</f>
        <v/>
      </c>
      <c r="L81">
        <f ca="1">IFERROR(SEARCH(INDIRECT(CELL("address")),DBTXEQ!H80),0)</f>
        <v>0</v>
      </c>
    </row>
    <row r="82" spans="6:12">
      <c r="F82" s="17" t="str">
        <f ca="1">IFERROR(INDEX(DBRANEQ!$H$10:$H$500,MATCH(ROW(E72),$G$11:$G$500,0)),"")</f>
        <v/>
      </c>
      <c r="G82" s="17" t="str">
        <f ca="1">IF(H82=0,"",COUNTIF($H$11:H82,"&gt;0"))</f>
        <v/>
      </c>
      <c r="H82" s="17">
        <f ca="1">IFERROR(SEARCH(INDIRECT(CELL("address")),DBRANEQ!H81),0)</f>
        <v>0</v>
      </c>
      <c r="J82" t="str">
        <f ca="1">IFERROR(INDEX(DBTXEQ!$H$10:$H$500,MATCH(ROW(I72),$K$11:$K$500,0)),"")</f>
        <v/>
      </c>
      <c r="K82" t="str">
        <f ca="1">IF(L82=0,"",COUNTIF($L$11:L82,"&gt;0"))</f>
        <v/>
      </c>
      <c r="L82">
        <f ca="1">IFERROR(SEARCH(INDIRECT(CELL("address")),DBTXEQ!H81),0)</f>
        <v>0</v>
      </c>
    </row>
    <row r="83" spans="6:12">
      <c r="F83" s="17" t="str">
        <f ca="1">IFERROR(INDEX(DBRANEQ!$H$10:$H$500,MATCH(ROW(E73),$G$11:$G$500,0)),"")</f>
        <v/>
      </c>
      <c r="G83" s="17" t="str">
        <f ca="1">IF(H83=0,"",COUNTIF($H$11:H83,"&gt;0"))</f>
        <v/>
      </c>
      <c r="H83" s="17">
        <f ca="1">IFERROR(SEARCH(INDIRECT(CELL("address")),DBRANEQ!H82),0)</f>
        <v>0</v>
      </c>
      <c r="J83" t="str">
        <f ca="1">IFERROR(INDEX(DBTXEQ!$H$10:$H$500,MATCH(ROW(I73),$K$11:$K$500,0)),"")</f>
        <v/>
      </c>
      <c r="K83" t="str">
        <f ca="1">IF(L83=0,"",COUNTIF($L$11:L83,"&gt;0"))</f>
        <v/>
      </c>
      <c r="L83">
        <f ca="1">IFERROR(SEARCH(INDIRECT(CELL("address")),DBTXEQ!H82),0)</f>
        <v>0</v>
      </c>
    </row>
    <row r="84" spans="6:12">
      <c r="F84" s="17" t="str">
        <f ca="1">IFERROR(INDEX(DBRANEQ!$H$10:$H$500,MATCH(ROW(E74),$G$11:$G$500,0)),"")</f>
        <v/>
      </c>
      <c r="G84" s="17" t="str">
        <f ca="1">IF(H84=0,"",COUNTIF($H$11:H84,"&gt;0"))</f>
        <v/>
      </c>
      <c r="H84" s="17">
        <f ca="1">IFERROR(SEARCH(INDIRECT(CELL("address")),DBRANEQ!H83),0)</f>
        <v>0</v>
      </c>
      <c r="J84" t="str">
        <f ca="1">IFERROR(INDEX(DBTXEQ!$H$10:$H$500,MATCH(ROW(I74),$K$11:$K$500,0)),"")</f>
        <v/>
      </c>
      <c r="K84" t="str">
        <f ca="1">IF(L84=0,"",COUNTIF($L$11:L84,"&gt;0"))</f>
        <v/>
      </c>
      <c r="L84">
        <f ca="1">IFERROR(SEARCH(INDIRECT(CELL("address")),DBTXEQ!H83),0)</f>
        <v>0</v>
      </c>
    </row>
    <row r="85" spans="6:12">
      <c r="F85" s="17" t="str">
        <f ca="1">IFERROR(INDEX(DBRANEQ!$H$10:$H$500,MATCH(ROW(E75),$G$11:$G$500,0)),"")</f>
        <v/>
      </c>
      <c r="G85" s="17" t="str">
        <f ca="1">IF(H85=0,"",COUNTIF($H$11:H85,"&gt;0"))</f>
        <v/>
      </c>
      <c r="H85" s="17">
        <f ca="1">IFERROR(SEARCH(INDIRECT(CELL("address")),DBRANEQ!H84),0)</f>
        <v>0</v>
      </c>
      <c r="J85" t="str">
        <f ca="1">IFERROR(INDEX(DBTXEQ!$H$10:$H$500,MATCH(ROW(I75),$K$11:$K$500,0)),"")</f>
        <v/>
      </c>
      <c r="K85" t="str">
        <f ca="1">IF(L85=0,"",COUNTIF($L$11:L85,"&gt;0"))</f>
        <v/>
      </c>
      <c r="L85">
        <f ca="1">IFERROR(SEARCH(INDIRECT(CELL("address")),DBTXEQ!H84),0)</f>
        <v>0</v>
      </c>
    </row>
    <row r="86" spans="6:12">
      <c r="F86" s="17" t="str">
        <f ca="1">IFERROR(INDEX(DBRANEQ!$H$10:$H$500,MATCH(ROW(E76),$G$11:$G$500,0)),"")</f>
        <v/>
      </c>
      <c r="G86" s="17" t="str">
        <f ca="1">IF(H86=0,"",COUNTIF($H$11:H86,"&gt;0"))</f>
        <v/>
      </c>
      <c r="H86" s="17">
        <f ca="1">IFERROR(SEARCH(INDIRECT(CELL("address")),DBRANEQ!H85),0)</f>
        <v>0</v>
      </c>
      <c r="J86" t="str">
        <f ca="1">IFERROR(INDEX(DBTXEQ!$H$10:$H$500,MATCH(ROW(I76),$K$11:$K$500,0)),"")</f>
        <v/>
      </c>
      <c r="K86" t="str">
        <f ca="1">IF(L86=0,"",COUNTIF($L$11:L86,"&gt;0"))</f>
        <v/>
      </c>
      <c r="L86">
        <f ca="1">IFERROR(SEARCH(INDIRECT(CELL("address")),DBTXEQ!H85),0)</f>
        <v>0</v>
      </c>
    </row>
    <row r="87" spans="6:12">
      <c r="F87" s="17" t="str">
        <f ca="1">IFERROR(INDEX(DBRANEQ!$H$10:$H$500,MATCH(ROW(E77),$G$11:$G$500,0)),"")</f>
        <v/>
      </c>
      <c r="G87" s="17" t="str">
        <f ca="1">IF(H87=0,"",COUNTIF($H$11:H87,"&gt;0"))</f>
        <v/>
      </c>
      <c r="H87" s="17">
        <f ca="1">IFERROR(SEARCH(INDIRECT(CELL("address")),DBRANEQ!H86),0)</f>
        <v>0</v>
      </c>
      <c r="J87" t="str">
        <f ca="1">IFERROR(INDEX(DBTXEQ!$H$10:$H$500,MATCH(ROW(I77),$K$11:$K$500,0)),"")</f>
        <v/>
      </c>
      <c r="K87" t="str">
        <f ca="1">IF(L87=0,"",COUNTIF($L$11:L87,"&gt;0"))</f>
        <v/>
      </c>
      <c r="L87">
        <f ca="1">IFERROR(SEARCH(INDIRECT(CELL("address")),DBTXEQ!H86),0)</f>
        <v>0</v>
      </c>
    </row>
    <row r="88" spans="6:12">
      <c r="F88" s="17" t="str">
        <f ca="1">IFERROR(INDEX(DBRANEQ!$H$10:$H$500,MATCH(ROW(E78),$G$11:$G$500,0)),"")</f>
        <v/>
      </c>
      <c r="G88" s="17" t="str">
        <f ca="1">IF(H88=0,"",COUNTIF($H$11:H88,"&gt;0"))</f>
        <v/>
      </c>
      <c r="H88" s="17">
        <f ca="1">IFERROR(SEARCH(INDIRECT(CELL("address")),DBRANEQ!H87),0)</f>
        <v>0</v>
      </c>
      <c r="J88" t="str">
        <f ca="1">IFERROR(INDEX(DBTXEQ!$H$10:$H$500,MATCH(ROW(I78),$K$11:$K$500,0)),"")</f>
        <v/>
      </c>
      <c r="K88" t="str">
        <f ca="1">IF(L88=0,"",COUNTIF($L$11:L88,"&gt;0"))</f>
        <v/>
      </c>
      <c r="L88">
        <f ca="1">IFERROR(SEARCH(INDIRECT(CELL("address")),DBTXEQ!H87),0)</f>
        <v>0</v>
      </c>
    </row>
    <row r="89" spans="6:12">
      <c r="F89" s="17" t="str">
        <f ca="1">IFERROR(INDEX(DBRANEQ!$H$10:$H$500,MATCH(ROW(E79),$G$11:$G$500,0)),"")</f>
        <v/>
      </c>
      <c r="G89" s="17" t="str">
        <f ca="1">IF(H89=0,"",COUNTIF($H$11:H89,"&gt;0"))</f>
        <v/>
      </c>
      <c r="H89" s="17">
        <f ca="1">IFERROR(SEARCH(INDIRECT(CELL("address")),DBRANEQ!H88),0)</f>
        <v>0</v>
      </c>
      <c r="J89" t="str">
        <f ca="1">IFERROR(INDEX(DBTXEQ!$H$10:$H$500,MATCH(ROW(I79),$K$11:$K$500,0)),"")</f>
        <v/>
      </c>
      <c r="K89" t="str">
        <f ca="1">IF(L89=0,"",COUNTIF($L$11:L89,"&gt;0"))</f>
        <v/>
      </c>
      <c r="L89">
        <f ca="1">IFERROR(SEARCH(INDIRECT(CELL("address")),DBTXEQ!H88),0)</f>
        <v>0</v>
      </c>
    </row>
    <row r="90" spans="6:12">
      <c r="F90" s="17" t="str">
        <f ca="1">IFERROR(INDEX(DBRANEQ!$H$10:$H$500,MATCH(ROW(E80),$G$11:$G$500,0)),"")</f>
        <v/>
      </c>
      <c r="G90" s="17" t="str">
        <f ca="1">IF(H90=0,"",COUNTIF($H$11:H90,"&gt;0"))</f>
        <v/>
      </c>
      <c r="H90" s="17">
        <f ca="1">IFERROR(SEARCH(INDIRECT(CELL("address")),DBRANEQ!H89),0)</f>
        <v>0</v>
      </c>
      <c r="J90" t="str">
        <f ca="1">IFERROR(INDEX(DBTXEQ!$H$10:$H$500,MATCH(ROW(I80),$K$11:$K$500,0)),"")</f>
        <v/>
      </c>
      <c r="K90" t="str">
        <f ca="1">IF(L90=0,"",COUNTIF($L$11:L90,"&gt;0"))</f>
        <v/>
      </c>
      <c r="L90">
        <f ca="1">IFERROR(SEARCH(INDIRECT(CELL("address")),DBTXEQ!H89),0)</f>
        <v>0</v>
      </c>
    </row>
    <row r="91" spans="6:12">
      <c r="F91" s="17" t="str">
        <f ca="1">IFERROR(INDEX(DBRANEQ!$H$10:$H$500,MATCH(ROW(E81),$G$11:$G$500,0)),"")</f>
        <v/>
      </c>
      <c r="G91" s="17" t="str">
        <f ca="1">IF(H91=0,"",COUNTIF($H$11:H91,"&gt;0"))</f>
        <v/>
      </c>
      <c r="H91" s="17">
        <f ca="1">IFERROR(SEARCH(INDIRECT(CELL("address")),DBRANEQ!H90),0)</f>
        <v>0</v>
      </c>
      <c r="J91" t="str">
        <f ca="1">IFERROR(INDEX(DBTXEQ!$H$10:$H$500,MATCH(ROW(I81),$K$11:$K$500,0)),"")</f>
        <v/>
      </c>
      <c r="K91" t="str">
        <f ca="1">IF(L91=0,"",COUNTIF($L$11:L91,"&gt;0"))</f>
        <v/>
      </c>
      <c r="L91">
        <f ca="1">IFERROR(SEARCH(INDIRECT(CELL("address")),DBTXEQ!H90),0)</f>
        <v>0</v>
      </c>
    </row>
    <row r="92" spans="6:12">
      <c r="F92" s="17" t="str">
        <f ca="1">IFERROR(INDEX(DBRANEQ!$H$10:$H$500,MATCH(ROW(E82),$G$11:$G$500,0)),"")</f>
        <v/>
      </c>
      <c r="G92" s="17" t="str">
        <f ca="1">IF(H92=0,"",COUNTIF($H$11:H92,"&gt;0"))</f>
        <v/>
      </c>
      <c r="H92" s="17">
        <f ca="1">IFERROR(SEARCH(INDIRECT(CELL("address")),DBRANEQ!H91),0)</f>
        <v>0</v>
      </c>
      <c r="J92" t="str">
        <f ca="1">IFERROR(INDEX(DBTXEQ!$H$10:$H$500,MATCH(ROW(I82),$K$11:$K$500,0)),"")</f>
        <v/>
      </c>
      <c r="K92" t="str">
        <f ca="1">IF(L92=0,"",COUNTIF($L$11:L92,"&gt;0"))</f>
        <v/>
      </c>
      <c r="L92">
        <f ca="1">IFERROR(SEARCH(INDIRECT(CELL("address")),DBTXEQ!H91),0)</f>
        <v>0</v>
      </c>
    </row>
    <row r="93" spans="6:12">
      <c r="F93" s="17" t="str">
        <f ca="1">IFERROR(INDEX(DBRANEQ!$H$10:$H$500,MATCH(ROW(E83),$G$11:$G$500,0)),"")</f>
        <v/>
      </c>
      <c r="G93" s="17" t="str">
        <f ca="1">IF(H93=0,"",COUNTIF($H$11:H93,"&gt;0"))</f>
        <v/>
      </c>
      <c r="H93" s="17">
        <f ca="1">IFERROR(SEARCH(INDIRECT(CELL("address")),DBRANEQ!H92),0)</f>
        <v>0</v>
      </c>
      <c r="J93" t="str">
        <f ca="1">IFERROR(INDEX(DBTXEQ!$H$10:$H$500,MATCH(ROW(I83),$K$11:$K$500,0)),"")</f>
        <v/>
      </c>
      <c r="K93" t="str">
        <f ca="1">IF(L93=0,"",COUNTIF($L$11:L93,"&gt;0"))</f>
        <v/>
      </c>
      <c r="L93">
        <f ca="1">IFERROR(SEARCH(INDIRECT(CELL("address")),DBTXEQ!H92),0)</f>
        <v>0</v>
      </c>
    </row>
    <row r="94" spans="6:12">
      <c r="F94" s="17" t="str">
        <f ca="1">IFERROR(INDEX(DBRANEQ!$H$10:$H$500,MATCH(ROW(E84),$G$11:$G$500,0)),"")</f>
        <v/>
      </c>
      <c r="G94" s="17" t="str">
        <f ca="1">IF(H94=0,"",COUNTIF($H$11:H94,"&gt;0"))</f>
        <v/>
      </c>
      <c r="H94" s="17">
        <f ca="1">IFERROR(SEARCH(INDIRECT(CELL("address")),DBRANEQ!H93),0)</f>
        <v>0</v>
      </c>
      <c r="J94" t="str">
        <f ca="1">IFERROR(INDEX(DBTXEQ!$H$10:$H$500,MATCH(ROW(I84),$K$11:$K$500,0)),"")</f>
        <v/>
      </c>
      <c r="K94" t="str">
        <f ca="1">IF(L94=0,"",COUNTIF($L$11:L94,"&gt;0"))</f>
        <v/>
      </c>
      <c r="L94">
        <f ca="1">IFERROR(SEARCH(INDIRECT(CELL("address")),DBTXEQ!H93),0)</f>
        <v>0</v>
      </c>
    </row>
    <row r="95" spans="6:12">
      <c r="F95" s="17" t="str">
        <f ca="1">IFERROR(INDEX(DBRANEQ!$H$10:$H$500,MATCH(ROW(E85),$G$11:$G$500,0)),"")</f>
        <v/>
      </c>
      <c r="G95" s="17" t="str">
        <f ca="1">IF(H95=0,"",COUNTIF($H$11:H95,"&gt;0"))</f>
        <v/>
      </c>
      <c r="H95" s="17">
        <f ca="1">IFERROR(SEARCH(INDIRECT(CELL("address")),DBRANEQ!H94),0)</f>
        <v>0</v>
      </c>
      <c r="J95" t="str">
        <f ca="1">IFERROR(INDEX(DBTXEQ!$H$10:$H$500,MATCH(ROW(I85),$K$11:$K$500,0)),"")</f>
        <v/>
      </c>
      <c r="K95" t="str">
        <f ca="1">IF(L95=0,"",COUNTIF($L$11:L95,"&gt;0"))</f>
        <v/>
      </c>
      <c r="L95">
        <f ca="1">IFERROR(SEARCH(INDIRECT(CELL("address")),DBTXEQ!H94),0)</f>
        <v>0</v>
      </c>
    </row>
    <row r="96" spans="6:12">
      <c r="F96" s="17" t="str">
        <f ca="1">IFERROR(INDEX(DBRANEQ!$H$10:$H$500,MATCH(ROW(E86),$G$11:$G$500,0)),"")</f>
        <v/>
      </c>
      <c r="G96" s="17" t="str">
        <f ca="1">IF(H96=0,"",COUNTIF($H$11:H96,"&gt;0"))</f>
        <v/>
      </c>
      <c r="H96" s="17">
        <f ca="1">IFERROR(SEARCH(INDIRECT(CELL("address")),DBRANEQ!H95),0)</f>
        <v>0</v>
      </c>
      <c r="J96" t="str">
        <f ca="1">IFERROR(INDEX(DBTXEQ!$H$10:$H$500,MATCH(ROW(I86),$K$11:$K$500,0)),"")</f>
        <v/>
      </c>
      <c r="K96" t="str">
        <f ca="1">IF(L96=0,"",COUNTIF($L$11:L96,"&gt;0"))</f>
        <v/>
      </c>
      <c r="L96">
        <f ca="1">IFERROR(SEARCH(INDIRECT(CELL("address")),DBTXEQ!H95),0)</f>
        <v>0</v>
      </c>
    </row>
    <row r="97" spans="6:12">
      <c r="F97" s="17" t="str">
        <f ca="1">IFERROR(INDEX(DBRANEQ!$H$10:$H$500,MATCH(ROW(E87),$G$11:$G$500,0)),"")</f>
        <v/>
      </c>
      <c r="G97" s="17" t="str">
        <f ca="1">IF(H97=0,"",COUNTIF($H$11:H97,"&gt;0"))</f>
        <v/>
      </c>
      <c r="H97" s="17">
        <f ca="1">IFERROR(SEARCH(INDIRECT(CELL("address")),DBRANEQ!H96),0)</f>
        <v>0</v>
      </c>
      <c r="J97" t="str">
        <f ca="1">IFERROR(INDEX(DBTXEQ!$H$10:$H$500,MATCH(ROW(I87),$K$11:$K$500,0)),"")</f>
        <v/>
      </c>
      <c r="K97" t="str">
        <f ca="1">IF(L97=0,"",COUNTIF($L$11:L97,"&gt;0"))</f>
        <v/>
      </c>
      <c r="L97">
        <f ca="1">IFERROR(SEARCH(INDIRECT(CELL("address")),DBTXEQ!H96),0)</f>
        <v>0</v>
      </c>
    </row>
    <row r="98" spans="6:12">
      <c r="F98" s="17" t="str">
        <f ca="1">IFERROR(INDEX(DBRANEQ!$H$10:$H$500,MATCH(ROW(E88),$G$11:$G$500,0)),"")</f>
        <v/>
      </c>
      <c r="G98" s="17" t="str">
        <f ca="1">IF(H98=0,"",COUNTIF($H$11:H98,"&gt;0"))</f>
        <v/>
      </c>
      <c r="H98" s="17">
        <f ca="1">IFERROR(SEARCH(INDIRECT(CELL("address")),DBRANEQ!H97),0)</f>
        <v>0</v>
      </c>
      <c r="J98" t="str">
        <f ca="1">IFERROR(INDEX(DBTXEQ!$H$10:$H$500,MATCH(ROW(I88),$K$11:$K$500,0)),"")</f>
        <v/>
      </c>
      <c r="K98" t="str">
        <f ca="1">IF(L98=0,"",COUNTIF($L$11:L98,"&gt;0"))</f>
        <v/>
      </c>
      <c r="L98">
        <f ca="1">IFERROR(SEARCH(INDIRECT(CELL("address")),DBTXEQ!H97),0)</f>
        <v>0</v>
      </c>
    </row>
    <row r="99" spans="6:12">
      <c r="F99" s="17" t="str">
        <f ca="1">IFERROR(INDEX(DBRANEQ!$H$10:$H$500,MATCH(ROW(E89),$G$11:$G$500,0)),"")</f>
        <v/>
      </c>
      <c r="G99" s="17" t="str">
        <f ca="1">IF(H99=0,"",COUNTIF($H$11:H99,"&gt;0"))</f>
        <v/>
      </c>
      <c r="H99" s="17">
        <f ca="1">IFERROR(SEARCH(INDIRECT(CELL("address")),DBRANEQ!H98),0)</f>
        <v>0</v>
      </c>
      <c r="J99" t="str">
        <f ca="1">IFERROR(INDEX(DBTXEQ!$H$10:$H$500,MATCH(ROW(I89),$K$11:$K$500,0)),"")</f>
        <v/>
      </c>
      <c r="K99" t="str">
        <f ca="1">IF(L99=0,"",COUNTIF($L$11:L99,"&gt;0"))</f>
        <v/>
      </c>
      <c r="L99">
        <f ca="1">IFERROR(SEARCH(INDIRECT(CELL("address")),DBTXEQ!H98),0)</f>
        <v>0</v>
      </c>
    </row>
    <row r="100" spans="6:12">
      <c r="F100" s="17" t="str">
        <f ca="1">IFERROR(INDEX(DBRANEQ!$H$10:$H$500,MATCH(ROW(E90),$G$11:$G$500,0)),"")</f>
        <v/>
      </c>
      <c r="G100" s="17" t="str">
        <f ca="1">IF(H100=0,"",COUNTIF($H$11:H100,"&gt;0"))</f>
        <v/>
      </c>
      <c r="H100" s="17">
        <f ca="1">IFERROR(SEARCH(INDIRECT(CELL("address")),DBRANEQ!H99),0)</f>
        <v>0</v>
      </c>
      <c r="J100" t="str">
        <f ca="1">IFERROR(INDEX(DBTXEQ!$H$10:$H$500,MATCH(ROW(I90),$K$11:$K$500,0)),"")</f>
        <v/>
      </c>
      <c r="K100" t="str">
        <f ca="1">IF(L100=0,"",COUNTIF($L$11:L100,"&gt;0"))</f>
        <v/>
      </c>
      <c r="L100">
        <f ca="1">IFERROR(SEARCH(INDIRECT(CELL("address")),DBTXEQ!H99),0)</f>
        <v>0</v>
      </c>
    </row>
    <row r="101" spans="6:12">
      <c r="F101" s="17" t="str">
        <f ca="1">IFERROR(INDEX(DBRANEQ!$H$10:$H$500,MATCH(ROW(E91),$G$11:$G$500,0)),"")</f>
        <v/>
      </c>
      <c r="G101" s="17" t="str">
        <f ca="1">IF(H101=0,"",COUNTIF($H$11:H101,"&gt;0"))</f>
        <v/>
      </c>
      <c r="H101" s="17">
        <f ca="1">IFERROR(SEARCH(INDIRECT(CELL("address")),DBRANEQ!H100),0)</f>
        <v>0</v>
      </c>
      <c r="J101" t="str">
        <f ca="1">IFERROR(INDEX(DBTXEQ!$H$10:$H$500,MATCH(ROW(I91),$K$11:$K$500,0)),"")</f>
        <v/>
      </c>
      <c r="K101" t="str">
        <f ca="1">IF(L101=0,"",COUNTIF($L$11:L101,"&gt;0"))</f>
        <v/>
      </c>
      <c r="L101">
        <f ca="1">IFERROR(SEARCH(INDIRECT(CELL("address")),DBTXEQ!H100),0)</f>
        <v>0</v>
      </c>
    </row>
    <row r="102" spans="6:12">
      <c r="F102" s="17" t="str">
        <f ca="1">IFERROR(INDEX(DBRANEQ!$H$10:$H$500,MATCH(ROW(E92),$G$11:$G$500,0)),"")</f>
        <v/>
      </c>
      <c r="G102" s="17" t="str">
        <f ca="1">IF(H102=0,"",COUNTIF($H$11:H102,"&gt;0"))</f>
        <v/>
      </c>
      <c r="H102" s="17">
        <f ca="1">IFERROR(SEARCH(INDIRECT(CELL("address")),DBRANEQ!H101),0)</f>
        <v>0</v>
      </c>
      <c r="J102" t="str">
        <f ca="1">IFERROR(INDEX(DBTXEQ!$H$10:$H$500,MATCH(ROW(I92),$K$11:$K$500,0)),"")</f>
        <v/>
      </c>
      <c r="K102" t="str">
        <f ca="1">IF(L102=0,"",COUNTIF($L$11:L102,"&gt;0"))</f>
        <v/>
      </c>
      <c r="L102">
        <f ca="1">IFERROR(SEARCH(INDIRECT(CELL("address")),DBTXEQ!H101),0)</f>
        <v>0</v>
      </c>
    </row>
    <row r="103" spans="6:12">
      <c r="F103" s="17" t="str">
        <f ca="1">IFERROR(INDEX(DBRANEQ!$H$10:$H$500,MATCH(ROW(E93),$G$11:$G$500,0)),"")</f>
        <v/>
      </c>
      <c r="G103" s="17" t="str">
        <f ca="1">IF(H103=0,"",COUNTIF($H$11:H103,"&gt;0"))</f>
        <v/>
      </c>
      <c r="H103" s="17">
        <f ca="1">IFERROR(SEARCH(INDIRECT(CELL("address")),DBRANEQ!H102),0)</f>
        <v>0</v>
      </c>
      <c r="J103" t="str">
        <f ca="1">IFERROR(INDEX(DBTXEQ!$H$10:$H$500,MATCH(ROW(I93),$K$11:$K$500,0)),"")</f>
        <v/>
      </c>
      <c r="K103" t="str">
        <f ca="1">IF(L103=0,"",COUNTIF($L$11:L103,"&gt;0"))</f>
        <v/>
      </c>
      <c r="L103">
        <f ca="1">IFERROR(SEARCH(INDIRECT(CELL("address")),DBTXEQ!H102),0)</f>
        <v>0</v>
      </c>
    </row>
    <row r="104" spans="6:12">
      <c r="F104" s="17" t="str">
        <f ca="1">IFERROR(INDEX(DBRANEQ!$H$10:$H$500,MATCH(ROW(E94),$G$11:$G$500,0)),"")</f>
        <v/>
      </c>
      <c r="G104" s="17" t="str">
        <f ca="1">IF(H104=0,"",COUNTIF($H$11:H104,"&gt;0"))</f>
        <v/>
      </c>
      <c r="H104" s="17">
        <f ca="1">IFERROR(SEARCH(INDIRECT(CELL("address")),DBRANEQ!H103),0)</f>
        <v>0</v>
      </c>
      <c r="J104" t="str">
        <f ca="1">IFERROR(INDEX(DBTXEQ!$H$10:$H$500,MATCH(ROW(I94),$K$11:$K$500,0)),"")</f>
        <v/>
      </c>
      <c r="K104" t="str">
        <f ca="1">IF(L104=0,"",COUNTIF($L$11:L104,"&gt;0"))</f>
        <v/>
      </c>
      <c r="L104">
        <f ca="1">IFERROR(SEARCH(INDIRECT(CELL("address")),DBTXEQ!H103),0)</f>
        <v>0</v>
      </c>
    </row>
    <row r="105" spans="6:12">
      <c r="F105" s="17" t="str">
        <f ca="1">IFERROR(INDEX(DBRANEQ!$H$10:$H$500,MATCH(ROW(E95),$G$11:$G$500,0)),"")</f>
        <v/>
      </c>
      <c r="G105" s="17" t="str">
        <f ca="1">IF(H105=0,"",COUNTIF($H$11:H105,"&gt;0"))</f>
        <v/>
      </c>
      <c r="H105" s="17">
        <f ca="1">IFERROR(SEARCH(INDIRECT(CELL("address")),DBRANEQ!H104),0)</f>
        <v>0</v>
      </c>
      <c r="J105" t="str">
        <f ca="1">IFERROR(INDEX(DBTXEQ!$H$10:$H$500,MATCH(ROW(I95),$K$11:$K$500,0)),"")</f>
        <v/>
      </c>
      <c r="K105" t="str">
        <f ca="1">IF(L105=0,"",COUNTIF($L$11:L105,"&gt;0"))</f>
        <v/>
      </c>
      <c r="L105">
        <f ca="1">IFERROR(SEARCH(INDIRECT(CELL("address")),DBTXEQ!H104),0)</f>
        <v>0</v>
      </c>
    </row>
    <row r="106" spans="6:12">
      <c r="F106" s="17" t="str">
        <f ca="1">IFERROR(INDEX(DBRANEQ!$H$10:$H$500,MATCH(ROW(E96),$G$11:$G$500,0)),"")</f>
        <v/>
      </c>
      <c r="G106" s="17" t="str">
        <f ca="1">IF(H106=0,"",COUNTIF($H$11:H106,"&gt;0"))</f>
        <v/>
      </c>
      <c r="H106" s="17">
        <f ca="1">IFERROR(SEARCH(INDIRECT(CELL("address")),DBRANEQ!H105),0)</f>
        <v>0</v>
      </c>
      <c r="J106" t="str">
        <f ca="1">IFERROR(INDEX(DBTXEQ!$H$10:$H$500,MATCH(ROW(I96),$K$11:$K$500,0)),"")</f>
        <v/>
      </c>
      <c r="K106" t="str">
        <f ca="1">IF(L106=0,"",COUNTIF($L$11:L106,"&gt;0"))</f>
        <v/>
      </c>
      <c r="L106">
        <f ca="1">IFERROR(SEARCH(INDIRECT(CELL("address")),DBTXEQ!H105),0)</f>
        <v>0</v>
      </c>
    </row>
    <row r="107" spans="6:12">
      <c r="F107" s="17" t="str">
        <f ca="1">IFERROR(INDEX(DBRANEQ!$H$10:$H$500,MATCH(ROW(E97),$G$11:$G$500,0)),"")</f>
        <v/>
      </c>
      <c r="G107" s="17" t="str">
        <f ca="1">IF(H107=0,"",COUNTIF($H$11:H107,"&gt;0"))</f>
        <v/>
      </c>
      <c r="H107" s="17">
        <f ca="1">IFERROR(SEARCH(INDIRECT(CELL("address")),DBRANEQ!H106),0)</f>
        <v>0</v>
      </c>
      <c r="J107" t="str">
        <f ca="1">IFERROR(INDEX(DBTXEQ!$H$10:$H$500,MATCH(ROW(I97),$K$11:$K$500,0)),"")</f>
        <v/>
      </c>
      <c r="K107" t="str">
        <f ca="1">IF(L107=0,"",COUNTIF($L$11:L107,"&gt;0"))</f>
        <v/>
      </c>
      <c r="L107">
        <f ca="1">IFERROR(SEARCH(INDIRECT(CELL("address")),DBTXEQ!H106),0)</f>
        <v>0</v>
      </c>
    </row>
    <row r="108" spans="6:12">
      <c r="F108" s="17" t="str">
        <f ca="1">IFERROR(INDEX(DBRANEQ!$H$10:$H$500,MATCH(ROW(E98),$G$11:$G$500,0)),"")</f>
        <v/>
      </c>
      <c r="G108" s="17" t="str">
        <f ca="1">IF(H108=0,"",COUNTIF($H$11:H108,"&gt;0"))</f>
        <v/>
      </c>
      <c r="H108" s="17">
        <f ca="1">IFERROR(SEARCH(INDIRECT(CELL("address")),DBRANEQ!H107),0)</f>
        <v>0</v>
      </c>
      <c r="J108" t="str">
        <f ca="1">IFERROR(INDEX(DBTXEQ!$H$10:$H$500,MATCH(ROW(I98),$K$11:$K$500,0)),"")</f>
        <v/>
      </c>
      <c r="K108" t="str">
        <f ca="1">IF(L108=0,"",COUNTIF($L$11:L108,"&gt;0"))</f>
        <v/>
      </c>
      <c r="L108">
        <f ca="1">IFERROR(SEARCH(INDIRECT(CELL("address")),DBTXEQ!H107),0)</f>
        <v>0</v>
      </c>
    </row>
    <row r="109" spans="6:12">
      <c r="F109" s="17" t="str">
        <f ca="1">IFERROR(INDEX(DBRANEQ!$H$10:$H$500,MATCH(ROW(E99),$G$11:$G$500,0)),"")</f>
        <v/>
      </c>
      <c r="G109" s="17" t="str">
        <f ca="1">IF(H109=0,"",COUNTIF($H$11:H109,"&gt;0"))</f>
        <v/>
      </c>
      <c r="H109" s="17">
        <f ca="1">IFERROR(SEARCH(INDIRECT(CELL("address")),DBRANEQ!H108),0)</f>
        <v>0</v>
      </c>
      <c r="J109" t="str">
        <f ca="1">IFERROR(INDEX(DBTXEQ!$H$10:$H$500,MATCH(ROW(I99),$K$11:$K$500,0)),"")</f>
        <v/>
      </c>
      <c r="K109" t="str">
        <f ca="1">IF(L109=0,"",COUNTIF($L$11:L109,"&gt;0"))</f>
        <v/>
      </c>
      <c r="L109">
        <f ca="1">IFERROR(SEARCH(INDIRECT(CELL("address")),DBTXEQ!H108),0)</f>
        <v>0</v>
      </c>
    </row>
    <row r="110" spans="6:12">
      <c r="F110" s="17" t="str">
        <f ca="1">IFERROR(INDEX(DBRANEQ!$H$10:$H$500,MATCH(ROW(E100),$G$11:$G$500,0)),"")</f>
        <v/>
      </c>
      <c r="G110" s="17" t="str">
        <f ca="1">IF(H110=0,"",COUNTIF($H$11:H110,"&gt;0"))</f>
        <v/>
      </c>
      <c r="H110" s="17">
        <f ca="1">IFERROR(SEARCH(INDIRECT(CELL("address")),DBRANEQ!H109),0)</f>
        <v>0</v>
      </c>
      <c r="J110" t="str">
        <f ca="1">IFERROR(INDEX(DBTXEQ!$H$10:$H$500,MATCH(ROW(I100),$K$11:$K$500,0)),"")</f>
        <v/>
      </c>
      <c r="K110" t="str">
        <f ca="1">IF(L110=0,"",COUNTIF($L$11:L110,"&gt;0"))</f>
        <v/>
      </c>
      <c r="L110">
        <f ca="1">IFERROR(SEARCH(INDIRECT(CELL("address")),DBTXEQ!H109),0)</f>
        <v>0</v>
      </c>
    </row>
    <row r="111" spans="6:12">
      <c r="F111" s="17" t="str">
        <f ca="1">IFERROR(INDEX(DBRANEQ!$H$10:$H$500,MATCH(ROW(E101),$G$11:$G$500,0)),"")</f>
        <v/>
      </c>
      <c r="G111" s="17" t="str">
        <f ca="1">IF(H111=0,"",COUNTIF($H$11:H111,"&gt;0"))</f>
        <v/>
      </c>
      <c r="H111" s="17">
        <f ca="1">IFERROR(SEARCH(INDIRECT(CELL("address")),DBRANEQ!H110),0)</f>
        <v>0</v>
      </c>
      <c r="J111" t="str">
        <f ca="1">IFERROR(INDEX(DBTXEQ!$H$10:$H$500,MATCH(ROW(I101),$K$11:$K$500,0)),"")</f>
        <v/>
      </c>
      <c r="K111" t="str">
        <f ca="1">IF(L111=0,"",COUNTIF($L$11:L111,"&gt;0"))</f>
        <v/>
      </c>
      <c r="L111">
        <f ca="1">IFERROR(SEARCH(INDIRECT(CELL("address")),DBTXEQ!H110),0)</f>
        <v>0</v>
      </c>
    </row>
    <row r="112" spans="6:12">
      <c r="F112" s="17" t="str">
        <f ca="1">IFERROR(INDEX(DBRANEQ!$H$10:$H$500,MATCH(ROW(E102),$G$11:$G$500,0)),"")</f>
        <v/>
      </c>
      <c r="G112" s="17" t="str">
        <f ca="1">IF(H112=0,"",COUNTIF($H$11:H112,"&gt;0"))</f>
        <v/>
      </c>
      <c r="H112" s="17">
        <f ca="1">IFERROR(SEARCH(INDIRECT(CELL("address")),DBRANEQ!H111),0)</f>
        <v>0</v>
      </c>
      <c r="J112" t="str">
        <f ca="1">IFERROR(INDEX(DBTXEQ!$H$10:$H$500,MATCH(ROW(I102),$K$11:$K$500,0)),"")</f>
        <v/>
      </c>
      <c r="K112" t="str">
        <f ca="1">IF(L112=0,"",COUNTIF($L$11:L112,"&gt;0"))</f>
        <v/>
      </c>
      <c r="L112">
        <f ca="1">IFERROR(SEARCH(INDIRECT(CELL("address")),DBTXEQ!H111),0)</f>
        <v>0</v>
      </c>
    </row>
    <row r="113" spans="6:12">
      <c r="F113" s="17" t="str">
        <f ca="1">IFERROR(INDEX(DBRANEQ!$H$10:$H$500,MATCH(ROW(E103),$G$11:$G$500,0)),"")</f>
        <v/>
      </c>
      <c r="G113" s="17" t="str">
        <f ca="1">IF(H113=0,"",COUNTIF($H$11:H113,"&gt;0"))</f>
        <v/>
      </c>
      <c r="H113" s="17">
        <f ca="1">IFERROR(SEARCH(INDIRECT(CELL("address")),DBRANEQ!H112),0)</f>
        <v>0</v>
      </c>
      <c r="J113" t="str">
        <f ca="1">IFERROR(INDEX(DBTXEQ!$H$10:$H$500,MATCH(ROW(I103),$K$11:$K$500,0)),"")</f>
        <v/>
      </c>
      <c r="K113" t="str">
        <f ca="1">IF(L113=0,"",COUNTIF($L$11:L113,"&gt;0"))</f>
        <v/>
      </c>
      <c r="L113">
        <f ca="1">IFERROR(SEARCH(INDIRECT(CELL("address")),DBTXEQ!H112),0)</f>
        <v>0</v>
      </c>
    </row>
    <row r="114" spans="6:12">
      <c r="F114" s="17" t="str">
        <f ca="1">IFERROR(INDEX(DBRANEQ!$H$10:$H$500,MATCH(ROW(E104),$G$11:$G$500,0)),"")</f>
        <v/>
      </c>
      <c r="G114" s="17" t="str">
        <f ca="1">IF(H114=0,"",COUNTIF($H$11:H114,"&gt;0"))</f>
        <v/>
      </c>
      <c r="H114" s="17">
        <f ca="1">IFERROR(SEARCH(INDIRECT(CELL("address")),DBRANEQ!H113),0)</f>
        <v>0</v>
      </c>
      <c r="J114" t="str">
        <f ca="1">IFERROR(INDEX(DBTXEQ!$H$10:$H$500,MATCH(ROW(I104),$K$11:$K$500,0)),"")</f>
        <v/>
      </c>
      <c r="K114" t="str">
        <f ca="1">IF(L114=0,"",COUNTIF($L$11:L114,"&gt;0"))</f>
        <v/>
      </c>
      <c r="L114">
        <f ca="1">IFERROR(SEARCH(INDIRECT(CELL("address")),DBTXEQ!H113),0)</f>
        <v>0</v>
      </c>
    </row>
    <row r="115" spans="6:12">
      <c r="F115" s="17" t="str">
        <f ca="1">IFERROR(INDEX(DBRANEQ!$H$10:$H$500,MATCH(ROW(E105),$G$11:$G$500,0)),"")</f>
        <v/>
      </c>
      <c r="G115" s="17" t="str">
        <f ca="1">IF(H115=0,"",COUNTIF($H$11:H115,"&gt;0"))</f>
        <v/>
      </c>
      <c r="H115" s="17">
        <f ca="1">IFERROR(SEARCH(INDIRECT(CELL("address")),DBRANEQ!H114),0)</f>
        <v>0</v>
      </c>
      <c r="J115" t="str">
        <f ca="1">IFERROR(INDEX(DBTXEQ!$H$10:$H$500,MATCH(ROW(I105),$K$11:$K$500,0)),"")</f>
        <v/>
      </c>
      <c r="K115" t="str">
        <f ca="1">IF(L115=0,"",COUNTIF($L$11:L115,"&gt;0"))</f>
        <v/>
      </c>
      <c r="L115">
        <f ca="1">IFERROR(SEARCH(INDIRECT(CELL("address")),DBTXEQ!H114),0)</f>
        <v>0</v>
      </c>
    </row>
    <row r="116" spans="6:12">
      <c r="F116" s="17" t="str">
        <f ca="1">IFERROR(INDEX(DBRANEQ!$H$10:$H$500,MATCH(ROW(E106),$G$11:$G$500,0)),"")</f>
        <v/>
      </c>
      <c r="G116" s="17" t="str">
        <f ca="1">IF(H116=0,"",COUNTIF($H$11:H116,"&gt;0"))</f>
        <v/>
      </c>
      <c r="H116" s="17">
        <f ca="1">IFERROR(SEARCH(INDIRECT(CELL("address")),DBRANEQ!H115),0)</f>
        <v>0</v>
      </c>
      <c r="J116" t="str">
        <f ca="1">IFERROR(INDEX(DBTXEQ!$H$10:$H$500,MATCH(ROW(I106),$K$11:$K$500,0)),"")</f>
        <v/>
      </c>
      <c r="K116" t="str">
        <f ca="1">IF(L116=0,"",COUNTIF($L$11:L116,"&gt;0"))</f>
        <v/>
      </c>
      <c r="L116">
        <f ca="1">IFERROR(SEARCH(INDIRECT(CELL("address")),DBTXEQ!H115),0)</f>
        <v>0</v>
      </c>
    </row>
    <row r="117" spans="6:12">
      <c r="F117" s="17" t="str">
        <f ca="1">IFERROR(INDEX(DBRANEQ!$H$10:$H$500,MATCH(ROW(E107),$G$11:$G$500,0)),"")</f>
        <v/>
      </c>
      <c r="G117" s="17" t="str">
        <f ca="1">IF(H117=0,"",COUNTIF($H$11:H117,"&gt;0"))</f>
        <v/>
      </c>
      <c r="H117" s="17">
        <f ca="1">IFERROR(SEARCH(INDIRECT(CELL("address")),DBRANEQ!H116),0)</f>
        <v>0</v>
      </c>
      <c r="J117" t="str">
        <f ca="1">IFERROR(INDEX(DBTXEQ!$H$10:$H$500,MATCH(ROW(I107),$K$11:$K$500,0)),"")</f>
        <v/>
      </c>
      <c r="K117" t="str">
        <f ca="1">IF(L117=0,"",COUNTIF($L$11:L117,"&gt;0"))</f>
        <v/>
      </c>
      <c r="L117">
        <f ca="1">IFERROR(SEARCH(INDIRECT(CELL("address")),DBTXEQ!H116),0)</f>
        <v>0</v>
      </c>
    </row>
    <row r="118" spans="6:12">
      <c r="F118" s="17" t="str">
        <f ca="1">IFERROR(INDEX(DBRANEQ!$H$10:$H$500,MATCH(ROW(E108),$G$11:$G$500,0)),"")</f>
        <v/>
      </c>
      <c r="G118" s="17" t="str">
        <f ca="1">IF(H118=0,"",COUNTIF($H$11:H118,"&gt;0"))</f>
        <v/>
      </c>
      <c r="H118" s="17">
        <f ca="1">IFERROR(SEARCH(INDIRECT(CELL("address")),DBRANEQ!H117),0)</f>
        <v>0</v>
      </c>
      <c r="J118" t="str">
        <f ca="1">IFERROR(INDEX(DBTXEQ!$H$10:$H$500,MATCH(ROW(I108),$K$11:$K$500,0)),"")</f>
        <v/>
      </c>
      <c r="K118" t="str">
        <f ca="1">IF(L118=0,"",COUNTIF($L$11:L118,"&gt;0"))</f>
        <v/>
      </c>
      <c r="L118">
        <f ca="1">IFERROR(SEARCH(INDIRECT(CELL("address")),DBTXEQ!H117),0)</f>
        <v>0</v>
      </c>
    </row>
    <row r="119" spans="6:12">
      <c r="F119" s="17" t="str">
        <f ca="1">IFERROR(INDEX(DBRANEQ!$H$10:$H$500,MATCH(ROW(E109),$G$11:$G$500,0)),"")</f>
        <v/>
      </c>
      <c r="G119" s="17" t="str">
        <f ca="1">IF(H119=0,"",COUNTIF($H$11:H119,"&gt;0"))</f>
        <v/>
      </c>
      <c r="H119" s="17">
        <f ca="1">IFERROR(SEARCH(INDIRECT(CELL("address")),DBRANEQ!H118),0)</f>
        <v>0</v>
      </c>
      <c r="J119" t="str">
        <f ca="1">IFERROR(INDEX(DBTXEQ!$H$10:$H$500,MATCH(ROW(I109),$K$11:$K$500,0)),"")</f>
        <v/>
      </c>
      <c r="K119" t="str">
        <f ca="1">IF(L119=0,"",COUNTIF($L$11:L119,"&gt;0"))</f>
        <v/>
      </c>
      <c r="L119">
        <f ca="1">IFERROR(SEARCH(INDIRECT(CELL("address")),DBTXEQ!H118),0)</f>
        <v>0</v>
      </c>
    </row>
    <row r="120" spans="6:12">
      <c r="F120" s="17" t="str">
        <f ca="1">IFERROR(INDEX(DBRANEQ!$H$10:$H$500,MATCH(ROW(E110),$G$11:$G$500,0)),"")</f>
        <v/>
      </c>
      <c r="G120" s="17" t="str">
        <f ca="1">IF(H120=0,"",COUNTIF($H$11:H120,"&gt;0"))</f>
        <v/>
      </c>
      <c r="H120" s="17">
        <f ca="1">IFERROR(SEARCH(INDIRECT(CELL("address")),DBRANEQ!H119),0)</f>
        <v>0</v>
      </c>
      <c r="J120" t="str">
        <f ca="1">IFERROR(INDEX(DBTXEQ!$H$10:$H$500,MATCH(ROW(I110),$K$11:$K$500,0)),"")</f>
        <v/>
      </c>
      <c r="K120" t="str">
        <f ca="1">IF(L120=0,"",COUNTIF($L$11:L120,"&gt;0"))</f>
        <v/>
      </c>
      <c r="L120">
        <f ca="1">IFERROR(SEARCH(INDIRECT(CELL("address")),DBTXEQ!H119),0)</f>
        <v>0</v>
      </c>
    </row>
    <row r="121" spans="6:12">
      <c r="F121" s="17" t="str">
        <f ca="1">IFERROR(INDEX(DBRANEQ!$H$10:$H$500,MATCH(ROW(E111),$G$11:$G$500,0)),"")</f>
        <v/>
      </c>
      <c r="G121" s="17" t="str">
        <f ca="1">IF(H121=0,"",COUNTIF($H$11:H121,"&gt;0"))</f>
        <v/>
      </c>
      <c r="H121" s="17">
        <f ca="1">IFERROR(SEARCH(INDIRECT(CELL("address")),DBRANEQ!H120),0)</f>
        <v>0</v>
      </c>
      <c r="J121" t="str">
        <f ca="1">IFERROR(INDEX(DBTXEQ!$H$10:$H$500,MATCH(ROW(I111),$K$11:$K$500,0)),"")</f>
        <v/>
      </c>
      <c r="K121" t="str">
        <f ca="1">IF(L121=0,"",COUNTIF($L$11:L121,"&gt;0"))</f>
        <v/>
      </c>
      <c r="L121">
        <f ca="1">IFERROR(SEARCH(INDIRECT(CELL("address")),DBTXEQ!H120),0)</f>
        <v>0</v>
      </c>
    </row>
    <row r="122" spans="6:12">
      <c r="F122" s="17" t="str">
        <f ca="1">IFERROR(INDEX(DBRANEQ!$H$10:$H$500,MATCH(ROW(E112),$G$11:$G$500,0)),"")</f>
        <v/>
      </c>
      <c r="G122" s="17" t="str">
        <f ca="1">IF(H122=0,"",COUNTIF($H$11:H122,"&gt;0"))</f>
        <v/>
      </c>
      <c r="H122" s="17">
        <f ca="1">IFERROR(SEARCH(INDIRECT(CELL("address")),DBRANEQ!H121),0)</f>
        <v>0</v>
      </c>
      <c r="J122" t="str">
        <f ca="1">IFERROR(INDEX(DBTXEQ!$H$10:$H$500,MATCH(ROW(I112),$K$11:$K$500,0)),"")</f>
        <v/>
      </c>
      <c r="K122" t="str">
        <f ca="1">IF(L122=0,"",COUNTIF($L$11:L122,"&gt;0"))</f>
        <v/>
      </c>
      <c r="L122">
        <f ca="1">IFERROR(SEARCH(INDIRECT(CELL("address")),DBTXEQ!H121),0)</f>
        <v>0</v>
      </c>
    </row>
    <row r="123" spans="6:12">
      <c r="F123" s="17" t="str">
        <f ca="1">IFERROR(INDEX(DBRANEQ!$H$10:$H$500,MATCH(ROW(E113),$G$11:$G$500,0)),"")</f>
        <v/>
      </c>
      <c r="G123" s="17" t="str">
        <f ca="1">IF(H123=0,"",COUNTIF($H$11:H123,"&gt;0"))</f>
        <v/>
      </c>
      <c r="H123" s="17">
        <f ca="1">IFERROR(SEARCH(INDIRECT(CELL("address")),DBRANEQ!H122),0)</f>
        <v>0</v>
      </c>
      <c r="J123" t="str">
        <f ca="1">IFERROR(INDEX(DBTXEQ!$H$10:$H$500,MATCH(ROW(I113),$K$11:$K$500,0)),"")</f>
        <v/>
      </c>
      <c r="K123" t="str">
        <f ca="1">IF(L123=0,"",COUNTIF($L$11:L123,"&gt;0"))</f>
        <v/>
      </c>
      <c r="L123">
        <f ca="1">IFERROR(SEARCH(INDIRECT(CELL("address")),DBTXEQ!H122),0)</f>
        <v>0</v>
      </c>
    </row>
    <row r="124" spans="6:12">
      <c r="F124" s="17" t="str">
        <f ca="1">IFERROR(INDEX(DBRANEQ!$H$10:$H$500,MATCH(ROW(E114),$G$11:$G$500,0)),"")</f>
        <v/>
      </c>
      <c r="G124" s="17" t="str">
        <f ca="1">IF(H124=0,"",COUNTIF($H$11:H124,"&gt;0"))</f>
        <v/>
      </c>
      <c r="H124" s="17">
        <f ca="1">IFERROR(SEARCH(INDIRECT(CELL("address")),DBRANEQ!H123),0)</f>
        <v>0</v>
      </c>
      <c r="J124" t="str">
        <f ca="1">IFERROR(INDEX(DBTXEQ!$H$10:$H$500,MATCH(ROW(I114),$K$11:$K$500,0)),"")</f>
        <v/>
      </c>
      <c r="K124" t="str">
        <f ca="1">IF(L124=0,"",COUNTIF($L$11:L124,"&gt;0"))</f>
        <v/>
      </c>
      <c r="L124">
        <f ca="1">IFERROR(SEARCH(INDIRECT(CELL("address")),DBTXEQ!H123),0)</f>
        <v>0</v>
      </c>
    </row>
    <row r="125" spans="6:12">
      <c r="F125" s="17" t="str">
        <f ca="1">IFERROR(INDEX(DBRANEQ!$H$10:$H$500,MATCH(ROW(E115),$G$11:$G$500,0)),"")</f>
        <v/>
      </c>
      <c r="G125" s="17" t="str">
        <f ca="1">IF(H125=0,"",COUNTIF($H$11:H125,"&gt;0"))</f>
        <v/>
      </c>
      <c r="H125" s="17">
        <f ca="1">IFERROR(SEARCH(INDIRECT(CELL("address")),DBRANEQ!H124),0)</f>
        <v>0</v>
      </c>
      <c r="J125" t="str">
        <f ca="1">IFERROR(INDEX(DBTXEQ!$H$10:$H$500,MATCH(ROW(I115),$K$11:$K$500,0)),"")</f>
        <v/>
      </c>
      <c r="K125" t="str">
        <f ca="1">IF(L125=0,"",COUNTIF($L$11:L125,"&gt;0"))</f>
        <v/>
      </c>
      <c r="L125">
        <f ca="1">IFERROR(SEARCH(INDIRECT(CELL("address")),DBTXEQ!H124),0)</f>
        <v>0</v>
      </c>
    </row>
    <row r="126" spans="6:12">
      <c r="F126" s="17" t="str">
        <f ca="1">IFERROR(INDEX(DBRANEQ!$H$10:$H$500,MATCH(ROW(E116),$G$11:$G$500,0)),"")</f>
        <v/>
      </c>
      <c r="G126" s="17" t="str">
        <f ca="1">IF(H126=0,"",COUNTIF($H$11:H126,"&gt;0"))</f>
        <v/>
      </c>
      <c r="H126" s="17">
        <f ca="1">IFERROR(SEARCH(INDIRECT(CELL("address")),DBRANEQ!H125),0)</f>
        <v>0</v>
      </c>
      <c r="J126" t="str">
        <f ca="1">IFERROR(INDEX(DBTXEQ!$H$10:$H$500,MATCH(ROW(I116),$K$11:$K$500,0)),"")</f>
        <v/>
      </c>
      <c r="K126" t="str">
        <f ca="1">IF(L126=0,"",COUNTIF($L$11:L126,"&gt;0"))</f>
        <v/>
      </c>
      <c r="L126">
        <f ca="1">IFERROR(SEARCH(INDIRECT(CELL("address")),DBTXEQ!H125),0)</f>
        <v>0</v>
      </c>
    </row>
    <row r="127" spans="6:12">
      <c r="F127" s="17" t="str">
        <f ca="1">IFERROR(INDEX(DBRANEQ!$H$10:$H$500,MATCH(ROW(E117),$G$11:$G$500,0)),"")</f>
        <v/>
      </c>
      <c r="G127" s="17" t="str">
        <f ca="1">IF(H127=0,"",COUNTIF($H$11:H127,"&gt;0"))</f>
        <v/>
      </c>
      <c r="H127" s="17">
        <f ca="1">IFERROR(SEARCH(INDIRECT(CELL("address")),DBRANEQ!H126),0)</f>
        <v>0</v>
      </c>
      <c r="J127" t="str">
        <f ca="1">IFERROR(INDEX(DBTXEQ!$H$10:$H$500,MATCH(ROW(I117),$K$11:$K$500,0)),"")</f>
        <v/>
      </c>
      <c r="K127" t="str">
        <f ca="1">IF(L127=0,"",COUNTIF($L$11:L127,"&gt;0"))</f>
        <v/>
      </c>
      <c r="L127">
        <f ca="1">IFERROR(SEARCH(INDIRECT(CELL("address")),DBTXEQ!H126),0)</f>
        <v>0</v>
      </c>
    </row>
    <row r="128" spans="6:12">
      <c r="F128" s="17" t="str">
        <f ca="1">IFERROR(INDEX(DBRANEQ!$H$10:$H$500,MATCH(ROW(E118),$G$11:$G$500,0)),"")</f>
        <v/>
      </c>
      <c r="G128" s="17" t="str">
        <f ca="1">IF(H128=0,"",COUNTIF($H$11:H128,"&gt;0"))</f>
        <v/>
      </c>
      <c r="H128" s="17">
        <f ca="1">IFERROR(SEARCH(INDIRECT(CELL("address")),DBRANEQ!H127),0)</f>
        <v>0</v>
      </c>
      <c r="J128" t="str">
        <f ca="1">IFERROR(INDEX(DBTXEQ!$H$10:$H$500,MATCH(ROW(I118),$K$11:$K$500,0)),"")</f>
        <v/>
      </c>
      <c r="K128" t="str">
        <f ca="1">IF(L128=0,"",COUNTIF($L$11:L128,"&gt;0"))</f>
        <v/>
      </c>
      <c r="L128">
        <f ca="1">IFERROR(SEARCH(INDIRECT(CELL("address")),DBTXEQ!H127),0)</f>
        <v>0</v>
      </c>
    </row>
    <row r="129" spans="6:12">
      <c r="F129" s="17" t="str">
        <f ca="1">IFERROR(INDEX(DBRANEQ!$H$10:$H$500,MATCH(ROW(E119),$G$11:$G$500,0)),"")</f>
        <v/>
      </c>
      <c r="G129" s="17" t="str">
        <f ca="1">IF(H129=0,"",COUNTIF($H$11:H129,"&gt;0"))</f>
        <v/>
      </c>
      <c r="H129" s="17">
        <f ca="1">IFERROR(SEARCH(INDIRECT(CELL("address")),DBRANEQ!H128),0)</f>
        <v>0</v>
      </c>
      <c r="J129" t="str">
        <f ca="1">IFERROR(INDEX(DBTXEQ!$H$10:$H$500,MATCH(ROW(I119),$K$11:$K$500,0)),"")</f>
        <v/>
      </c>
      <c r="K129" t="str">
        <f ca="1">IF(L129=0,"",COUNTIF($L$11:L129,"&gt;0"))</f>
        <v/>
      </c>
      <c r="L129">
        <f ca="1">IFERROR(SEARCH(INDIRECT(CELL("address")),DBTXEQ!H128),0)</f>
        <v>0</v>
      </c>
    </row>
    <row r="130" spans="6:12">
      <c r="F130" s="17" t="str">
        <f ca="1">IFERROR(INDEX(DBRANEQ!$H$10:$H$500,MATCH(ROW(E120),$G$11:$G$500,0)),"")</f>
        <v/>
      </c>
      <c r="G130" s="17" t="str">
        <f ca="1">IF(H130=0,"",COUNTIF($H$11:H130,"&gt;0"))</f>
        <v/>
      </c>
      <c r="H130" s="17">
        <f ca="1">IFERROR(SEARCH(INDIRECT(CELL("address")),DBRANEQ!H129),0)</f>
        <v>0</v>
      </c>
      <c r="J130" t="str">
        <f ca="1">IFERROR(INDEX(DBTXEQ!$H$10:$H$500,MATCH(ROW(I120),$K$11:$K$500,0)),"")</f>
        <v/>
      </c>
      <c r="K130" t="str">
        <f ca="1">IF(L130=0,"",COUNTIF($L$11:L130,"&gt;0"))</f>
        <v/>
      </c>
      <c r="L130">
        <f ca="1">IFERROR(SEARCH(INDIRECT(CELL("address")),DBTXEQ!H129),0)</f>
        <v>0</v>
      </c>
    </row>
    <row r="131" spans="6:12">
      <c r="F131" s="17" t="str">
        <f ca="1">IFERROR(INDEX(DBRANEQ!$H$10:$H$500,MATCH(ROW(E121),$G$11:$G$500,0)),"")</f>
        <v/>
      </c>
      <c r="G131" s="17" t="str">
        <f ca="1">IF(H131=0,"",COUNTIF($H$11:H131,"&gt;0"))</f>
        <v/>
      </c>
      <c r="H131" s="17">
        <f ca="1">IFERROR(SEARCH(INDIRECT(CELL("address")),DBRANEQ!H130),0)</f>
        <v>0</v>
      </c>
      <c r="J131" t="str">
        <f ca="1">IFERROR(INDEX(DBTXEQ!$H$10:$H$500,MATCH(ROW(I121),$K$11:$K$500,0)),"")</f>
        <v/>
      </c>
      <c r="K131" t="str">
        <f ca="1">IF(L131=0,"",COUNTIF($L$11:L131,"&gt;0"))</f>
        <v/>
      </c>
      <c r="L131">
        <f ca="1">IFERROR(SEARCH(INDIRECT(CELL("address")),DBTXEQ!H130),0)</f>
        <v>0</v>
      </c>
    </row>
    <row r="132" spans="6:12">
      <c r="F132" s="17" t="str">
        <f ca="1">IFERROR(INDEX(DBRANEQ!$H$10:$H$500,MATCH(ROW(E122),$G$11:$G$500,0)),"")</f>
        <v/>
      </c>
      <c r="G132" s="17" t="str">
        <f ca="1">IF(H132=0,"",COUNTIF($H$11:H132,"&gt;0"))</f>
        <v/>
      </c>
      <c r="H132" s="17">
        <f ca="1">IFERROR(SEARCH(INDIRECT(CELL("address")),DBRANEQ!H131),0)</f>
        <v>0</v>
      </c>
      <c r="J132" t="str">
        <f ca="1">IFERROR(INDEX(DBTXEQ!$H$10:$H$500,MATCH(ROW(I122),$K$11:$K$500,0)),"")</f>
        <v/>
      </c>
      <c r="K132" t="str">
        <f ca="1">IF(L132=0,"",COUNTIF($L$11:L132,"&gt;0"))</f>
        <v/>
      </c>
      <c r="L132">
        <f ca="1">IFERROR(SEARCH(INDIRECT(CELL("address")),DBTXEQ!H131),0)</f>
        <v>0</v>
      </c>
    </row>
    <row r="133" spans="6:12">
      <c r="F133" s="17" t="str">
        <f ca="1">IFERROR(INDEX(DBRANEQ!$H$10:$H$500,MATCH(ROW(E123),$G$11:$G$500,0)),"")</f>
        <v/>
      </c>
      <c r="G133" s="17" t="str">
        <f ca="1">IF(H133=0,"",COUNTIF($H$11:H133,"&gt;0"))</f>
        <v/>
      </c>
      <c r="H133" s="17">
        <f ca="1">IFERROR(SEARCH(INDIRECT(CELL("address")),DBRANEQ!H132),0)</f>
        <v>0</v>
      </c>
      <c r="J133" t="str">
        <f ca="1">IFERROR(INDEX(DBTXEQ!$H$10:$H$500,MATCH(ROW(I123),$K$11:$K$500,0)),"")</f>
        <v/>
      </c>
      <c r="K133" t="str">
        <f ca="1">IF(L133=0,"",COUNTIF($L$11:L133,"&gt;0"))</f>
        <v/>
      </c>
      <c r="L133">
        <f ca="1">IFERROR(SEARCH(INDIRECT(CELL("address")),DBTXEQ!H132),0)</f>
        <v>0</v>
      </c>
    </row>
    <row r="134" spans="6:12">
      <c r="F134" s="17" t="str">
        <f ca="1">IFERROR(INDEX(DBRANEQ!$H$10:$H$500,MATCH(ROW(E124),$G$11:$G$500,0)),"")</f>
        <v/>
      </c>
      <c r="G134" s="17" t="str">
        <f ca="1">IF(H134=0,"",COUNTIF($H$11:H134,"&gt;0"))</f>
        <v/>
      </c>
      <c r="H134" s="17">
        <f ca="1">IFERROR(SEARCH(INDIRECT(CELL("address")),DBRANEQ!H133),0)</f>
        <v>0</v>
      </c>
      <c r="J134" t="str">
        <f ca="1">IFERROR(INDEX(DBTXEQ!$H$10:$H$500,MATCH(ROW(I124),$K$11:$K$500,0)),"")</f>
        <v/>
      </c>
      <c r="K134" t="str">
        <f ca="1">IF(L134=0,"",COUNTIF($L$11:L134,"&gt;0"))</f>
        <v/>
      </c>
      <c r="L134">
        <f ca="1">IFERROR(SEARCH(INDIRECT(CELL("address")),DBTXEQ!H133),0)</f>
        <v>0</v>
      </c>
    </row>
    <row r="135" spans="6:12">
      <c r="F135" s="17" t="str">
        <f ca="1">IFERROR(INDEX(DBRANEQ!$H$10:$H$500,MATCH(ROW(E125),$G$11:$G$500,0)),"")</f>
        <v/>
      </c>
      <c r="G135" s="17" t="str">
        <f ca="1">IF(H135=0,"",COUNTIF($H$11:H135,"&gt;0"))</f>
        <v/>
      </c>
      <c r="H135" s="17">
        <f ca="1">IFERROR(SEARCH(INDIRECT(CELL("address")),DBRANEQ!H134),0)</f>
        <v>0</v>
      </c>
      <c r="J135" t="str">
        <f ca="1">IFERROR(INDEX(DBTXEQ!$H$10:$H$500,MATCH(ROW(I125),$K$11:$K$500,0)),"")</f>
        <v/>
      </c>
      <c r="K135" t="str">
        <f ca="1">IF(L135=0,"",COUNTIF($L$11:L135,"&gt;0"))</f>
        <v/>
      </c>
      <c r="L135">
        <f ca="1">IFERROR(SEARCH(INDIRECT(CELL("address")),DBTXEQ!H134),0)</f>
        <v>0</v>
      </c>
    </row>
    <row r="136" spans="6:12">
      <c r="F136" s="17" t="str">
        <f ca="1">IFERROR(INDEX(DBRANEQ!$H$10:$H$500,MATCH(ROW(E126),$G$11:$G$500,0)),"")</f>
        <v/>
      </c>
      <c r="G136" s="17" t="str">
        <f ca="1">IF(H136=0,"",COUNTIF($H$11:H136,"&gt;0"))</f>
        <v/>
      </c>
      <c r="H136" s="17">
        <f ca="1">IFERROR(SEARCH(INDIRECT(CELL("address")),DBRANEQ!H135),0)</f>
        <v>0</v>
      </c>
      <c r="J136" t="str">
        <f ca="1">IFERROR(INDEX(DBTXEQ!$H$10:$H$500,MATCH(ROW(I126),$K$11:$K$500,0)),"")</f>
        <v/>
      </c>
      <c r="K136" t="str">
        <f ca="1">IF(L136=0,"",COUNTIF($L$11:L136,"&gt;0"))</f>
        <v/>
      </c>
      <c r="L136">
        <f ca="1">IFERROR(SEARCH(INDIRECT(CELL("address")),DBTXEQ!H135),0)</f>
        <v>0</v>
      </c>
    </row>
    <row r="137" spans="6:12">
      <c r="F137" s="17" t="str">
        <f ca="1">IFERROR(INDEX(DBRANEQ!$H$10:$H$500,MATCH(ROW(E127),$G$11:$G$500,0)),"")</f>
        <v/>
      </c>
      <c r="G137" s="17" t="str">
        <f ca="1">IF(H137=0,"",COUNTIF($H$11:H137,"&gt;0"))</f>
        <v/>
      </c>
      <c r="H137" s="17">
        <f ca="1">IFERROR(SEARCH(INDIRECT(CELL("address")),DBRANEQ!H136),0)</f>
        <v>0</v>
      </c>
      <c r="J137" t="str">
        <f ca="1">IFERROR(INDEX(DBTXEQ!$H$10:$H$500,MATCH(ROW(I127),$K$11:$K$500,0)),"")</f>
        <v/>
      </c>
      <c r="K137" t="str">
        <f ca="1">IF(L137=0,"",COUNTIF($L$11:L137,"&gt;0"))</f>
        <v/>
      </c>
      <c r="L137">
        <f ca="1">IFERROR(SEARCH(INDIRECT(CELL("address")),DBTXEQ!H136),0)</f>
        <v>0</v>
      </c>
    </row>
    <row r="138" spans="6:12">
      <c r="F138" s="17" t="str">
        <f ca="1">IFERROR(INDEX(DBRANEQ!$H$10:$H$500,MATCH(ROW(E128),$G$11:$G$500,0)),"")</f>
        <v/>
      </c>
      <c r="G138" s="17" t="str">
        <f ca="1">IF(H138=0,"",COUNTIF($H$11:H138,"&gt;0"))</f>
        <v/>
      </c>
      <c r="H138" s="17">
        <f ca="1">IFERROR(SEARCH(INDIRECT(CELL("address")),DBRANEQ!H137),0)</f>
        <v>0</v>
      </c>
      <c r="J138" t="str">
        <f ca="1">IFERROR(INDEX(DBTXEQ!$H$10:$H$500,MATCH(ROW(I128),$K$11:$K$500,0)),"")</f>
        <v/>
      </c>
      <c r="K138" t="str">
        <f ca="1">IF(L138=0,"",COUNTIF($L$11:L138,"&gt;0"))</f>
        <v/>
      </c>
      <c r="L138">
        <f ca="1">IFERROR(SEARCH(INDIRECT(CELL("address")),DBTXEQ!H137),0)</f>
        <v>0</v>
      </c>
    </row>
    <row r="139" spans="6:12">
      <c r="F139" s="17" t="str">
        <f ca="1">IFERROR(INDEX(DBRANEQ!$H$10:$H$500,MATCH(ROW(E129),$G$11:$G$500,0)),"")</f>
        <v/>
      </c>
      <c r="G139" s="17" t="str">
        <f ca="1">IF(H139=0,"",COUNTIF($H$11:H139,"&gt;0"))</f>
        <v/>
      </c>
      <c r="H139" s="17">
        <f ca="1">IFERROR(SEARCH(INDIRECT(CELL("address")),DBRANEQ!H138),0)</f>
        <v>0</v>
      </c>
      <c r="J139" t="str">
        <f ca="1">IFERROR(INDEX(DBTXEQ!$H$10:$H$500,MATCH(ROW(I129),$K$11:$K$500,0)),"")</f>
        <v/>
      </c>
      <c r="K139" t="str">
        <f ca="1">IF(L139=0,"",COUNTIF($L$11:L139,"&gt;0"))</f>
        <v/>
      </c>
      <c r="L139">
        <f ca="1">IFERROR(SEARCH(INDIRECT(CELL("address")),DBTXEQ!H138),0)</f>
        <v>0</v>
      </c>
    </row>
    <row r="140" spans="6:12">
      <c r="F140" s="17" t="str">
        <f ca="1">IFERROR(INDEX(DBRANEQ!$H$10:$H$500,MATCH(ROW(E130),$G$11:$G$500,0)),"")</f>
        <v/>
      </c>
      <c r="G140" s="17" t="str">
        <f ca="1">IF(H140=0,"",COUNTIF($H$11:H140,"&gt;0"))</f>
        <v/>
      </c>
      <c r="H140" s="17">
        <f ca="1">IFERROR(SEARCH(INDIRECT(CELL("address")),DBRANEQ!H139),0)</f>
        <v>0</v>
      </c>
      <c r="J140" t="str">
        <f ca="1">IFERROR(INDEX(DBTXEQ!$H$10:$H$500,MATCH(ROW(I130),$K$11:$K$500,0)),"")</f>
        <v/>
      </c>
      <c r="K140" t="str">
        <f ca="1">IF(L140=0,"",COUNTIF($L$11:L140,"&gt;0"))</f>
        <v/>
      </c>
      <c r="L140">
        <f ca="1">IFERROR(SEARCH(INDIRECT(CELL("address")),DBTXEQ!H139),0)</f>
        <v>0</v>
      </c>
    </row>
    <row r="141" spans="6:12">
      <c r="F141" s="17" t="str">
        <f ca="1">IFERROR(INDEX(DBRANEQ!$H$10:$H$500,MATCH(ROW(E131),$G$11:$G$500,0)),"")</f>
        <v/>
      </c>
      <c r="G141" s="17" t="str">
        <f ca="1">IF(H141=0,"",COUNTIF($H$11:H141,"&gt;0"))</f>
        <v/>
      </c>
      <c r="H141" s="17">
        <f ca="1">IFERROR(SEARCH(INDIRECT(CELL("address")),DBRANEQ!H140),0)</f>
        <v>0</v>
      </c>
      <c r="J141" t="str">
        <f ca="1">IFERROR(INDEX(DBTXEQ!$H$10:$H$500,MATCH(ROW(I131),$K$11:$K$500,0)),"")</f>
        <v/>
      </c>
      <c r="K141" t="str">
        <f ca="1">IF(L141=0,"",COUNTIF($L$11:L141,"&gt;0"))</f>
        <v/>
      </c>
      <c r="L141">
        <f ca="1">IFERROR(SEARCH(INDIRECT(CELL("address")),DBTXEQ!H140),0)</f>
        <v>0</v>
      </c>
    </row>
    <row r="142" spans="6:12">
      <c r="F142" s="17" t="str">
        <f ca="1">IFERROR(INDEX(DBRANEQ!$H$10:$H$500,MATCH(ROW(E132),$G$11:$G$500,0)),"")</f>
        <v/>
      </c>
      <c r="G142" s="17" t="str">
        <f ca="1">IF(H142=0,"",COUNTIF($H$11:H142,"&gt;0"))</f>
        <v/>
      </c>
      <c r="H142" s="17">
        <f ca="1">IFERROR(SEARCH(INDIRECT(CELL("address")),DBRANEQ!H141),0)</f>
        <v>0</v>
      </c>
      <c r="J142" t="str">
        <f ca="1">IFERROR(INDEX(DBTXEQ!$H$10:$H$500,MATCH(ROW(I132),$K$11:$K$500,0)),"")</f>
        <v/>
      </c>
      <c r="K142" t="str">
        <f ca="1">IF(L142=0,"",COUNTIF($L$11:L142,"&gt;0"))</f>
        <v/>
      </c>
      <c r="L142">
        <f ca="1">IFERROR(SEARCH(INDIRECT(CELL("address")),DBTXEQ!H141),0)</f>
        <v>0</v>
      </c>
    </row>
    <row r="143" spans="6:12">
      <c r="F143" s="17" t="str">
        <f ca="1">IFERROR(INDEX(DBRANEQ!$H$10:$H$500,MATCH(ROW(E133),$G$11:$G$500,0)),"")</f>
        <v/>
      </c>
      <c r="G143" s="17" t="str">
        <f ca="1">IF(H143=0,"",COUNTIF($H$11:H143,"&gt;0"))</f>
        <v/>
      </c>
      <c r="H143" s="17">
        <f ca="1">IFERROR(SEARCH(INDIRECT(CELL("address")),DBRANEQ!H142),0)</f>
        <v>0</v>
      </c>
      <c r="J143" t="str">
        <f ca="1">IFERROR(INDEX(DBTXEQ!$H$10:$H$500,MATCH(ROW(I133),$K$11:$K$500,0)),"")</f>
        <v/>
      </c>
      <c r="K143" t="str">
        <f ca="1">IF(L143=0,"",COUNTIF($L$11:L143,"&gt;0"))</f>
        <v/>
      </c>
      <c r="L143">
        <f ca="1">IFERROR(SEARCH(INDIRECT(CELL("address")),DBTXEQ!H142),0)</f>
        <v>0</v>
      </c>
    </row>
    <row r="144" spans="6:12">
      <c r="F144" s="17" t="str">
        <f ca="1">IFERROR(INDEX(DBRANEQ!$H$10:$H$500,MATCH(ROW(E134),$G$11:$G$500,0)),"")</f>
        <v/>
      </c>
      <c r="G144" s="17" t="str">
        <f ca="1">IF(H144=0,"",COUNTIF($H$11:H144,"&gt;0"))</f>
        <v/>
      </c>
      <c r="H144" s="17">
        <f ca="1">IFERROR(SEARCH(INDIRECT(CELL("address")),DBRANEQ!H143),0)</f>
        <v>0</v>
      </c>
      <c r="J144" t="str">
        <f ca="1">IFERROR(INDEX(DBTXEQ!$H$10:$H$500,MATCH(ROW(I134),$K$11:$K$500,0)),"")</f>
        <v/>
      </c>
      <c r="K144" t="str">
        <f ca="1">IF(L144=0,"",COUNTIF($L$11:L144,"&gt;0"))</f>
        <v/>
      </c>
      <c r="L144">
        <f ca="1">IFERROR(SEARCH(INDIRECT(CELL("address")),DBTXEQ!H143),0)</f>
        <v>0</v>
      </c>
    </row>
    <row r="145" spans="6:12">
      <c r="F145" s="17" t="str">
        <f ca="1">IFERROR(INDEX(DBRANEQ!$H$10:$H$500,MATCH(ROW(E135),$G$11:$G$500,0)),"")</f>
        <v/>
      </c>
      <c r="G145" s="17" t="str">
        <f ca="1">IF(H145=0,"",COUNTIF($H$11:H145,"&gt;0"))</f>
        <v/>
      </c>
      <c r="H145" s="17">
        <f ca="1">IFERROR(SEARCH(INDIRECT(CELL("address")),DBRANEQ!H144),0)</f>
        <v>0</v>
      </c>
      <c r="J145" t="str">
        <f ca="1">IFERROR(INDEX(DBTXEQ!$H$10:$H$500,MATCH(ROW(I135),$K$11:$K$500,0)),"")</f>
        <v/>
      </c>
      <c r="K145" t="str">
        <f ca="1">IF(L145=0,"",COUNTIF($L$11:L145,"&gt;0"))</f>
        <v/>
      </c>
      <c r="L145">
        <f ca="1">IFERROR(SEARCH(INDIRECT(CELL("address")),DBTXEQ!H144),0)</f>
        <v>0</v>
      </c>
    </row>
    <row r="146" spans="6:12">
      <c r="F146" s="17" t="str">
        <f ca="1">IFERROR(INDEX(DBRANEQ!$H$10:$H$500,MATCH(ROW(E136),$G$11:$G$500,0)),"")</f>
        <v/>
      </c>
      <c r="G146" s="17" t="str">
        <f ca="1">IF(H146=0,"",COUNTIF($H$11:H146,"&gt;0"))</f>
        <v/>
      </c>
      <c r="H146" s="17">
        <f ca="1">IFERROR(SEARCH(INDIRECT(CELL("address")),DBRANEQ!H145),0)</f>
        <v>0</v>
      </c>
      <c r="J146" t="str">
        <f ca="1">IFERROR(INDEX(DBTXEQ!$H$10:$H$500,MATCH(ROW(I136),$K$11:$K$500,0)),"")</f>
        <v/>
      </c>
      <c r="K146" t="str">
        <f ca="1">IF(L146=0,"",COUNTIF($L$11:L146,"&gt;0"))</f>
        <v/>
      </c>
      <c r="L146">
        <f ca="1">IFERROR(SEARCH(INDIRECT(CELL("address")),DBTXEQ!H145),0)</f>
        <v>0</v>
      </c>
    </row>
    <row r="147" spans="6:12">
      <c r="F147" s="17" t="str">
        <f ca="1">IFERROR(INDEX(DBRANEQ!$H$10:$H$500,MATCH(ROW(E137),$G$11:$G$500,0)),"")</f>
        <v/>
      </c>
      <c r="G147" s="17" t="str">
        <f ca="1">IF(H147=0,"",COUNTIF($H$11:H147,"&gt;0"))</f>
        <v/>
      </c>
      <c r="H147" s="17">
        <f ca="1">IFERROR(SEARCH(INDIRECT(CELL("address")),DBRANEQ!H146),0)</f>
        <v>0</v>
      </c>
      <c r="J147" t="str">
        <f ca="1">IFERROR(INDEX(DBTXEQ!$H$10:$H$500,MATCH(ROW(I137),$K$11:$K$500,0)),"")</f>
        <v/>
      </c>
      <c r="K147" t="str">
        <f ca="1">IF(L147=0,"",COUNTIF($L$11:L147,"&gt;0"))</f>
        <v/>
      </c>
      <c r="L147">
        <f ca="1">IFERROR(SEARCH(INDIRECT(CELL("address")),DBTXEQ!H146),0)</f>
        <v>0</v>
      </c>
    </row>
    <row r="148" spans="6:12">
      <c r="F148" s="17" t="str">
        <f ca="1">IFERROR(INDEX(DBRANEQ!$H$10:$H$500,MATCH(ROW(E138),$G$11:$G$500,0)),"")</f>
        <v/>
      </c>
      <c r="G148" s="17" t="str">
        <f ca="1">IF(H148=0,"",COUNTIF($H$11:H148,"&gt;0"))</f>
        <v/>
      </c>
      <c r="H148" s="17">
        <f ca="1">IFERROR(SEARCH(INDIRECT(CELL("address")),DBRANEQ!H147),0)</f>
        <v>0</v>
      </c>
      <c r="J148" t="str">
        <f ca="1">IFERROR(INDEX(DBTXEQ!$H$10:$H$500,MATCH(ROW(I138),$K$11:$K$500,0)),"")</f>
        <v/>
      </c>
      <c r="K148" t="str">
        <f ca="1">IF(L148=0,"",COUNTIF($L$11:L148,"&gt;0"))</f>
        <v/>
      </c>
      <c r="L148">
        <f ca="1">IFERROR(SEARCH(INDIRECT(CELL("address")),DBTXEQ!H147),0)</f>
        <v>0</v>
      </c>
    </row>
    <row r="149" spans="6:12">
      <c r="F149" s="17" t="str">
        <f ca="1">IFERROR(INDEX(DBRANEQ!$H$10:$H$500,MATCH(ROW(E139),$G$11:$G$500,0)),"")</f>
        <v/>
      </c>
      <c r="G149" s="17" t="str">
        <f ca="1">IF(H149=0,"",COUNTIF($H$11:H149,"&gt;0"))</f>
        <v/>
      </c>
      <c r="H149" s="17">
        <f ca="1">IFERROR(SEARCH(INDIRECT(CELL("address")),DBRANEQ!H148),0)</f>
        <v>0</v>
      </c>
      <c r="J149" t="str">
        <f ca="1">IFERROR(INDEX(DBTXEQ!$H$10:$H$500,MATCH(ROW(I139),$K$11:$K$500,0)),"")</f>
        <v/>
      </c>
      <c r="K149" t="str">
        <f ca="1">IF(L149=0,"",COUNTIF($L$11:L149,"&gt;0"))</f>
        <v/>
      </c>
      <c r="L149">
        <f ca="1">IFERROR(SEARCH(INDIRECT(CELL("address")),DBTXEQ!H148),0)</f>
        <v>0</v>
      </c>
    </row>
    <row r="150" spans="6:12">
      <c r="F150" s="17" t="str">
        <f ca="1">IFERROR(INDEX(DBRANEQ!$H$10:$H$500,MATCH(ROW(E140),$G$11:$G$500,0)),"")</f>
        <v/>
      </c>
      <c r="G150" s="17" t="str">
        <f ca="1">IF(H150=0,"",COUNTIF($H$11:H150,"&gt;0"))</f>
        <v/>
      </c>
      <c r="H150" s="17">
        <f ca="1">IFERROR(SEARCH(INDIRECT(CELL("address")),DBRANEQ!H149),0)</f>
        <v>0</v>
      </c>
      <c r="J150" t="str">
        <f ca="1">IFERROR(INDEX(DBTXEQ!$H$10:$H$500,MATCH(ROW(I140),$K$11:$K$500,0)),"")</f>
        <v/>
      </c>
      <c r="K150" t="str">
        <f ca="1">IF(L150=0,"",COUNTIF($L$11:L150,"&gt;0"))</f>
        <v/>
      </c>
      <c r="L150">
        <f ca="1">IFERROR(SEARCH(INDIRECT(CELL("address")),DBTXEQ!H149),0)</f>
        <v>0</v>
      </c>
    </row>
    <row r="151" spans="6:12">
      <c r="F151" s="17" t="str">
        <f ca="1">IFERROR(INDEX(DBRANEQ!$H$10:$H$500,MATCH(ROW(E141),$G$11:$G$500,0)),"")</f>
        <v/>
      </c>
      <c r="G151" s="17" t="str">
        <f ca="1">IF(H151=0,"",COUNTIF($H$11:H151,"&gt;0"))</f>
        <v/>
      </c>
      <c r="H151" s="17">
        <f ca="1">IFERROR(SEARCH(INDIRECT(CELL("address")),DBRANEQ!H150),0)</f>
        <v>0</v>
      </c>
      <c r="J151" t="str">
        <f ca="1">IFERROR(INDEX(DBTXEQ!$H$10:$H$500,MATCH(ROW(I141),$K$11:$K$500,0)),"")</f>
        <v/>
      </c>
      <c r="K151" t="str">
        <f ca="1">IF(L151=0,"",COUNTIF($L$11:L151,"&gt;0"))</f>
        <v/>
      </c>
      <c r="L151">
        <f ca="1">IFERROR(SEARCH(INDIRECT(CELL("address")),DBTXEQ!H150),0)</f>
        <v>0</v>
      </c>
    </row>
    <row r="152" spans="6:12">
      <c r="F152" s="17" t="str">
        <f ca="1">IFERROR(INDEX(DBRANEQ!$H$10:$H$500,MATCH(ROW(E142),$G$11:$G$500,0)),"")</f>
        <v/>
      </c>
      <c r="G152" s="17" t="str">
        <f ca="1">IF(H152=0,"",COUNTIF($H$11:H152,"&gt;0"))</f>
        <v/>
      </c>
      <c r="H152" s="17">
        <f ca="1">IFERROR(SEARCH(INDIRECT(CELL("address")),DBRANEQ!H151),0)</f>
        <v>0</v>
      </c>
      <c r="J152" t="str">
        <f ca="1">IFERROR(INDEX(DBTXEQ!$H$10:$H$500,MATCH(ROW(I142),$K$11:$K$500,0)),"")</f>
        <v/>
      </c>
      <c r="K152" t="str">
        <f ca="1">IF(L152=0,"",COUNTIF($L$11:L152,"&gt;0"))</f>
        <v/>
      </c>
      <c r="L152">
        <f ca="1">IFERROR(SEARCH(INDIRECT(CELL("address")),DBTXEQ!H151),0)</f>
        <v>0</v>
      </c>
    </row>
    <row r="153" spans="6:12">
      <c r="F153" s="17" t="str">
        <f ca="1">IFERROR(INDEX(DBRANEQ!$H$10:$H$500,MATCH(ROW(E143),$G$11:$G$500,0)),"")</f>
        <v/>
      </c>
      <c r="G153" s="17" t="str">
        <f ca="1">IF(H153=0,"",COUNTIF($H$11:H153,"&gt;0"))</f>
        <v/>
      </c>
      <c r="H153" s="17">
        <f ca="1">IFERROR(SEARCH(INDIRECT(CELL("address")),DBRANEQ!H152),0)</f>
        <v>0</v>
      </c>
      <c r="J153" t="str">
        <f ca="1">IFERROR(INDEX(DBTXEQ!$H$10:$H$500,MATCH(ROW(I143),$K$11:$K$500,0)),"")</f>
        <v/>
      </c>
      <c r="K153" t="str">
        <f ca="1">IF(L153=0,"",COUNTIF($L$11:L153,"&gt;0"))</f>
        <v/>
      </c>
      <c r="L153">
        <f ca="1">IFERROR(SEARCH(INDIRECT(CELL("address")),DBTXEQ!H152),0)</f>
        <v>0</v>
      </c>
    </row>
    <row r="154" spans="6:12">
      <c r="F154" s="17" t="str">
        <f ca="1">IFERROR(INDEX(DBRANEQ!$H$10:$H$500,MATCH(ROW(E144),$G$11:$G$500,0)),"")</f>
        <v/>
      </c>
      <c r="G154" s="17" t="str">
        <f ca="1">IF(H154=0,"",COUNTIF($H$11:H154,"&gt;0"))</f>
        <v/>
      </c>
      <c r="H154" s="17">
        <f ca="1">IFERROR(SEARCH(INDIRECT(CELL("address")),DBRANEQ!H153),0)</f>
        <v>0</v>
      </c>
      <c r="J154" t="str">
        <f ca="1">IFERROR(INDEX(DBTXEQ!$H$10:$H$500,MATCH(ROW(I144),$K$11:$K$500,0)),"")</f>
        <v/>
      </c>
      <c r="K154" t="str">
        <f ca="1">IF(L154=0,"",COUNTIF($L$11:L154,"&gt;0"))</f>
        <v/>
      </c>
      <c r="L154">
        <f ca="1">IFERROR(SEARCH(INDIRECT(CELL("address")),DBTXEQ!H153),0)</f>
        <v>0</v>
      </c>
    </row>
    <row r="155" spans="6:12">
      <c r="F155" s="17" t="str">
        <f ca="1">IFERROR(INDEX(DBRANEQ!$H$10:$H$500,MATCH(ROW(E145),$G$11:$G$500,0)),"")</f>
        <v/>
      </c>
      <c r="G155" s="17" t="str">
        <f ca="1">IF(H155=0,"",COUNTIF($H$11:H155,"&gt;0"))</f>
        <v/>
      </c>
      <c r="H155" s="17">
        <f ca="1">IFERROR(SEARCH(INDIRECT(CELL("address")),DBRANEQ!H154),0)</f>
        <v>0</v>
      </c>
      <c r="J155" t="str">
        <f ca="1">IFERROR(INDEX(DBTXEQ!$H$10:$H$500,MATCH(ROW(I145),$K$11:$K$500,0)),"")</f>
        <v/>
      </c>
      <c r="K155" t="str">
        <f ca="1">IF(L155=0,"",COUNTIF($L$11:L155,"&gt;0"))</f>
        <v/>
      </c>
      <c r="L155">
        <f ca="1">IFERROR(SEARCH(INDIRECT(CELL("address")),DBTXEQ!H154),0)</f>
        <v>0</v>
      </c>
    </row>
    <row r="156" spans="6:12">
      <c r="F156" s="17" t="str">
        <f ca="1">IFERROR(INDEX(DBRANEQ!$H$10:$H$500,MATCH(ROW(E146),$G$11:$G$500,0)),"")</f>
        <v/>
      </c>
      <c r="G156" s="17" t="str">
        <f ca="1">IF(H156=0,"",COUNTIF($H$11:H156,"&gt;0"))</f>
        <v/>
      </c>
      <c r="H156" s="17">
        <f ca="1">IFERROR(SEARCH(INDIRECT(CELL("address")),DBRANEQ!H155),0)</f>
        <v>0</v>
      </c>
      <c r="J156" t="str">
        <f ca="1">IFERROR(INDEX(DBTXEQ!$H$10:$H$500,MATCH(ROW(I146),$K$11:$K$500,0)),"")</f>
        <v/>
      </c>
      <c r="K156" t="str">
        <f ca="1">IF(L156=0,"",COUNTIF($L$11:L156,"&gt;0"))</f>
        <v/>
      </c>
      <c r="L156">
        <f ca="1">IFERROR(SEARCH(INDIRECT(CELL("address")),DBTXEQ!H155),0)</f>
        <v>0</v>
      </c>
    </row>
    <row r="157" spans="6:12">
      <c r="F157" s="17" t="str">
        <f ca="1">IFERROR(INDEX(DBRANEQ!$H$10:$H$500,MATCH(ROW(E147),$G$11:$G$500,0)),"")</f>
        <v/>
      </c>
      <c r="G157" s="17" t="str">
        <f ca="1">IF(H157=0,"",COUNTIF($H$11:H157,"&gt;0"))</f>
        <v/>
      </c>
      <c r="H157" s="17">
        <f ca="1">IFERROR(SEARCH(INDIRECT(CELL("address")),DBRANEQ!H156),0)</f>
        <v>0</v>
      </c>
      <c r="J157" t="str">
        <f ca="1">IFERROR(INDEX(DBTXEQ!$H$10:$H$500,MATCH(ROW(I147),$K$11:$K$500,0)),"")</f>
        <v/>
      </c>
      <c r="K157" t="str">
        <f ca="1">IF(L157=0,"",COUNTIF($L$11:L157,"&gt;0"))</f>
        <v/>
      </c>
      <c r="L157">
        <f ca="1">IFERROR(SEARCH(INDIRECT(CELL("address")),DBTXEQ!H156),0)</f>
        <v>0</v>
      </c>
    </row>
    <row r="158" spans="6:12">
      <c r="F158" s="17" t="str">
        <f ca="1">IFERROR(INDEX(DBRANEQ!$H$10:$H$500,MATCH(ROW(E148),$G$11:$G$500,0)),"")</f>
        <v/>
      </c>
      <c r="G158" s="17" t="str">
        <f ca="1">IF(H158=0,"",COUNTIF($H$11:H158,"&gt;0"))</f>
        <v/>
      </c>
      <c r="H158" s="17">
        <f ca="1">IFERROR(SEARCH(INDIRECT(CELL("address")),DBRANEQ!H157),0)</f>
        <v>0</v>
      </c>
      <c r="J158" t="str">
        <f ca="1">IFERROR(INDEX(DBTXEQ!$H$10:$H$500,MATCH(ROW(I148),$K$11:$K$500,0)),"")</f>
        <v/>
      </c>
      <c r="K158" t="str">
        <f ca="1">IF(L158=0,"",COUNTIF($L$11:L158,"&gt;0"))</f>
        <v/>
      </c>
      <c r="L158">
        <f ca="1">IFERROR(SEARCH(INDIRECT(CELL("address")),DBTXEQ!H157),0)</f>
        <v>0</v>
      </c>
    </row>
    <row r="159" spans="6:12">
      <c r="F159" s="17" t="str">
        <f ca="1">IFERROR(INDEX(DBRANEQ!$H$10:$H$500,MATCH(ROW(E149),$G$11:$G$500,0)),"")</f>
        <v/>
      </c>
      <c r="G159" s="17" t="str">
        <f ca="1">IF(H159=0,"",COUNTIF($H$11:H159,"&gt;0"))</f>
        <v/>
      </c>
      <c r="H159" s="17">
        <f ca="1">IFERROR(SEARCH(INDIRECT(CELL("address")),DBRANEQ!H158),0)</f>
        <v>0</v>
      </c>
      <c r="J159" t="str">
        <f ca="1">IFERROR(INDEX(DBTXEQ!$H$10:$H$500,MATCH(ROW(I149),$K$11:$K$500,0)),"")</f>
        <v/>
      </c>
      <c r="K159" t="str">
        <f ca="1">IF(L159=0,"",COUNTIF($L$11:L159,"&gt;0"))</f>
        <v/>
      </c>
      <c r="L159">
        <f ca="1">IFERROR(SEARCH(INDIRECT(CELL("address")),DBTXEQ!H158),0)</f>
        <v>0</v>
      </c>
    </row>
    <row r="160" spans="6:12">
      <c r="F160" s="17" t="str">
        <f ca="1">IFERROR(INDEX(DBRANEQ!$H$10:$H$500,MATCH(ROW(E150),$G$11:$G$500,0)),"")</f>
        <v/>
      </c>
      <c r="G160" s="17" t="str">
        <f ca="1">IF(H160=0,"",COUNTIF($H$11:H160,"&gt;0"))</f>
        <v/>
      </c>
      <c r="H160" s="17">
        <f ca="1">IFERROR(SEARCH(INDIRECT(CELL("address")),DBRANEQ!H159),0)</f>
        <v>0</v>
      </c>
      <c r="J160" t="str">
        <f ca="1">IFERROR(INDEX(DBTXEQ!$H$10:$H$500,MATCH(ROW(I150),$K$11:$K$500,0)),"")</f>
        <v/>
      </c>
      <c r="K160" t="str">
        <f ca="1">IF(L160=0,"",COUNTIF($L$11:L160,"&gt;0"))</f>
        <v/>
      </c>
      <c r="L160">
        <f ca="1">IFERROR(SEARCH(INDIRECT(CELL("address")),DBTXEQ!H159),0)</f>
        <v>0</v>
      </c>
    </row>
    <row r="161" spans="6:12">
      <c r="F161" s="17" t="str">
        <f ca="1">IFERROR(INDEX(DBRANEQ!$H$10:$H$500,MATCH(ROW(E151),$G$11:$G$500,0)),"")</f>
        <v/>
      </c>
      <c r="G161" s="17" t="str">
        <f ca="1">IF(H161=0,"",COUNTIF($H$11:H161,"&gt;0"))</f>
        <v/>
      </c>
      <c r="H161" s="17">
        <f ca="1">IFERROR(SEARCH(INDIRECT(CELL("address")),DBRANEQ!H160),0)</f>
        <v>0</v>
      </c>
      <c r="J161" t="str">
        <f ca="1">IFERROR(INDEX(DBTXEQ!$H$10:$H$500,MATCH(ROW(I151),$K$11:$K$500,0)),"")</f>
        <v/>
      </c>
      <c r="K161" t="str">
        <f ca="1">IF(L161=0,"",COUNTIF($L$11:L161,"&gt;0"))</f>
        <v/>
      </c>
      <c r="L161">
        <f ca="1">IFERROR(SEARCH(INDIRECT(CELL("address")),DBTXEQ!H160),0)</f>
        <v>0</v>
      </c>
    </row>
    <row r="162" spans="6:12">
      <c r="F162" s="17" t="str">
        <f ca="1">IFERROR(INDEX(DBRANEQ!$H$10:$H$500,MATCH(ROW(E152),$G$11:$G$500,0)),"")</f>
        <v/>
      </c>
      <c r="G162" s="17" t="str">
        <f ca="1">IF(H162=0,"",COUNTIF($H$11:H162,"&gt;0"))</f>
        <v/>
      </c>
      <c r="H162" s="17">
        <f ca="1">IFERROR(SEARCH(INDIRECT(CELL("address")),DBRANEQ!H161),0)</f>
        <v>0</v>
      </c>
      <c r="J162" t="str">
        <f ca="1">IFERROR(INDEX(DBTXEQ!$H$10:$H$500,MATCH(ROW(I152),$K$11:$K$500,0)),"")</f>
        <v/>
      </c>
      <c r="K162" t="str">
        <f ca="1">IF(L162=0,"",COUNTIF($L$11:L162,"&gt;0"))</f>
        <v/>
      </c>
      <c r="L162">
        <f ca="1">IFERROR(SEARCH(INDIRECT(CELL("address")),DBTXEQ!H161),0)</f>
        <v>0</v>
      </c>
    </row>
    <row r="163" spans="6:12">
      <c r="F163" s="17" t="str">
        <f ca="1">IFERROR(INDEX(DBRANEQ!$H$10:$H$500,MATCH(ROW(E153),$G$11:$G$500,0)),"")</f>
        <v/>
      </c>
      <c r="G163" s="17" t="str">
        <f ca="1">IF(H163=0,"",COUNTIF($H$11:H163,"&gt;0"))</f>
        <v/>
      </c>
      <c r="H163" s="17">
        <f ca="1">IFERROR(SEARCH(INDIRECT(CELL("address")),DBRANEQ!H162),0)</f>
        <v>0</v>
      </c>
      <c r="J163" t="str">
        <f ca="1">IFERROR(INDEX(DBTXEQ!$H$10:$H$500,MATCH(ROW(I153),$K$11:$K$500,0)),"")</f>
        <v/>
      </c>
      <c r="K163" t="str">
        <f ca="1">IF(L163=0,"",COUNTIF($L$11:L163,"&gt;0"))</f>
        <v/>
      </c>
      <c r="L163">
        <f ca="1">IFERROR(SEARCH(INDIRECT(CELL("address")),DBTXEQ!H162),0)</f>
        <v>0</v>
      </c>
    </row>
    <row r="164" spans="6:12">
      <c r="F164" s="17" t="str">
        <f ca="1">IFERROR(INDEX(DBRANEQ!$H$10:$H$500,MATCH(ROW(E154),$G$11:$G$500,0)),"")</f>
        <v/>
      </c>
      <c r="G164" s="17" t="str">
        <f ca="1">IF(H164=0,"",COUNTIF($H$11:H164,"&gt;0"))</f>
        <v/>
      </c>
      <c r="H164" s="17">
        <f ca="1">IFERROR(SEARCH(INDIRECT(CELL("address")),DBRANEQ!H163),0)</f>
        <v>0</v>
      </c>
      <c r="J164" t="str">
        <f ca="1">IFERROR(INDEX(DBTXEQ!$H$10:$H$500,MATCH(ROW(I154),$K$11:$K$500,0)),"")</f>
        <v/>
      </c>
      <c r="K164" t="str">
        <f ca="1">IF(L164=0,"",COUNTIF($L$11:L164,"&gt;0"))</f>
        <v/>
      </c>
      <c r="L164">
        <f ca="1">IFERROR(SEARCH(INDIRECT(CELL("address")),DBTXEQ!H163),0)</f>
        <v>0</v>
      </c>
    </row>
    <row r="165" spans="6:12">
      <c r="F165" s="17" t="str">
        <f ca="1">IFERROR(INDEX(DBRANEQ!$H$10:$H$500,MATCH(ROW(E155),$G$11:$G$500,0)),"")</f>
        <v/>
      </c>
      <c r="G165" s="17" t="str">
        <f ca="1">IF(H165=0,"",COUNTIF($H$11:H165,"&gt;0"))</f>
        <v/>
      </c>
      <c r="H165" s="17">
        <f ca="1">IFERROR(SEARCH(INDIRECT(CELL("address")),DBRANEQ!H164),0)</f>
        <v>0</v>
      </c>
      <c r="J165" t="str">
        <f ca="1">IFERROR(INDEX(DBTXEQ!$H$10:$H$500,MATCH(ROW(I155),$K$11:$K$500,0)),"")</f>
        <v/>
      </c>
      <c r="K165" t="str">
        <f ca="1">IF(L165=0,"",COUNTIF($L$11:L165,"&gt;0"))</f>
        <v/>
      </c>
      <c r="L165">
        <f ca="1">IFERROR(SEARCH(INDIRECT(CELL("address")),DBTXEQ!H164),0)</f>
        <v>0</v>
      </c>
    </row>
    <row r="166" spans="6:12">
      <c r="F166" s="17" t="str">
        <f ca="1">IFERROR(INDEX(DBRANEQ!$H$10:$H$500,MATCH(ROW(E156),$G$11:$G$500,0)),"")</f>
        <v/>
      </c>
      <c r="G166" s="17" t="str">
        <f ca="1">IF(H166=0,"",COUNTIF($H$11:H166,"&gt;0"))</f>
        <v/>
      </c>
      <c r="H166" s="17">
        <f ca="1">IFERROR(SEARCH(INDIRECT(CELL("address")),DBRANEQ!H165),0)</f>
        <v>0</v>
      </c>
      <c r="J166" t="str">
        <f ca="1">IFERROR(INDEX(DBTXEQ!$H$10:$H$500,MATCH(ROW(I156),$K$11:$K$500,0)),"")</f>
        <v/>
      </c>
      <c r="K166" t="str">
        <f ca="1">IF(L166=0,"",COUNTIF($L$11:L166,"&gt;0"))</f>
        <v/>
      </c>
      <c r="L166">
        <f ca="1">IFERROR(SEARCH(INDIRECT(CELL("address")),DBTXEQ!H165),0)</f>
        <v>0</v>
      </c>
    </row>
    <row r="167" spans="6:12">
      <c r="F167" s="17" t="str">
        <f ca="1">IFERROR(INDEX(DBRANEQ!$H$10:$H$500,MATCH(ROW(E157),$G$11:$G$500,0)),"")</f>
        <v/>
      </c>
      <c r="G167" s="17" t="str">
        <f ca="1">IF(H167=0,"",COUNTIF($H$11:H167,"&gt;0"))</f>
        <v/>
      </c>
      <c r="H167" s="17">
        <f ca="1">IFERROR(SEARCH(INDIRECT(CELL("address")),DBRANEQ!H166),0)</f>
        <v>0</v>
      </c>
      <c r="J167" t="str">
        <f ca="1">IFERROR(INDEX(DBTXEQ!$H$10:$H$500,MATCH(ROW(I157),$K$11:$K$500,0)),"")</f>
        <v/>
      </c>
      <c r="K167" t="str">
        <f ca="1">IF(L167=0,"",COUNTIF($L$11:L167,"&gt;0"))</f>
        <v/>
      </c>
      <c r="L167">
        <f ca="1">IFERROR(SEARCH(INDIRECT(CELL("address")),DBTXEQ!H166),0)</f>
        <v>0</v>
      </c>
    </row>
    <row r="168" spans="6:12">
      <c r="F168" s="17" t="str">
        <f ca="1">IFERROR(INDEX(DBRANEQ!$H$10:$H$500,MATCH(ROW(E158),$G$11:$G$500,0)),"")</f>
        <v/>
      </c>
      <c r="G168" s="17" t="str">
        <f ca="1">IF(H168=0,"",COUNTIF($H$11:H168,"&gt;0"))</f>
        <v/>
      </c>
      <c r="H168" s="17">
        <f ca="1">IFERROR(SEARCH(INDIRECT(CELL("address")),DBRANEQ!H167),0)</f>
        <v>0</v>
      </c>
      <c r="J168" t="str">
        <f ca="1">IFERROR(INDEX(DBTXEQ!$H$10:$H$500,MATCH(ROW(I158),$K$11:$K$500,0)),"")</f>
        <v/>
      </c>
      <c r="K168" t="str">
        <f ca="1">IF(L168=0,"",COUNTIF($L$11:L168,"&gt;0"))</f>
        <v/>
      </c>
      <c r="L168">
        <f ca="1">IFERROR(SEARCH(INDIRECT(CELL("address")),DBTXEQ!H167),0)</f>
        <v>0</v>
      </c>
    </row>
    <row r="169" spans="6:12">
      <c r="F169" s="17" t="str">
        <f ca="1">IFERROR(INDEX(DBRANEQ!$H$10:$H$500,MATCH(ROW(E159),$G$11:$G$500,0)),"")</f>
        <v/>
      </c>
      <c r="G169" s="17" t="str">
        <f ca="1">IF(H169=0,"",COUNTIF($H$11:H169,"&gt;0"))</f>
        <v/>
      </c>
      <c r="H169" s="17">
        <f ca="1">IFERROR(SEARCH(INDIRECT(CELL("address")),DBRANEQ!H168),0)</f>
        <v>0</v>
      </c>
      <c r="J169" t="str">
        <f ca="1">IFERROR(INDEX(DBTXEQ!$H$10:$H$500,MATCH(ROW(I159),$K$11:$K$500,0)),"")</f>
        <v/>
      </c>
      <c r="K169" t="str">
        <f ca="1">IF(L169=0,"",COUNTIF($L$11:L169,"&gt;0"))</f>
        <v/>
      </c>
      <c r="L169">
        <f ca="1">IFERROR(SEARCH(INDIRECT(CELL("address")),DBTXEQ!H168),0)</f>
        <v>0</v>
      </c>
    </row>
    <row r="170" spans="6:12">
      <c r="F170" s="17" t="str">
        <f ca="1">IFERROR(INDEX(DBRANEQ!$H$10:$H$500,MATCH(ROW(E160),$G$11:$G$500,0)),"")</f>
        <v/>
      </c>
      <c r="G170" s="17" t="str">
        <f ca="1">IF(H170=0,"",COUNTIF($H$11:H170,"&gt;0"))</f>
        <v/>
      </c>
      <c r="H170" s="17">
        <f ca="1">IFERROR(SEARCH(INDIRECT(CELL("address")),DBRANEQ!H169),0)</f>
        <v>0</v>
      </c>
      <c r="J170" t="str">
        <f ca="1">IFERROR(INDEX(DBTXEQ!$H$10:$H$500,MATCH(ROW(I160),$K$11:$K$500,0)),"")</f>
        <v/>
      </c>
      <c r="K170" t="str">
        <f ca="1">IF(L170=0,"",COUNTIF($L$11:L170,"&gt;0"))</f>
        <v/>
      </c>
      <c r="L170">
        <f ca="1">IFERROR(SEARCH(INDIRECT(CELL("address")),DBTXEQ!H169),0)</f>
        <v>0</v>
      </c>
    </row>
    <row r="171" spans="6:12">
      <c r="F171" s="17" t="str">
        <f ca="1">IFERROR(INDEX(DBRANEQ!$H$10:$H$500,MATCH(ROW(E161),$G$11:$G$500,0)),"")</f>
        <v/>
      </c>
      <c r="G171" s="17" t="str">
        <f ca="1">IF(H171=0,"",COUNTIF($H$11:H171,"&gt;0"))</f>
        <v/>
      </c>
      <c r="H171" s="17">
        <f ca="1">IFERROR(SEARCH(INDIRECT(CELL("address")),DBRANEQ!H170),0)</f>
        <v>0</v>
      </c>
      <c r="J171" t="str">
        <f ca="1">IFERROR(INDEX(DBTXEQ!$H$10:$H$500,MATCH(ROW(I161),$K$11:$K$500,0)),"")</f>
        <v/>
      </c>
      <c r="K171" t="str">
        <f ca="1">IF(L171=0,"",COUNTIF($L$11:L171,"&gt;0"))</f>
        <v/>
      </c>
      <c r="L171">
        <f ca="1">IFERROR(SEARCH(INDIRECT(CELL("address")),DBTXEQ!H170),0)</f>
        <v>0</v>
      </c>
    </row>
    <row r="172" spans="6:12">
      <c r="F172" s="17" t="str">
        <f ca="1">IFERROR(INDEX(DBRANEQ!$H$10:$H$500,MATCH(ROW(E162),$G$11:$G$500,0)),"")</f>
        <v/>
      </c>
      <c r="G172" s="17" t="str">
        <f ca="1">IF(H172=0,"",COUNTIF($H$11:H172,"&gt;0"))</f>
        <v/>
      </c>
      <c r="H172" s="17">
        <f ca="1">IFERROR(SEARCH(INDIRECT(CELL("address")),DBRANEQ!H171),0)</f>
        <v>0</v>
      </c>
      <c r="J172" t="str">
        <f ca="1">IFERROR(INDEX(DBTXEQ!$H$10:$H$500,MATCH(ROW(I162),$K$11:$K$500,0)),"")</f>
        <v/>
      </c>
      <c r="K172" t="str">
        <f ca="1">IF(L172=0,"",COUNTIF($L$11:L172,"&gt;0"))</f>
        <v/>
      </c>
      <c r="L172">
        <f ca="1">IFERROR(SEARCH(INDIRECT(CELL("address")),DBTXEQ!H171),0)</f>
        <v>0</v>
      </c>
    </row>
    <row r="173" spans="6:12">
      <c r="F173" s="17" t="str">
        <f ca="1">IFERROR(INDEX(DBRANEQ!$H$10:$H$500,MATCH(ROW(E163),$G$11:$G$500,0)),"")</f>
        <v/>
      </c>
      <c r="G173" s="17" t="str">
        <f ca="1">IF(H173=0,"",COUNTIF($H$11:H173,"&gt;0"))</f>
        <v/>
      </c>
      <c r="H173" s="17">
        <f ca="1">IFERROR(SEARCH(INDIRECT(CELL("address")),DBRANEQ!H172),0)</f>
        <v>0</v>
      </c>
      <c r="J173" t="str">
        <f ca="1">IFERROR(INDEX(DBTXEQ!$H$10:$H$500,MATCH(ROW(I163),$K$11:$K$500,0)),"")</f>
        <v/>
      </c>
      <c r="K173" t="str">
        <f ca="1">IF(L173=0,"",COUNTIF($L$11:L173,"&gt;0"))</f>
        <v/>
      </c>
      <c r="L173">
        <f ca="1">IFERROR(SEARCH(INDIRECT(CELL("address")),DBTXEQ!H172),0)</f>
        <v>0</v>
      </c>
    </row>
    <row r="174" spans="6:12">
      <c r="F174" s="17" t="str">
        <f ca="1">IFERROR(INDEX(DBRANEQ!$H$10:$H$500,MATCH(ROW(E164),$G$11:$G$500,0)),"")</f>
        <v/>
      </c>
      <c r="G174" s="17" t="str">
        <f ca="1">IF(H174=0,"",COUNTIF($H$11:H174,"&gt;0"))</f>
        <v/>
      </c>
      <c r="H174" s="17">
        <f ca="1">IFERROR(SEARCH(INDIRECT(CELL("address")),DBRANEQ!H173),0)</f>
        <v>0</v>
      </c>
      <c r="J174" t="str">
        <f ca="1">IFERROR(INDEX(DBTXEQ!$H$10:$H$500,MATCH(ROW(I164),$K$11:$K$500,0)),"")</f>
        <v/>
      </c>
      <c r="K174" t="str">
        <f ca="1">IF(L174=0,"",COUNTIF($L$11:L174,"&gt;0"))</f>
        <v/>
      </c>
      <c r="L174">
        <f ca="1">IFERROR(SEARCH(INDIRECT(CELL("address")),DBTXEQ!H173),0)</f>
        <v>0</v>
      </c>
    </row>
    <row r="175" spans="6:12">
      <c r="F175" s="17" t="str">
        <f ca="1">IFERROR(INDEX(DBRANEQ!$H$10:$H$500,MATCH(ROW(E165),$G$11:$G$500,0)),"")</f>
        <v/>
      </c>
      <c r="G175" s="17" t="str">
        <f ca="1">IF(H175=0,"",COUNTIF($H$11:H175,"&gt;0"))</f>
        <v/>
      </c>
      <c r="H175" s="17">
        <f ca="1">IFERROR(SEARCH(INDIRECT(CELL("address")),DBRANEQ!H174),0)</f>
        <v>0</v>
      </c>
      <c r="J175" t="str">
        <f ca="1">IFERROR(INDEX(DBTXEQ!$H$10:$H$500,MATCH(ROW(I165),$K$11:$K$500,0)),"")</f>
        <v/>
      </c>
      <c r="K175" t="str">
        <f ca="1">IF(L175=0,"",COUNTIF($L$11:L175,"&gt;0"))</f>
        <v/>
      </c>
      <c r="L175">
        <f ca="1">IFERROR(SEARCH(INDIRECT(CELL("address")),DBTXEQ!H174),0)</f>
        <v>0</v>
      </c>
    </row>
    <row r="176" spans="6:12">
      <c r="F176" s="17" t="str">
        <f ca="1">IFERROR(INDEX(DBRANEQ!$H$10:$H$500,MATCH(ROW(E166),$G$11:$G$500,0)),"")</f>
        <v/>
      </c>
      <c r="G176" s="17" t="str">
        <f ca="1">IF(H176=0,"",COUNTIF($H$11:H176,"&gt;0"))</f>
        <v/>
      </c>
      <c r="H176" s="17">
        <f ca="1">IFERROR(SEARCH(INDIRECT(CELL("address")),DBRANEQ!H175),0)</f>
        <v>0</v>
      </c>
      <c r="J176" t="str">
        <f ca="1">IFERROR(INDEX(DBTXEQ!$H$10:$H$500,MATCH(ROW(I166),$K$11:$K$500,0)),"")</f>
        <v/>
      </c>
      <c r="K176" t="str">
        <f ca="1">IF(L176=0,"",COUNTIF($L$11:L176,"&gt;0"))</f>
        <v/>
      </c>
      <c r="L176">
        <f ca="1">IFERROR(SEARCH(INDIRECT(CELL("address")),DBTXEQ!H175),0)</f>
        <v>0</v>
      </c>
    </row>
    <row r="177" spans="6:12">
      <c r="F177" s="17" t="str">
        <f ca="1">IFERROR(INDEX(DBRANEQ!$H$10:$H$500,MATCH(ROW(E167),$G$11:$G$500,0)),"")</f>
        <v/>
      </c>
      <c r="G177" s="17" t="str">
        <f ca="1">IF(H177=0,"",COUNTIF($H$11:H177,"&gt;0"))</f>
        <v/>
      </c>
      <c r="H177" s="17">
        <f ca="1">IFERROR(SEARCH(INDIRECT(CELL("address")),DBRANEQ!H176),0)</f>
        <v>0</v>
      </c>
      <c r="J177" t="str">
        <f ca="1">IFERROR(INDEX(DBTXEQ!$H$10:$H$500,MATCH(ROW(I167),$K$11:$K$500,0)),"")</f>
        <v/>
      </c>
      <c r="K177" t="str">
        <f ca="1">IF(L177=0,"",COUNTIF($L$11:L177,"&gt;0"))</f>
        <v/>
      </c>
      <c r="L177">
        <f ca="1">IFERROR(SEARCH(INDIRECT(CELL("address")),DBTXEQ!H176),0)</f>
        <v>0</v>
      </c>
    </row>
    <row r="178" spans="6:12">
      <c r="F178" s="17" t="str">
        <f ca="1">IFERROR(INDEX(DBRANEQ!$H$10:$H$500,MATCH(ROW(E168),$G$11:$G$500,0)),"")</f>
        <v/>
      </c>
      <c r="G178" s="17" t="str">
        <f ca="1">IF(H178=0,"",COUNTIF($H$11:H178,"&gt;0"))</f>
        <v/>
      </c>
      <c r="H178" s="17">
        <f ca="1">IFERROR(SEARCH(INDIRECT(CELL("address")),DBRANEQ!H177),0)</f>
        <v>0</v>
      </c>
      <c r="J178" t="str">
        <f ca="1">IFERROR(INDEX(DBTXEQ!$H$10:$H$500,MATCH(ROW(I168),$K$11:$K$500,0)),"")</f>
        <v/>
      </c>
      <c r="K178" t="str">
        <f ca="1">IF(L178=0,"",COUNTIF($L$11:L178,"&gt;0"))</f>
        <v/>
      </c>
      <c r="L178">
        <f ca="1">IFERROR(SEARCH(INDIRECT(CELL("address")),DBTXEQ!H177),0)</f>
        <v>0</v>
      </c>
    </row>
    <row r="179" spans="6:12">
      <c r="F179" s="17" t="str">
        <f ca="1">IFERROR(INDEX(DBRANEQ!$H$10:$H$500,MATCH(ROW(E169),$G$11:$G$500,0)),"")</f>
        <v/>
      </c>
      <c r="G179" s="17" t="str">
        <f ca="1">IF(H179=0,"",COUNTIF($H$11:H179,"&gt;0"))</f>
        <v/>
      </c>
      <c r="H179" s="17">
        <f ca="1">IFERROR(SEARCH(INDIRECT(CELL("address")),DBRANEQ!H178),0)</f>
        <v>0</v>
      </c>
      <c r="J179" t="str">
        <f ca="1">IFERROR(INDEX(DBTXEQ!$H$10:$H$500,MATCH(ROW(I169),$K$11:$K$500,0)),"")</f>
        <v/>
      </c>
      <c r="K179" t="str">
        <f ca="1">IF(L179=0,"",COUNTIF($L$11:L179,"&gt;0"))</f>
        <v/>
      </c>
      <c r="L179">
        <f ca="1">IFERROR(SEARCH(INDIRECT(CELL("address")),DBTXEQ!H178),0)</f>
        <v>0</v>
      </c>
    </row>
    <row r="180" spans="6:12">
      <c r="F180" s="17" t="str">
        <f ca="1">IFERROR(INDEX(DBRANEQ!$H$10:$H$500,MATCH(ROW(E170),$G$11:$G$500,0)),"")</f>
        <v/>
      </c>
      <c r="G180" s="17" t="str">
        <f ca="1">IF(H180=0,"",COUNTIF($H$11:H180,"&gt;0"))</f>
        <v/>
      </c>
      <c r="H180" s="17">
        <f ca="1">IFERROR(SEARCH(INDIRECT(CELL("address")),DBRANEQ!H179),0)</f>
        <v>0</v>
      </c>
      <c r="J180" t="str">
        <f ca="1">IFERROR(INDEX(DBTXEQ!$H$10:$H$500,MATCH(ROW(I170),$K$11:$K$500,0)),"")</f>
        <v/>
      </c>
      <c r="K180" t="str">
        <f ca="1">IF(L180=0,"",COUNTIF($L$11:L180,"&gt;0"))</f>
        <v/>
      </c>
      <c r="L180">
        <f ca="1">IFERROR(SEARCH(INDIRECT(CELL("address")),DBTXEQ!H179),0)</f>
        <v>0</v>
      </c>
    </row>
    <row r="181" spans="6:12">
      <c r="F181" s="17" t="str">
        <f ca="1">IFERROR(INDEX(DBRANEQ!$H$10:$H$500,MATCH(ROW(E171),$G$11:$G$500,0)),"")</f>
        <v/>
      </c>
      <c r="G181" s="17" t="str">
        <f ca="1">IF(H181=0,"",COUNTIF($H$11:H181,"&gt;0"))</f>
        <v/>
      </c>
      <c r="H181" s="17">
        <f ca="1">IFERROR(SEARCH(INDIRECT(CELL("address")),DBRANEQ!H180),0)</f>
        <v>0</v>
      </c>
      <c r="J181" t="str">
        <f ca="1">IFERROR(INDEX(DBTXEQ!$H$10:$H$500,MATCH(ROW(I171),$K$11:$K$500,0)),"")</f>
        <v/>
      </c>
      <c r="K181" t="str">
        <f ca="1">IF(L181=0,"",COUNTIF($L$11:L181,"&gt;0"))</f>
        <v/>
      </c>
      <c r="L181">
        <f ca="1">IFERROR(SEARCH(INDIRECT(CELL("address")),DBTXEQ!H180),0)</f>
        <v>0</v>
      </c>
    </row>
    <row r="182" spans="6:12">
      <c r="F182" s="17" t="str">
        <f ca="1">IFERROR(INDEX(DBRANEQ!$H$10:$H$500,MATCH(ROW(E172),$G$11:$G$500,0)),"")</f>
        <v/>
      </c>
      <c r="G182" s="17" t="str">
        <f ca="1">IF(H182=0,"",COUNTIF($H$11:H182,"&gt;0"))</f>
        <v/>
      </c>
      <c r="H182" s="17">
        <f ca="1">IFERROR(SEARCH(INDIRECT(CELL("address")),DBRANEQ!H181),0)</f>
        <v>0</v>
      </c>
      <c r="J182" t="str">
        <f ca="1">IFERROR(INDEX(DBTXEQ!$H$10:$H$500,MATCH(ROW(I172),$K$11:$K$500,0)),"")</f>
        <v/>
      </c>
      <c r="K182" t="str">
        <f ca="1">IF(L182=0,"",COUNTIF($L$11:L182,"&gt;0"))</f>
        <v/>
      </c>
      <c r="L182">
        <f ca="1">IFERROR(SEARCH(INDIRECT(CELL("address")),DBTXEQ!H181),0)</f>
        <v>0</v>
      </c>
    </row>
    <row r="183" spans="6:12">
      <c r="F183" s="17" t="str">
        <f ca="1">IFERROR(INDEX(DBRANEQ!$H$10:$H$500,MATCH(ROW(E173),$G$11:$G$500,0)),"")</f>
        <v/>
      </c>
      <c r="G183" s="17" t="str">
        <f ca="1">IF(H183=0,"",COUNTIF($H$11:H183,"&gt;0"))</f>
        <v/>
      </c>
      <c r="H183" s="17">
        <f ca="1">IFERROR(SEARCH(INDIRECT(CELL("address")),DBRANEQ!H182),0)</f>
        <v>0</v>
      </c>
      <c r="J183" t="str">
        <f ca="1">IFERROR(INDEX(DBTXEQ!$H$10:$H$500,MATCH(ROW(I173),$K$11:$K$500,0)),"")</f>
        <v/>
      </c>
      <c r="K183" t="str">
        <f ca="1">IF(L183=0,"",COUNTIF($L$11:L183,"&gt;0"))</f>
        <v/>
      </c>
      <c r="L183">
        <f ca="1">IFERROR(SEARCH(INDIRECT(CELL("address")),DBTXEQ!H182),0)</f>
        <v>0</v>
      </c>
    </row>
    <row r="184" spans="6:12">
      <c r="F184" s="17" t="str">
        <f ca="1">IFERROR(INDEX(DBRANEQ!$H$10:$H$500,MATCH(ROW(E174),$G$11:$G$500,0)),"")</f>
        <v/>
      </c>
      <c r="G184" s="17" t="str">
        <f ca="1">IF(H184=0,"",COUNTIF($H$11:H184,"&gt;0"))</f>
        <v/>
      </c>
      <c r="H184" s="17">
        <f ca="1">IFERROR(SEARCH(INDIRECT(CELL("address")),DBRANEQ!H183),0)</f>
        <v>0</v>
      </c>
      <c r="J184" t="str">
        <f ca="1">IFERROR(INDEX(DBTXEQ!$H$10:$H$500,MATCH(ROW(I174),$K$11:$K$500,0)),"")</f>
        <v/>
      </c>
      <c r="K184" t="str">
        <f ca="1">IF(L184=0,"",COUNTIF($L$11:L184,"&gt;0"))</f>
        <v/>
      </c>
      <c r="L184">
        <f ca="1">IFERROR(SEARCH(INDIRECT(CELL("address")),DBTXEQ!H183),0)</f>
        <v>0</v>
      </c>
    </row>
    <row r="185" spans="6:12">
      <c r="F185" s="17" t="str">
        <f ca="1">IFERROR(INDEX(DBRANEQ!$H$10:$H$500,MATCH(ROW(E175),$G$11:$G$500,0)),"")</f>
        <v/>
      </c>
      <c r="G185" s="17" t="str">
        <f ca="1">IF(H185=0,"",COUNTIF($H$11:H185,"&gt;0"))</f>
        <v/>
      </c>
      <c r="H185" s="17">
        <f ca="1">IFERROR(SEARCH(INDIRECT(CELL("address")),DBRANEQ!H184),0)</f>
        <v>0</v>
      </c>
      <c r="J185" t="str">
        <f ca="1">IFERROR(INDEX(DBTXEQ!$H$10:$H$500,MATCH(ROW(I175),$K$11:$K$500,0)),"")</f>
        <v/>
      </c>
      <c r="K185" t="str">
        <f ca="1">IF(L185=0,"",COUNTIF($L$11:L185,"&gt;0"))</f>
        <v/>
      </c>
      <c r="L185">
        <f ca="1">IFERROR(SEARCH(INDIRECT(CELL("address")),DBTXEQ!H184),0)</f>
        <v>0</v>
      </c>
    </row>
    <row r="186" spans="6:12">
      <c r="F186" s="17" t="str">
        <f ca="1">IFERROR(INDEX(DBRANEQ!$H$10:$H$500,MATCH(ROW(E176),$G$11:$G$500,0)),"")</f>
        <v/>
      </c>
      <c r="G186" s="17" t="str">
        <f ca="1">IF(H186=0,"",COUNTIF($H$11:H186,"&gt;0"))</f>
        <v/>
      </c>
      <c r="H186" s="17">
        <f ca="1">IFERROR(SEARCH(INDIRECT(CELL("address")),DBRANEQ!H185),0)</f>
        <v>0</v>
      </c>
      <c r="J186" t="str">
        <f ca="1">IFERROR(INDEX(DBTXEQ!$H$10:$H$500,MATCH(ROW(I176),$K$11:$K$500,0)),"")</f>
        <v/>
      </c>
      <c r="K186" t="str">
        <f ca="1">IF(L186=0,"",COUNTIF($L$11:L186,"&gt;0"))</f>
        <v/>
      </c>
      <c r="L186">
        <f ca="1">IFERROR(SEARCH(INDIRECT(CELL("address")),DBTXEQ!H185),0)</f>
        <v>0</v>
      </c>
    </row>
    <row r="187" spans="6:12">
      <c r="F187" s="17" t="str">
        <f ca="1">IFERROR(INDEX(DBRANEQ!$H$10:$H$500,MATCH(ROW(E177),$G$11:$G$500,0)),"")</f>
        <v/>
      </c>
      <c r="G187" s="17" t="str">
        <f ca="1">IF(H187=0,"",COUNTIF($H$11:H187,"&gt;0"))</f>
        <v/>
      </c>
      <c r="H187" s="17">
        <f ca="1">IFERROR(SEARCH(INDIRECT(CELL("address")),DBRANEQ!H186),0)</f>
        <v>0</v>
      </c>
      <c r="J187" t="str">
        <f ca="1">IFERROR(INDEX(DBTXEQ!$H$10:$H$500,MATCH(ROW(I177),$K$11:$K$500,0)),"")</f>
        <v/>
      </c>
      <c r="K187" t="str">
        <f ca="1">IF(L187=0,"",COUNTIF($L$11:L187,"&gt;0"))</f>
        <v/>
      </c>
      <c r="L187">
        <f ca="1">IFERROR(SEARCH(INDIRECT(CELL("address")),DBTXEQ!H186),0)</f>
        <v>0</v>
      </c>
    </row>
    <row r="188" spans="6:12">
      <c r="F188" s="17" t="str">
        <f ca="1">IFERROR(INDEX(DBRANEQ!$H$10:$H$500,MATCH(ROW(E178),$G$11:$G$500,0)),"")</f>
        <v/>
      </c>
      <c r="G188" s="17" t="str">
        <f ca="1">IF(H188=0,"",COUNTIF($H$11:H188,"&gt;0"))</f>
        <v/>
      </c>
      <c r="H188" s="17">
        <f ca="1">IFERROR(SEARCH(INDIRECT(CELL("address")),DBRANEQ!H187),0)</f>
        <v>0</v>
      </c>
      <c r="J188" t="str">
        <f ca="1">IFERROR(INDEX(DBTXEQ!$H$10:$H$500,MATCH(ROW(I178),$K$11:$K$500,0)),"")</f>
        <v/>
      </c>
      <c r="K188" t="str">
        <f ca="1">IF(L188=0,"",COUNTIF($L$11:L188,"&gt;0"))</f>
        <v/>
      </c>
      <c r="L188">
        <f ca="1">IFERROR(SEARCH(INDIRECT(CELL("address")),DBTXEQ!H187),0)</f>
        <v>0</v>
      </c>
    </row>
    <row r="189" spans="6:12">
      <c r="F189" s="17" t="str">
        <f ca="1">IFERROR(INDEX(DBRANEQ!$H$10:$H$500,MATCH(ROW(E179),$G$11:$G$500,0)),"")</f>
        <v/>
      </c>
      <c r="G189" s="17" t="str">
        <f ca="1">IF(H189=0,"",COUNTIF($H$11:H189,"&gt;0"))</f>
        <v/>
      </c>
      <c r="H189" s="17">
        <f ca="1">IFERROR(SEARCH(INDIRECT(CELL("address")),DBRANEQ!H188),0)</f>
        <v>0</v>
      </c>
      <c r="J189" t="str">
        <f ca="1">IFERROR(INDEX(DBTXEQ!$H$10:$H$500,MATCH(ROW(I179),$K$11:$K$500,0)),"")</f>
        <v/>
      </c>
      <c r="K189" t="str">
        <f ca="1">IF(L189=0,"",COUNTIF($L$11:L189,"&gt;0"))</f>
        <v/>
      </c>
      <c r="L189">
        <f ca="1">IFERROR(SEARCH(INDIRECT(CELL("address")),DBTXEQ!H188),0)</f>
        <v>0</v>
      </c>
    </row>
    <row r="190" spans="6:12">
      <c r="F190" s="17" t="str">
        <f ca="1">IFERROR(INDEX(DBRANEQ!$H$10:$H$500,MATCH(ROW(E180),$G$11:$G$500,0)),"")</f>
        <v/>
      </c>
      <c r="G190" s="17" t="str">
        <f ca="1">IF(H190=0,"",COUNTIF($H$11:H190,"&gt;0"))</f>
        <v/>
      </c>
      <c r="H190" s="17">
        <f ca="1">IFERROR(SEARCH(INDIRECT(CELL("address")),DBRANEQ!H189),0)</f>
        <v>0</v>
      </c>
      <c r="J190" t="str">
        <f ca="1">IFERROR(INDEX(DBTXEQ!$H$10:$H$500,MATCH(ROW(I180),$K$11:$K$500,0)),"")</f>
        <v/>
      </c>
      <c r="K190" t="str">
        <f ca="1">IF(L190=0,"",COUNTIF($L$11:L190,"&gt;0"))</f>
        <v/>
      </c>
      <c r="L190">
        <f ca="1">IFERROR(SEARCH(INDIRECT(CELL("address")),DBTXEQ!H189),0)</f>
        <v>0</v>
      </c>
    </row>
    <row r="191" spans="6:12">
      <c r="F191" s="17" t="str">
        <f ca="1">IFERROR(INDEX(DBRANEQ!$H$10:$H$500,MATCH(ROW(E181),$G$11:$G$500,0)),"")</f>
        <v/>
      </c>
      <c r="G191" s="17" t="str">
        <f ca="1">IF(H191=0,"",COUNTIF($H$11:H191,"&gt;0"))</f>
        <v/>
      </c>
      <c r="H191" s="17">
        <f ca="1">IFERROR(SEARCH(INDIRECT(CELL("address")),DBRANEQ!H190),0)</f>
        <v>0</v>
      </c>
      <c r="J191" t="str">
        <f ca="1">IFERROR(INDEX(DBTXEQ!$H$10:$H$500,MATCH(ROW(I181),$K$11:$K$500,0)),"")</f>
        <v/>
      </c>
      <c r="K191" t="str">
        <f ca="1">IF(L191=0,"",COUNTIF($L$11:L191,"&gt;0"))</f>
        <v/>
      </c>
      <c r="L191">
        <f ca="1">IFERROR(SEARCH(INDIRECT(CELL("address")),DBTXEQ!H190),0)</f>
        <v>0</v>
      </c>
    </row>
    <row r="192" spans="6:12">
      <c r="F192" s="17" t="str">
        <f ca="1">IFERROR(INDEX(DBRANEQ!$H$10:$H$500,MATCH(ROW(E182),$G$11:$G$500,0)),"")</f>
        <v/>
      </c>
      <c r="G192" s="17" t="str">
        <f ca="1">IF(H192=0,"",COUNTIF($H$11:H192,"&gt;0"))</f>
        <v/>
      </c>
      <c r="H192" s="17">
        <f ca="1">IFERROR(SEARCH(INDIRECT(CELL("address")),DBRANEQ!H191),0)</f>
        <v>0</v>
      </c>
      <c r="J192" t="str">
        <f ca="1">IFERROR(INDEX(DBTXEQ!$H$10:$H$500,MATCH(ROW(I182),$K$11:$K$500,0)),"")</f>
        <v/>
      </c>
      <c r="K192" t="str">
        <f ca="1">IF(L192=0,"",COUNTIF($L$11:L192,"&gt;0"))</f>
        <v/>
      </c>
      <c r="L192">
        <f ca="1">IFERROR(SEARCH(INDIRECT(CELL("address")),DBTXEQ!H191),0)</f>
        <v>0</v>
      </c>
    </row>
    <row r="193" spans="6:12">
      <c r="F193" s="17" t="str">
        <f ca="1">IFERROR(INDEX(DBRANEQ!$H$10:$H$500,MATCH(ROW(E183),$G$11:$G$500,0)),"")</f>
        <v/>
      </c>
      <c r="G193" s="17" t="str">
        <f ca="1">IF(H193=0,"",COUNTIF($H$11:H193,"&gt;0"))</f>
        <v/>
      </c>
      <c r="H193" s="17">
        <f ca="1">IFERROR(SEARCH(INDIRECT(CELL("address")),DBRANEQ!H192),0)</f>
        <v>0</v>
      </c>
      <c r="J193" t="str">
        <f ca="1">IFERROR(INDEX(DBTXEQ!$H$10:$H$500,MATCH(ROW(I183),$K$11:$K$500,0)),"")</f>
        <v/>
      </c>
      <c r="K193" t="str">
        <f ca="1">IF(L193=0,"",COUNTIF($L$11:L193,"&gt;0"))</f>
        <v/>
      </c>
      <c r="L193">
        <f ca="1">IFERROR(SEARCH(INDIRECT(CELL("address")),DBTXEQ!H192),0)</f>
        <v>0</v>
      </c>
    </row>
    <row r="194" spans="6:12">
      <c r="F194" s="17" t="str">
        <f ca="1">IFERROR(INDEX(DBRANEQ!$H$10:$H$500,MATCH(ROW(E184),$G$11:$G$500,0)),"")</f>
        <v/>
      </c>
      <c r="G194" s="17" t="str">
        <f ca="1">IF(H194=0,"",COUNTIF($H$11:H194,"&gt;0"))</f>
        <v/>
      </c>
      <c r="H194" s="17">
        <f ca="1">IFERROR(SEARCH(INDIRECT(CELL("address")),DBRANEQ!H193),0)</f>
        <v>0</v>
      </c>
      <c r="J194" t="str">
        <f ca="1">IFERROR(INDEX(DBTXEQ!$H$10:$H$500,MATCH(ROW(I184),$K$11:$K$500,0)),"")</f>
        <v/>
      </c>
      <c r="K194" t="str">
        <f ca="1">IF(L194=0,"",COUNTIF($L$11:L194,"&gt;0"))</f>
        <v/>
      </c>
      <c r="L194">
        <f ca="1">IFERROR(SEARCH(INDIRECT(CELL("address")),DBTXEQ!H193),0)</f>
        <v>0</v>
      </c>
    </row>
    <row r="195" spans="6:12">
      <c r="F195" s="17" t="str">
        <f ca="1">IFERROR(INDEX(DBRANEQ!$H$10:$H$500,MATCH(ROW(E185),$G$11:$G$500,0)),"")</f>
        <v/>
      </c>
      <c r="G195" s="17" t="str">
        <f ca="1">IF(H195=0,"",COUNTIF($H$11:H195,"&gt;0"))</f>
        <v/>
      </c>
      <c r="H195" s="17">
        <f ca="1">IFERROR(SEARCH(INDIRECT(CELL("address")),DBRANEQ!H194),0)</f>
        <v>0</v>
      </c>
      <c r="J195" t="str">
        <f ca="1">IFERROR(INDEX(DBTXEQ!$H$10:$H$500,MATCH(ROW(I185),$K$11:$K$500,0)),"")</f>
        <v/>
      </c>
      <c r="K195" t="str">
        <f ca="1">IF(L195=0,"",COUNTIF($L$11:L195,"&gt;0"))</f>
        <v/>
      </c>
      <c r="L195">
        <f ca="1">IFERROR(SEARCH(INDIRECT(CELL("address")),DBTXEQ!H194),0)</f>
        <v>0</v>
      </c>
    </row>
    <row r="196" spans="6:12">
      <c r="F196" s="17" t="str">
        <f ca="1">IFERROR(INDEX(DBRANEQ!$H$10:$H$500,MATCH(ROW(E186),$G$11:$G$500,0)),"")</f>
        <v/>
      </c>
      <c r="G196" s="17" t="str">
        <f ca="1">IF(H196=0,"",COUNTIF($H$11:H196,"&gt;0"))</f>
        <v/>
      </c>
      <c r="H196" s="17">
        <f ca="1">IFERROR(SEARCH(INDIRECT(CELL("address")),DBRANEQ!H195),0)</f>
        <v>0</v>
      </c>
      <c r="J196" t="str">
        <f ca="1">IFERROR(INDEX(DBTXEQ!$H$10:$H$500,MATCH(ROW(I186),$K$11:$K$500,0)),"")</f>
        <v/>
      </c>
      <c r="K196" t="str">
        <f ca="1">IF(L196=0,"",COUNTIF($L$11:L196,"&gt;0"))</f>
        <v/>
      </c>
      <c r="L196">
        <f ca="1">IFERROR(SEARCH(INDIRECT(CELL("address")),DBTXEQ!H195),0)</f>
        <v>0</v>
      </c>
    </row>
    <row r="197" spans="6:12">
      <c r="F197" s="17" t="str">
        <f ca="1">IFERROR(INDEX(DBRANEQ!$H$10:$H$500,MATCH(ROW(E187),$G$11:$G$500,0)),"")</f>
        <v/>
      </c>
      <c r="G197" s="17" t="str">
        <f ca="1">IF(H197=0,"",COUNTIF($H$11:H197,"&gt;0"))</f>
        <v/>
      </c>
      <c r="H197" s="17">
        <f ca="1">IFERROR(SEARCH(INDIRECT(CELL("address")),DBRANEQ!H196),0)</f>
        <v>0</v>
      </c>
      <c r="J197" t="str">
        <f ca="1">IFERROR(INDEX(DBTXEQ!$H$10:$H$500,MATCH(ROW(I187),$K$11:$K$500,0)),"")</f>
        <v/>
      </c>
      <c r="K197" t="str">
        <f ca="1">IF(L197=0,"",COUNTIF($L$11:L197,"&gt;0"))</f>
        <v/>
      </c>
      <c r="L197">
        <f ca="1">IFERROR(SEARCH(INDIRECT(CELL("address")),DBTXEQ!H196),0)</f>
        <v>0</v>
      </c>
    </row>
    <row r="198" spans="6:12">
      <c r="F198" s="17" t="str">
        <f ca="1">IFERROR(INDEX(DBRANEQ!$H$10:$H$500,MATCH(ROW(E188),$G$11:$G$500,0)),"")</f>
        <v/>
      </c>
      <c r="G198" s="17" t="str">
        <f ca="1">IF(H198=0,"",COUNTIF($H$11:H198,"&gt;0"))</f>
        <v/>
      </c>
      <c r="H198" s="17">
        <f ca="1">IFERROR(SEARCH(INDIRECT(CELL("address")),DBRANEQ!H197),0)</f>
        <v>0</v>
      </c>
      <c r="J198" t="str">
        <f ca="1">IFERROR(INDEX(DBTXEQ!$H$10:$H$500,MATCH(ROW(I188),$K$11:$K$500,0)),"")</f>
        <v/>
      </c>
      <c r="K198" t="str">
        <f ca="1">IF(L198=0,"",COUNTIF($L$11:L198,"&gt;0"))</f>
        <v/>
      </c>
      <c r="L198">
        <f ca="1">IFERROR(SEARCH(INDIRECT(CELL("address")),DBTXEQ!H197),0)</f>
        <v>0</v>
      </c>
    </row>
    <row r="199" spans="6:12">
      <c r="F199" s="17" t="str">
        <f ca="1">IFERROR(INDEX(DBRANEQ!$H$10:$H$500,MATCH(ROW(E189),$G$11:$G$500,0)),"")</f>
        <v/>
      </c>
      <c r="G199" s="17" t="str">
        <f ca="1">IF(H199=0,"",COUNTIF($H$11:H199,"&gt;0"))</f>
        <v/>
      </c>
      <c r="H199" s="17">
        <f ca="1">IFERROR(SEARCH(INDIRECT(CELL("address")),DBRANEQ!H198),0)</f>
        <v>0</v>
      </c>
      <c r="J199" t="str">
        <f ca="1">IFERROR(INDEX(DBTXEQ!$H$10:$H$500,MATCH(ROW(I189),$K$11:$K$500,0)),"")</f>
        <v/>
      </c>
      <c r="K199" t="str">
        <f ca="1">IF(L199=0,"",COUNTIF($L$11:L199,"&gt;0"))</f>
        <v/>
      </c>
      <c r="L199">
        <f ca="1">IFERROR(SEARCH(INDIRECT(CELL("address")),DBTXEQ!H198),0)</f>
        <v>0</v>
      </c>
    </row>
    <row r="200" spans="6:12">
      <c r="F200" s="17" t="str">
        <f ca="1">IFERROR(INDEX(DBRANEQ!$H$10:$H$500,MATCH(ROW(E190),$G$11:$G$500,0)),"")</f>
        <v/>
      </c>
      <c r="G200" s="17" t="str">
        <f ca="1">IF(H200=0,"",COUNTIF($H$11:H200,"&gt;0"))</f>
        <v/>
      </c>
      <c r="H200" s="17">
        <f ca="1">IFERROR(SEARCH(INDIRECT(CELL("address")),DBRANEQ!H199),0)</f>
        <v>0</v>
      </c>
      <c r="J200" t="str">
        <f ca="1">IFERROR(INDEX(DBTXEQ!$H$10:$H$500,MATCH(ROW(I190),$K$11:$K$500,0)),"")</f>
        <v/>
      </c>
      <c r="K200" t="str">
        <f ca="1">IF(L200=0,"",COUNTIF($L$11:L200,"&gt;0"))</f>
        <v/>
      </c>
      <c r="L200">
        <f ca="1">IFERROR(SEARCH(INDIRECT(CELL("address")),DBTXEQ!H199),0)</f>
        <v>0</v>
      </c>
    </row>
    <row r="201" spans="6:12">
      <c r="F201" s="17" t="str">
        <f ca="1">IFERROR(INDEX(DBRANEQ!$H$10:$H$500,MATCH(ROW(E191),$G$11:$G$500,0)),"")</f>
        <v/>
      </c>
      <c r="G201" s="17" t="str">
        <f ca="1">IF(H201=0,"",COUNTIF($H$11:H201,"&gt;0"))</f>
        <v/>
      </c>
      <c r="H201" s="17">
        <f ca="1">IFERROR(SEARCH(INDIRECT(CELL("address")),DBRANEQ!H200),0)</f>
        <v>0</v>
      </c>
      <c r="J201" t="str">
        <f ca="1">IFERROR(INDEX(DBTXEQ!$H$10:$H$500,MATCH(ROW(I191),$K$11:$K$500,0)),"")</f>
        <v/>
      </c>
      <c r="K201" t="str">
        <f ca="1">IF(L201=0,"",COUNTIF($L$11:L201,"&gt;0"))</f>
        <v/>
      </c>
      <c r="L201">
        <f ca="1">IFERROR(SEARCH(INDIRECT(CELL("address")),DBTXEQ!H200),0)</f>
        <v>0</v>
      </c>
    </row>
    <row r="202" spans="6:12">
      <c r="F202" s="17" t="str">
        <f ca="1">IFERROR(INDEX(DBRANEQ!$H$10:$H$500,MATCH(ROW(E192),$G$11:$G$500,0)),"")</f>
        <v/>
      </c>
      <c r="G202" s="17" t="str">
        <f ca="1">IF(H202=0,"",COUNTIF($H$11:H202,"&gt;0"))</f>
        <v/>
      </c>
      <c r="H202" s="17">
        <f ca="1">IFERROR(SEARCH(INDIRECT(CELL("address")),DBRANEQ!H201),0)</f>
        <v>0</v>
      </c>
      <c r="J202" t="str">
        <f ca="1">IFERROR(INDEX(DBTXEQ!$H$10:$H$500,MATCH(ROW(I192),$K$11:$K$500,0)),"")</f>
        <v/>
      </c>
      <c r="K202" t="str">
        <f ca="1">IF(L202=0,"",COUNTIF($L$11:L202,"&gt;0"))</f>
        <v/>
      </c>
      <c r="L202">
        <f ca="1">IFERROR(SEARCH(INDIRECT(CELL("address")),DBTXEQ!H201),0)</f>
        <v>0</v>
      </c>
    </row>
    <row r="203" spans="6:12">
      <c r="F203" s="17" t="str">
        <f ca="1">IFERROR(INDEX(DBRANEQ!$H$10:$H$500,MATCH(ROW(E193),$G$11:$G$500,0)),"")</f>
        <v/>
      </c>
      <c r="G203" s="17" t="str">
        <f ca="1">IF(H203=0,"",COUNTIF($H$11:H203,"&gt;0"))</f>
        <v/>
      </c>
      <c r="H203" s="17">
        <f ca="1">IFERROR(SEARCH(INDIRECT(CELL("address")),DBRANEQ!H202),0)</f>
        <v>0</v>
      </c>
      <c r="J203" t="str">
        <f ca="1">IFERROR(INDEX(DBTXEQ!$H$10:$H$500,MATCH(ROW(I193),$K$11:$K$500,0)),"")</f>
        <v/>
      </c>
      <c r="K203" t="str">
        <f ca="1">IF(L203=0,"",COUNTIF($L$11:L203,"&gt;0"))</f>
        <v/>
      </c>
      <c r="L203">
        <f ca="1">IFERROR(SEARCH(INDIRECT(CELL("address")),DBTXEQ!H202),0)</f>
        <v>0</v>
      </c>
    </row>
    <row r="204" spans="6:12">
      <c r="F204" s="17" t="str">
        <f ca="1">IFERROR(INDEX(DBRANEQ!$H$10:$H$500,MATCH(ROW(E194),$G$11:$G$500,0)),"")</f>
        <v/>
      </c>
      <c r="G204" s="17" t="str">
        <f ca="1">IF(H204=0,"",COUNTIF($H$11:H204,"&gt;0"))</f>
        <v/>
      </c>
      <c r="H204" s="17">
        <f ca="1">IFERROR(SEARCH(INDIRECT(CELL("address")),DBRANEQ!H203),0)</f>
        <v>0</v>
      </c>
      <c r="J204" t="str">
        <f ca="1">IFERROR(INDEX(DBTXEQ!$H$10:$H$500,MATCH(ROW(I194),$K$11:$K$500,0)),"")</f>
        <v/>
      </c>
      <c r="K204" t="str">
        <f ca="1">IF(L204=0,"",COUNTIF($L$11:L204,"&gt;0"))</f>
        <v/>
      </c>
      <c r="L204">
        <f ca="1">IFERROR(SEARCH(INDIRECT(CELL("address")),DBTXEQ!H203),0)</f>
        <v>0</v>
      </c>
    </row>
    <row r="205" spans="6:12">
      <c r="F205" s="17" t="str">
        <f ca="1">IFERROR(INDEX(DBRANEQ!$H$10:$H$500,MATCH(ROW(E195),$G$11:$G$500,0)),"")</f>
        <v/>
      </c>
      <c r="G205" s="17" t="str">
        <f ca="1">IF(H205=0,"",COUNTIF($H$11:H205,"&gt;0"))</f>
        <v/>
      </c>
      <c r="H205" s="17">
        <f ca="1">IFERROR(SEARCH(INDIRECT(CELL("address")),DBRANEQ!H204),0)</f>
        <v>0</v>
      </c>
      <c r="J205" t="str">
        <f ca="1">IFERROR(INDEX(DBTXEQ!$H$10:$H$500,MATCH(ROW(I195),$K$11:$K$500,0)),"")</f>
        <v/>
      </c>
      <c r="K205" t="str">
        <f ca="1">IF(L205=0,"",COUNTIF($L$11:L205,"&gt;0"))</f>
        <v/>
      </c>
      <c r="L205">
        <f ca="1">IFERROR(SEARCH(INDIRECT(CELL("address")),DBTXEQ!H204),0)</f>
        <v>0</v>
      </c>
    </row>
    <row r="206" spans="6:12">
      <c r="F206" s="17" t="str">
        <f ca="1">IFERROR(INDEX(DBRANEQ!$H$10:$H$500,MATCH(ROW(E196),$G$11:$G$500,0)),"")</f>
        <v/>
      </c>
      <c r="G206" s="17" t="str">
        <f ca="1">IF(H206=0,"",COUNTIF($H$11:H206,"&gt;0"))</f>
        <v/>
      </c>
      <c r="H206" s="17">
        <f ca="1">IFERROR(SEARCH(INDIRECT(CELL("address")),DBRANEQ!H205),0)</f>
        <v>0</v>
      </c>
      <c r="J206" t="str">
        <f ca="1">IFERROR(INDEX(DBTXEQ!$H$10:$H$500,MATCH(ROW(I196),$K$11:$K$500,0)),"")</f>
        <v/>
      </c>
      <c r="K206" t="str">
        <f ca="1">IF(L206=0,"",COUNTIF($L$11:L206,"&gt;0"))</f>
        <v/>
      </c>
      <c r="L206">
        <f ca="1">IFERROR(SEARCH(INDIRECT(CELL("address")),DBTXEQ!H205),0)</f>
        <v>0</v>
      </c>
    </row>
    <row r="207" spans="6:12">
      <c r="F207" s="17" t="str">
        <f ca="1">IFERROR(INDEX(DBRANEQ!$H$10:$H$500,MATCH(ROW(E197),$G$11:$G$500,0)),"")</f>
        <v/>
      </c>
      <c r="G207" s="17" t="str">
        <f ca="1">IF(H207=0,"",COUNTIF($H$11:H207,"&gt;0"))</f>
        <v/>
      </c>
      <c r="H207" s="17">
        <f ca="1">IFERROR(SEARCH(INDIRECT(CELL("address")),DBRANEQ!H206),0)</f>
        <v>0</v>
      </c>
      <c r="J207" t="str">
        <f ca="1">IFERROR(INDEX(DBTXEQ!$H$10:$H$500,MATCH(ROW(I197),$K$11:$K$500,0)),"")</f>
        <v/>
      </c>
      <c r="K207" t="str">
        <f ca="1">IF(L207=0,"",COUNTIF($L$11:L207,"&gt;0"))</f>
        <v/>
      </c>
      <c r="L207">
        <f ca="1">IFERROR(SEARCH(INDIRECT(CELL("address")),DBTXEQ!H206),0)</f>
        <v>0</v>
      </c>
    </row>
    <row r="208" spans="6:12">
      <c r="F208" s="17" t="str">
        <f ca="1">IFERROR(INDEX(DBRANEQ!$H$10:$H$500,MATCH(ROW(E198),$G$11:$G$500,0)),"")</f>
        <v/>
      </c>
      <c r="G208" s="17" t="str">
        <f ca="1">IF(H208=0,"",COUNTIF($H$11:H208,"&gt;0"))</f>
        <v/>
      </c>
      <c r="H208" s="17">
        <f ca="1">IFERROR(SEARCH(INDIRECT(CELL("address")),DBRANEQ!H207),0)</f>
        <v>0</v>
      </c>
      <c r="J208" t="str">
        <f ca="1">IFERROR(INDEX(DBTXEQ!$H$10:$H$500,MATCH(ROW(I198),$K$11:$K$500,0)),"")</f>
        <v/>
      </c>
      <c r="K208" t="str">
        <f ca="1">IF(L208=0,"",COUNTIF($L$11:L208,"&gt;0"))</f>
        <v/>
      </c>
      <c r="L208">
        <f ca="1">IFERROR(SEARCH(INDIRECT(CELL("address")),DBTXEQ!H207),0)</f>
        <v>0</v>
      </c>
    </row>
    <row r="209" spans="6:12">
      <c r="F209" s="17" t="str">
        <f ca="1">IFERROR(INDEX(DBRANEQ!$H$10:$H$500,MATCH(ROW(E199),$G$11:$G$500,0)),"")</f>
        <v/>
      </c>
      <c r="G209" s="17" t="str">
        <f ca="1">IF(H209=0,"",COUNTIF($H$11:H209,"&gt;0"))</f>
        <v/>
      </c>
      <c r="H209" s="17">
        <f ca="1">IFERROR(SEARCH(INDIRECT(CELL("address")),DBRANEQ!H208),0)</f>
        <v>0</v>
      </c>
      <c r="J209" t="str">
        <f ca="1">IFERROR(INDEX(DBTXEQ!$H$10:$H$500,MATCH(ROW(I199),$K$11:$K$500,0)),"")</f>
        <v/>
      </c>
      <c r="K209" t="str">
        <f ca="1">IF(L209=0,"",COUNTIF($L$11:L209,"&gt;0"))</f>
        <v/>
      </c>
      <c r="L209">
        <f ca="1">IFERROR(SEARCH(INDIRECT(CELL("address")),DBTXEQ!H208),0)</f>
        <v>0</v>
      </c>
    </row>
    <row r="210" spans="6:12">
      <c r="F210" s="17" t="str">
        <f ca="1">IFERROR(INDEX(DBRANEQ!$H$10:$H$500,MATCH(ROW(E200),$G$11:$G$500,0)),"")</f>
        <v/>
      </c>
      <c r="G210" s="17" t="str">
        <f ca="1">IF(H210=0,"",COUNTIF($H$11:H210,"&gt;0"))</f>
        <v/>
      </c>
      <c r="H210" s="17">
        <f ca="1">IFERROR(SEARCH(INDIRECT(CELL("address")),DBRANEQ!H209),0)</f>
        <v>0</v>
      </c>
      <c r="J210" t="str">
        <f ca="1">IFERROR(INDEX(DBTXEQ!$H$10:$H$500,MATCH(ROW(I200),$K$11:$K$500,0)),"")</f>
        <v/>
      </c>
      <c r="K210" t="str">
        <f ca="1">IF(L210=0,"",COUNTIF($L$11:L210,"&gt;0"))</f>
        <v/>
      </c>
      <c r="L210">
        <f ca="1">IFERROR(SEARCH(INDIRECT(CELL("address")),DBTXEQ!H209),0)</f>
        <v>0</v>
      </c>
    </row>
    <row r="211" spans="6:12">
      <c r="F211" s="17" t="str">
        <f ca="1">IFERROR(INDEX(DBRANEQ!$H$10:$H$500,MATCH(ROW(E201),$G$11:$G$500,0)),"")</f>
        <v/>
      </c>
      <c r="G211" s="17" t="str">
        <f ca="1">IF(H211=0,"",COUNTIF($H$11:H211,"&gt;0"))</f>
        <v/>
      </c>
      <c r="H211" s="17">
        <f ca="1">IFERROR(SEARCH(INDIRECT(CELL("address")),DBRANEQ!H210),0)</f>
        <v>0</v>
      </c>
      <c r="J211" t="str">
        <f ca="1">IFERROR(INDEX(DBTXEQ!$H$10:$H$500,MATCH(ROW(I201),$K$11:$K$500,0)),"")</f>
        <v/>
      </c>
      <c r="K211" t="str">
        <f ca="1">IF(L211=0,"",COUNTIF($L$11:L211,"&gt;0"))</f>
        <v/>
      </c>
      <c r="L211">
        <f ca="1">IFERROR(SEARCH(INDIRECT(CELL("address")),DBTXEQ!H210),0)</f>
        <v>0</v>
      </c>
    </row>
    <row r="212" spans="6:12">
      <c r="F212" s="17" t="str">
        <f ca="1">IFERROR(INDEX(DBRANEQ!$H$10:$H$500,MATCH(ROW(E202),$G$11:$G$500,0)),"")</f>
        <v/>
      </c>
      <c r="G212" s="17" t="str">
        <f ca="1">IF(H212=0,"",COUNTIF($H$11:H212,"&gt;0"))</f>
        <v/>
      </c>
      <c r="H212" s="17">
        <f ca="1">IFERROR(SEARCH(INDIRECT(CELL("address")),DBRANEQ!H211),0)</f>
        <v>0</v>
      </c>
      <c r="J212" t="str">
        <f ca="1">IFERROR(INDEX(DBTXEQ!$H$10:$H$500,MATCH(ROW(I202),$K$11:$K$500,0)),"")</f>
        <v/>
      </c>
      <c r="K212" t="str">
        <f ca="1">IF(L212=0,"",COUNTIF($L$11:L212,"&gt;0"))</f>
        <v/>
      </c>
      <c r="L212">
        <f ca="1">IFERROR(SEARCH(INDIRECT(CELL("address")),DBTXEQ!H211),0)</f>
        <v>0</v>
      </c>
    </row>
    <row r="213" spans="6:12">
      <c r="F213" s="17" t="str">
        <f ca="1">IFERROR(INDEX(DBRANEQ!$H$10:$H$500,MATCH(ROW(E203),$G$11:$G$500,0)),"")</f>
        <v/>
      </c>
      <c r="G213" s="17" t="str">
        <f ca="1">IF(H213=0,"",COUNTIF($H$11:H213,"&gt;0"))</f>
        <v/>
      </c>
      <c r="H213" s="17">
        <f ca="1">IFERROR(SEARCH(INDIRECT(CELL("address")),DBRANEQ!H212),0)</f>
        <v>0</v>
      </c>
      <c r="J213" t="str">
        <f ca="1">IFERROR(INDEX(DBTXEQ!$H$10:$H$500,MATCH(ROW(I203),$K$11:$K$500,0)),"")</f>
        <v/>
      </c>
      <c r="K213" t="str">
        <f ca="1">IF(L213=0,"",COUNTIF($L$11:L213,"&gt;0"))</f>
        <v/>
      </c>
      <c r="L213">
        <f ca="1">IFERROR(SEARCH(INDIRECT(CELL("address")),DBTXEQ!H212),0)</f>
        <v>0</v>
      </c>
    </row>
    <row r="214" spans="6:12">
      <c r="F214" s="17" t="str">
        <f ca="1">IFERROR(INDEX(DBRANEQ!$H$10:$H$500,MATCH(ROW(E204),$G$11:$G$500,0)),"")</f>
        <v/>
      </c>
      <c r="G214" s="17" t="str">
        <f ca="1">IF(H214=0,"",COUNTIF($H$11:H214,"&gt;0"))</f>
        <v/>
      </c>
      <c r="H214" s="17">
        <f ca="1">IFERROR(SEARCH(INDIRECT(CELL("address")),DBRANEQ!H213),0)</f>
        <v>0</v>
      </c>
      <c r="J214" t="str">
        <f ca="1">IFERROR(INDEX(DBTXEQ!$H$10:$H$500,MATCH(ROW(I204),$K$11:$K$500,0)),"")</f>
        <v/>
      </c>
      <c r="K214" t="str">
        <f ca="1">IF(L214=0,"",COUNTIF($L$11:L214,"&gt;0"))</f>
        <v/>
      </c>
      <c r="L214">
        <f ca="1">IFERROR(SEARCH(INDIRECT(CELL("address")),DBTXEQ!H213),0)</f>
        <v>0</v>
      </c>
    </row>
    <row r="215" spans="6:12">
      <c r="F215" s="17" t="str">
        <f ca="1">IFERROR(INDEX(DBRANEQ!$H$10:$H$500,MATCH(ROW(E205),$G$11:$G$500,0)),"")</f>
        <v/>
      </c>
      <c r="G215" s="17" t="str">
        <f ca="1">IF(H215=0,"",COUNTIF($H$11:H215,"&gt;0"))</f>
        <v/>
      </c>
      <c r="H215" s="17">
        <f ca="1">IFERROR(SEARCH(INDIRECT(CELL("address")),DBRANEQ!H214),0)</f>
        <v>0</v>
      </c>
      <c r="J215" t="str">
        <f ca="1">IFERROR(INDEX(DBTXEQ!$H$10:$H$500,MATCH(ROW(I205),$K$11:$K$500,0)),"")</f>
        <v/>
      </c>
      <c r="K215" t="str">
        <f ca="1">IF(L215=0,"",COUNTIF($L$11:L215,"&gt;0"))</f>
        <v/>
      </c>
      <c r="L215">
        <f ca="1">IFERROR(SEARCH(INDIRECT(CELL("address")),DBTXEQ!H214),0)</f>
        <v>0</v>
      </c>
    </row>
    <row r="216" spans="6:12">
      <c r="F216" s="17" t="str">
        <f ca="1">IFERROR(INDEX(DBRANEQ!$H$10:$H$500,MATCH(ROW(E206),$G$11:$G$500,0)),"")</f>
        <v/>
      </c>
      <c r="G216" s="17" t="str">
        <f ca="1">IF(H216=0,"",COUNTIF($H$11:H216,"&gt;0"))</f>
        <v/>
      </c>
      <c r="H216" s="17">
        <f ca="1">IFERROR(SEARCH(INDIRECT(CELL("address")),DBRANEQ!H215),0)</f>
        <v>0</v>
      </c>
      <c r="J216" t="str">
        <f ca="1">IFERROR(INDEX(DBTXEQ!$H$10:$H$500,MATCH(ROW(I206),$K$11:$K$500,0)),"")</f>
        <v/>
      </c>
      <c r="K216" t="str">
        <f ca="1">IF(L216=0,"",COUNTIF($L$11:L216,"&gt;0"))</f>
        <v/>
      </c>
      <c r="L216">
        <f ca="1">IFERROR(SEARCH(INDIRECT(CELL("address")),DBTXEQ!H215),0)</f>
        <v>0</v>
      </c>
    </row>
    <row r="217" spans="6:12">
      <c r="F217" s="17" t="str">
        <f ca="1">IFERROR(INDEX(DBRANEQ!$H$10:$H$500,MATCH(ROW(E207),$G$11:$G$500,0)),"")</f>
        <v/>
      </c>
      <c r="G217" s="17" t="str">
        <f ca="1">IF(H217=0,"",COUNTIF($H$11:H217,"&gt;0"))</f>
        <v/>
      </c>
      <c r="H217" s="17">
        <f ca="1">IFERROR(SEARCH(INDIRECT(CELL("address")),DBRANEQ!H216),0)</f>
        <v>0</v>
      </c>
      <c r="J217" t="str">
        <f ca="1">IFERROR(INDEX(DBTXEQ!$H$10:$H$500,MATCH(ROW(I207),$K$11:$K$500,0)),"")</f>
        <v/>
      </c>
      <c r="K217" t="str">
        <f ca="1">IF(L217=0,"",COUNTIF($L$11:L217,"&gt;0"))</f>
        <v/>
      </c>
      <c r="L217">
        <f ca="1">IFERROR(SEARCH(INDIRECT(CELL("address")),DBTXEQ!H216),0)</f>
        <v>0</v>
      </c>
    </row>
    <row r="218" spans="6:12">
      <c r="F218" s="17" t="str">
        <f ca="1">IFERROR(INDEX(DBRANEQ!$H$10:$H$500,MATCH(ROW(E208),$G$11:$G$500,0)),"")</f>
        <v/>
      </c>
      <c r="G218" s="17" t="str">
        <f ca="1">IF(H218=0,"",COUNTIF($H$11:H218,"&gt;0"))</f>
        <v/>
      </c>
      <c r="H218" s="17">
        <f ca="1">IFERROR(SEARCH(INDIRECT(CELL("address")),DBRANEQ!H217),0)</f>
        <v>0</v>
      </c>
      <c r="J218" t="str">
        <f ca="1">IFERROR(INDEX(DBTXEQ!$H$10:$H$500,MATCH(ROW(I208),$K$11:$K$500,0)),"")</f>
        <v/>
      </c>
      <c r="K218" t="str">
        <f ca="1">IF(L218=0,"",COUNTIF($L$11:L218,"&gt;0"))</f>
        <v/>
      </c>
      <c r="L218">
        <f ca="1">IFERROR(SEARCH(INDIRECT(CELL("address")),DBTXEQ!H217),0)</f>
        <v>0</v>
      </c>
    </row>
    <row r="219" spans="6:12">
      <c r="F219" s="17" t="str">
        <f ca="1">IFERROR(INDEX(DBRANEQ!$H$10:$H$500,MATCH(ROW(E209),$G$11:$G$500,0)),"")</f>
        <v/>
      </c>
      <c r="G219" s="17" t="str">
        <f ca="1">IF(H219=0,"",COUNTIF($H$11:H219,"&gt;0"))</f>
        <v/>
      </c>
      <c r="H219" s="17">
        <f ca="1">IFERROR(SEARCH(INDIRECT(CELL("address")),DBRANEQ!H218),0)</f>
        <v>0</v>
      </c>
      <c r="J219" t="str">
        <f ca="1">IFERROR(INDEX(DBTXEQ!$H$10:$H$500,MATCH(ROW(I209),$K$11:$K$500,0)),"")</f>
        <v/>
      </c>
      <c r="K219" t="str">
        <f ca="1">IF(L219=0,"",COUNTIF($L$11:L219,"&gt;0"))</f>
        <v/>
      </c>
      <c r="L219">
        <f ca="1">IFERROR(SEARCH(INDIRECT(CELL("address")),DBTXEQ!H218),0)</f>
        <v>0</v>
      </c>
    </row>
    <row r="220" spans="6:12">
      <c r="F220" s="17" t="str">
        <f ca="1">IFERROR(INDEX(DBRANEQ!$H$10:$H$500,MATCH(ROW(E210),$G$11:$G$500,0)),"")</f>
        <v/>
      </c>
      <c r="G220" s="17" t="str">
        <f ca="1">IF(H220=0,"",COUNTIF($H$11:H220,"&gt;0"))</f>
        <v/>
      </c>
      <c r="H220" s="17">
        <f ca="1">IFERROR(SEARCH(INDIRECT(CELL("address")),DBRANEQ!H219),0)</f>
        <v>0</v>
      </c>
      <c r="J220" t="str">
        <f ca="1">IFERROR(INDEX(DBTXEQ!$H$10:$H$500,MATCH(ROW(I210),$K$11:$K$500,0)),"")</f>
        <v/>
      </c>
      <c r="K220" t="str">
        <f ca="1">IF(L220=0,"",COUNTIF($L$11:L220,"&gt;0"))</f>
        <v/>
      </c>
      <c r="L220">
        <f ca="1">IFERROR(SEARCH(INDIRECT(CELL("address")),DBTXEQ!H219),0)</f>
        <v>0</v>
      </c>
    </row>
    <row r="221" spans="6:12">
      <c r="F221" s="17" t="str">
        <f ca="1">IFERROR(INDEX(DBRANEQ!$H$10:$H$500,MATCH(ROW(E211),$G$11:$G$500,0)),"")</f>
        <v/>
      </c>
      <c r="G221" s="17" t="str">
        <f ca="1">IF(H221=0,"",COUNTIF($H$11:H221,"&gt;0"))</f>
        <v/>
      </c>
      <c r="H221" s="17">
        <f ca="1">IFERROR(SEARCH(INDIRECT(CELL("address")),DBRANEQ!H220),0)</f>
        <v>0</v>
      </c>
      <c r="J221" t="str">
        <f ca="1">IFERROR(INDEX(DBTXEQ!$H$10:$H$500,MATCH(ROW(I211),$K$11:$K$500,0)),"")</f>
        <v/>
      </c>
      <c r="K221" t="str">
        <f ca="1">IF(L221=0,"",COUNTIF($L$11:L221,"&gt;0"))</f>
        <v/>
      </c>
      <c r="L221">
        <f ca="1">IFERROR(SEARCH(INDIRECT(CELL("address")),DBTXEQ!H220),0)</f>
        <v>0</v>
      </c>
    </row>
    <row r="222" spans="6:12">
      <c r="F222" s="17" t="str">
        <f ca="1">IFERROR(INDEX(DBRANEQ!$H$10:$H$500,MATCH(ROW(E212),$G$11:$G$500,0)),"")</f>
        <v/>
      </c>
      <c r="G222" s="17" t="str">
        <f ca="1">IF(H222=0,"",COUNTIF($H$11:H222,"&gt;0"))</f>
        <v/>
      </c>
      <c r="H222" s="17">
        <f ca="1">IFERROR(SEARCH(INDIRECT(CELL("address")),DBRANEQ!H221),0)</f>
        <v>0</v>
      </c>
      <c r="J222" t="str">
        <f ca="1">IFERROR(INDEX(DBTXEQ!$H$10:$H$500,MATCH(ROW(I212),$K$11:$K$500,0)),"")</f>
        <v/>
      </c>
      <c r="K222" t="str">
        <f ca="1">IF(L222=0,"",COUNTIF($L$11:L222,"&gt;0"))</f>
        <v/>
      </c>
      <c r="L222">
        <f ca="1">IFERROR(SEARCH(INDIRECT(CELL("address")),DBTXEQ!H221),0)</f>
        <v>0</v>
      </c>
    </row>
    <row r="223" spans="6:12">
      <c r="F223" s="17" t="str">
        <f ca="1">IFERROR(INDEX(DBRANEQ!$H$10:$H$500,MATCH(ROW(E213),$G$11:$G$500,0)),"")</f>
        <v/>
      </c>
      <c r="G223" s="17" t="str">
        <f ca="1">IF(H223=0,"",COUNTIF($H$11:H223,"&gt;0"))</f>
        <v/>
      </c>
      <c r="H223" s="17">
        <f ca="1">IFERROR(SEARCH(INDIRECT(CELL("address")),DBRANEQ!H222),0)</f>
        <v>0</v>
      </c>
      <c r="J223" t="str">
        <f ca="1">IFERROR(INDEX(DBTXEQ!$H$10:$H$500,MATCH(ROW(I213),$K$11:$K$500,0)),"")</f>
        <v/>
      </c>
      <c r="K223" t="str">
        <f ca="1">IF(L223=0,"",COUNTIF($L$11:L223,"&gt;0"))</f>
        <v/>
      </c>
      <c r="L223">
        <f ca="1">IFERROR(SEARCH(INDIRECT(CELL("address")),DBTXEQ!H222),0)</f>
        <v>0</v>
      </c>
    </row>
    <row r="224" spans="6:12">
      <c r="F224" s="17" t="str">
        <f ca="1">IFERROR(INDEX(DBRANEQ!$H$10:$H$500,MATCH(ROW(E214),$G$11:$G$500,0)),"")</f>
        <v/>
      </c>
      <c r="G224" s="17" t="str">
        <f ca="1">IF(H224=0,"",COUNTIF($H$11:H224,"&gt;0"))</f>
        <v/>
      </c>
      <c r="H224" s="17">
        <f ca="1">IFERROR(SEARCH(INDIRECT(CELL("address")),DBRANEQ!H223),0)</f>
        <v>0</v>
      </c>
      <c r="J224" t="str">
        <f ca="1">IFERROR(INDEX(DBTXEQ!$H$10:$H$500,MATCH(ROW(I214),$K$11:$K$500,0)),"")</f>
        <v/>
      </c>
      <c r="K224" t="str">
        <f ca="1">IF(L224=0,"",COUNTIF($L$11:L224,"&gt;0"))</f>
        <v/>
      </c>
      <c r="L224">
        <f ca="1">IFERROR(SEARCH(INDIRECT(CELL("address")),DBTXEQ!H223),0)</f>
        <v>0</v>
      </c>
    </row>
    <row r="225" spans="6:12">
      <c r="F225" s="17" t="str">
        <f ca="1">IFERROR(INDEX(DBRANEQ!$H$10:$H$500,MATCH(ROW(E215),$G$11:$G$500,0)),"")</f>
        <v/>
      </c>
      <c r="G225" s="17" t="str">
        <f ca="1">IF(H225=0,"",COUNTIF($H$11:H225,"&gt;0"))</f>
        <v/>
      </c>
      <c r="H225" s="17">
        <f ca="1">IFERROR(SEARCH(INDIRECT(CELL("address")),DBRANEQ!H224),0)</f>
        <v>0</v>
      </c>
      <c r="J225" t="str">
        <f ca="1">IFERROR(INDEX(DBTXEQ!$H$10:$H$500,MATCH(ROW(I215),$K$11:$K$500,0)),"")</f>
        <v/>
      </c>
      <c r="K225" t="str">
        <f ca="1">IF(L225=0,"",COUNTIF($L$11:L225,"&gt;0"))</f>
        <v/>
      </c>
      <c r="L225">
        <f ca="1">IFERROR(SEARCH(INDIRECT(CELL("address")),DBTXEQ!H224),0)</f>
        <v>0</v>
      </c>
    </row>
    <row r="226" spans="6:12">
      <c r="F226" s="17" t="str">
        <f ca="1">IFERROR(INDEX(DBRANEQ!$H$10:$H$500,MATCH(ROW(E216),$G$11:$G$500,0)),"")</f>
        <v/>
      </c>
      <c r="G226" s="17" t="str">
        <f ca="1">IF(H226=0,"",COUNTIF($H$11:H226,"&gt;0"))</f>
        <v/>
      </c>
      <c r="H226" s="17">
        <f ca="1">IFERROR(SEARCH(INDIRECT(CELL("address")),DBRANEQ!H225),0)</f>
        <v>0</v>
      </c>
      <c r="J226" t="str">
        <f ca="1">IFERROR(INDEX(DBTXEQ!$H$10:$H$500,MATCH(ROW(I216),$K$11:$K$500,0)),"")</f>
        <v/>
      </c>
      <c r="K226" t="str">
        <f ca="1">IF(L226=0,"",COUNTIF($L$11:L226,"&gt;0"))</f>
        <v/>
      </c>
      <c r="L226">
        <f ca="1">IFERROR(SEARCH(INDIRECT(CELL("address")),DBTXEQ!H225),0)</f>
        <v>0</v>
      </c>
    </row>
    <row r="227" spans="6:12">
      <c r="F227" s="17" t="str">
        <f ca="1">IFERROR(INDEX(DBRANEQ!$H$10:$H$500,MATCH(ROW(E217),$G$11:$G$500,0)),"")</f>
        <v/>
      </c>
      <c r="G227" s="17" t="str">
        <f ca="1">IF(H227=0,"",COUNTIF($H$11:H227,"&gt;0"))</f>
        <v/>
      </c>
      <c r="H227" s="17">
        <f ca="1">IFERROR(SEARCH(INDIRECT(CELL("address")),DBRANEQ!H226),0)</f>
        <v>0</v>
      </c>
      <c r="J227" t="str">
        <f ca="1">IFERROR(INDEX(DBTXEQ!$H$10:$H$500,MATCH(ROW(I217),$K$11:$K$500,0)),"")</f>
        <v/>
      </c>
      <c r="K227" t="str">
        <f ca="1">IF(L227=0,"",COUNTIF($L$11:L227,"&gt;0"))</f>
        <v/>
      </c>
      <c r="L227">
        <f ca="1">IFERROR(SEARCH(INDIRECT(CELL("address")),DBTXEQ!H226),0)</f>
        <v>0</v>
      </c>
    </row>
    <row r="228" spans="6:12">
      <c r="F228" s="17" t="str">
        <f ca="1">IFERROR(INDEX(DBRANEQ!$H$10:$H$500,MATCH(ROW(E218),$G$11:$G$500,0)),"")</f>
        <v/>
      </c>
      <c r="G228" s="17" t="str">
        <f ca="1">IF(H228=0,"",COUNTIF($H$11:H228,"&gt;0"))</f>
        <v/>
      </c>
      <c r="H228" s="17">
        <f ca="1">IFERROR(SEARCH(INDIRECT(CELL("address")),DBRANEQ!H227),0)</f>
        <v>0</v>
      </c>
      <c r="J228" t="str">
        <f ca="1">IFERROR(INDEX(DBTXEQ!$H$10:$H$500,MATCH(ROW(I218),$K$11:$K$500,0)),"")</f>
        <v/>
      </c>
      <c r="K228" t="str">
        <f ca="1">IF(L228=0,"",COUNTIF($L$11:L228,"&gt;0"))</f>
        <v/>
      </c>
      <c r="L228">
        <f ca="1">IFERROR(SEARCH(INDIRECT(CELL("address")),DBTXEQ!H227),0)</f>
        <v>0</v>
      </c>
    </row>
    <row r="229" spans="6:12">
      <c r="F229" s="17" t="str">
        <f ca="1">IFERROR(INDEX(DBRANEQ!$H$10:$H$500,MATCH(ROW(E219),$G$11:$G$500,0)),"")</f>
        <v/>
      </c>
      <c r="G229" s="17" t="str">
        <f ca="1">IF(H229=0,"",COUNTIF($H$11:H229,"&gt;0"))</f>
        <v/>
      </c>
      <c r="H229" s="17">
        <f ca="1">IFERROR(SEARCH(INDIRECT(CELL("address")),DBRANEQ!H228),0)</f>
        <v>0</v>
      </c>
      <c r="J229" t="str">
        <f ca="1">IFERROR(INDEX(DBTXEQ!$H$10:$H$500,MATCH(ROW(I219),$K$11:$K$500,0)),"")</f>
        <v/>
      </c>
      <c r="K229" t="str">
        <f ca="1">IF(L229=0,"",COUNTIF($L$11:L229,"&gt;0"))</f>
        <v/>
      </c>
      <c r="L229">
        <f ca="1">IFERROR(SEARCH(INDIRECT(CELL("address")),DBTXEQ!H228),0)</f>
        <v>0</v>
      </c>
    </row>
    <row r="230" spans="6:12">
      <c r="F230" s="17" t="str">
        <f ca="1">IFERROR(INDEX(DBRANEQ!$H$10:$H$500,MATCH(ROW(E220),$G$11:$G$500,0)),"")</f>
        <v/>
      </c>
      <c r="G230" s="17" t="str">
        <f ca="1">IF(H230=0,"",COUNTIF($H$11:H230,"&gt;0"))</f>
        <v/>
      </c>
      <c r="H230" s="17">
        <f ca="1">IFERROR(SEARCH(INDIRECT(CELL("address")),DBRANEQ!H229),0)</f>
        <v>0</v>
      </c>
      <c r="J230" t="str">
        <f ca="1">IFERROR(INDEX(DBTXEQ!$H$10:$H$500,MATCH(ROW(I220),$K$11:$K$500,0)),"")</f>
        <v/>
      </c>
      <c r="K230" t="str">
        <f ca="1">IF(L230=0,"",COUNTIF($L$11:L230,"&gt;0"))</f>
        <v/>
      </c>
      <c r="L230">
        <f ca="1">IFERROR(SEARCH(INDIRECT(CELL("address")),DBTXEQ!H229),0)</f>
        <v>0</v>
      </c>
    </row>
    <row r="231" spans="6:12">
      <c r="F231" s="17" t="str">
        <f ca="1">IFERROR(INDEX(DBRANEQ!$H$10:$H$500,MATCH(ROW(E221),$G$11:$G$500,0)),"")</f>
        <v/>
      </c>
      <c r="G231" s="17" t="str">
        <f ca="1">IF(H231=0,"",COUNTIF($H$11:H231,"&gt;0"))</f>
        <v/>
      </c>
      <c r="H231" s="17">
        <f ca="1">IFERROR(SEARCH(INDIRECT(CELL("address")),DBRANEQ!H230),0)</f>
        <v>0</v>
      </c>
      <c r="J231" t="str">
        <f ca="1">IFERROR(INDEX(DBTXEQ!$H$10:$H$500,MATCH(ROW(I221),$K$11:$K$500,0)),"")</f>
        <v/>
      </c>
      <c r="K231" t="str">
        <f ca="1">IF(L231=0,"",COUNTIF($L$11:L231,"&gt;0"))</f>
        <v/>
      </c>
      <c r="L231">
        <f ca="1">IFERROR(SEARCH(INDIRECT(CELL("address")),DBTXEQ!H230),0)</f>
        <v>0</v>
      </c>
    </row>
    <row r="232" spans="6:12">
      <c r="F232" s="17" t="str">
        <f ca="1">IFERROR(INDEX(DBRANEQ!$H$10:$H$500,MATCH(ROW(E222),$G$11:$G$500,0)),"")</f>
        <v/>
      </c>
      <c r="G232" s="17" t="str">
        <f ca="1">IF(H232=0,"",COUNTIF($H$11:H232,"&gt;0"))</f>
        <v/>
      </c>
      <c r="H232" s="17">
        <f ca="1">IFERROR(SEARCH(INDIRECT(CELL("address")),DBRANEQ!H231),0)</f>
        <v>0</v>
      </c>
      <c r="J232" t="str">
        <f ca="1">IFERROR(INDEX(DBTXEQ!$H$10:$H$500,MATCH(ROW(I222),$K$11:$K$500,0)),"")</f>
        <v/>
      </c>
      <c r="K232" t="str">
        <f ca="1">IF(L232=0,"",COUNTIF($L$11:L232,"&gt;0"))</f>
        <v/>
      </c>
      <c r="L232">
        <f ca="1">IFERROR(SEARCH(INDIRECT(CELL("address")),DBTXEQ!H231),0)</f>
        <v>0</v>
      </c>
    </row>
    <row r="233" spans="6:12">
      <c r="F233" s="17" t="str">
        <f ca="1">IFERROR(INDEX(DBRANEQ!$H$10:$H$500,MATCH(ROW(E223),$G$11:$G$500,0)),"")</f>
        <v/>
      </c>
      <c r="G233" s="17" t="str">
        <f ca="1">IF(H233=0,"",COUNTIF($H$11:H233,"&gt;0"))</f>
        <v/>
      </c>
      <c r="H233" s="17">
        <f ca="1">IFERROR(SEARCH(INDIRECT(CELL("address")),DBRANEQ!H232),0)</f>
        <v>0</v>
      </c>
      <c r="J233" t="str">
        <f ca="1">IFERROR(INDEX(DBTXEQ!$H$10:$H$500,MATCH(ROW(I223),$K$11:$K$500,0)),"")</f>
        <v/>
      </c>
      <c r="K233" t="str">
        <f ca="1">IF(L233=0,"",COUNTIF($L$11:L233,"&gt;0"))</f>
        <v/>
      </c>
      <c r="L233">
        <f ca="1">IFERROR(SEARCH(INDIRECT(CELL("address")),DBTXEQ!H232),0)</f>
        <v>0</v>
      </c>
    </row>
    <row r="234" spans="6:12">
      <c r="F234" s="17" t="str">
        <f ca="1">IFERROR(INDEX(DBRANEQ!$H$10:$H$500,MATCH(ROW(E224),$G$11:$G$500,0)),"")</f>
        <v/>
      </c>
      <c r="G234" s="17" t="str">
        <f ca="1">IF(H234=0,"",COUNTIF($H$11:H234,"&gt;0"))</f>
        <v/>
      </c>
      <c r="H234" s="17">
        <f ca="1">IFERROR(SEARCH(INDIRECT(CELL("address")),DBRANEQ!H233),0)</f>
        <v>0</v>
      </c>
      <c r="J234" t="str">
        <f ca="1">IFERROR(INDEX(DBTXEQ!$H$10:$H$500,MATCH(ROW(I224),$K$11:$K$500,0)),"")</f>
        <v/>
      </c>
      <c r="K234" t="str">
        <f ca="1">IF(L234=0,"",COUNTIF($L$11:L234,"&gt;0"))</f>
        <v/>
      </c>
      <c r="L234">
        <f ca="1">IFERROR(SEARCH(INDIRECT(CELL("address")),DBTXEQ!H233),0)</f>
        <v>0</v>
      </c>
    </row>
    <row r="235" spans="6:12">
      <c r="F235" s="17" t="str">
        <f ca="1">IFERROR(INDEX(DBRANEQ!$H$10:$H$500,MATCH(ROW(E225),$G$11:$G$500,0)),"")</f>
        <v/>
      </c>
      <c r="G235" s="17" t="str">
        <f ca="1">IF(H235=0,"",COUNTIF($H$11:H235,"&gt;0"))</f>
        <v/>
      </c>
      <c r="H235" s="17">
        <f ca="1">IFERROR(SEARCH(INDIRECT(CELL("address")),DBRANEQ!H234),0)</f>
        <v>0</v>
      </c>
      <c r="J235" t="str">
        <f ca="1">IFERROR(INDEX(DBTXEQ!$H$10:$H$500,MATCH(ROW(I225),$K$11:$K$500,0)),"")</f>
        <v/>
      </c>
      <c r="K235" t="str">
        <f ca="1">IF(L235=0,"",COUNTIF($L$11:L235,"&gt;0"))</f>
        <v/>
      </c>
      <c r="L235">
        <f ca="1">IFERROR(SEARCH(INDIRECT(CELL("address")),DBTXEQ!H234),0)</f>
        <v>0</v>
      </c>
    </row>
    <row r="236" spans="6:12">
      <c r="F236" s="17" t="str">
        <f ca="1">IFERROR(INDEX(DBRANEQ!$H$10:$H$500,MATCH(ROW(E226),$G$11:$G$500,0)),"")</f>
        <v/>
      </c>
      <c r="G236" s="17" t="str">
        <f ca="1">IF(H236=0,"",COUNTIF($H$11:H236,"&gt;0"))</f>
        <v/>
      </c>
      <c r="H236" s="17">
        <f ca="1">IFERROR(SEARCH(INDIRECT(CELL("address")),DBRANEQ!H235),0)</f>
        <v>0</v>
      </c>
      <c r="J236" t="str">
        <f ca="1">IFERROR(INDEX(DBTXEQ!$H$10:$H$500,MATCH(ROW(I226),$K$11:$K$500,0)),"")</f>
        <v/>
      </c>
      <c r="K236" t="str">
        <f ca="1">IF(L236=0,"",COUNTIF($L$11:L236,"&gt;0"))</f>
        <v/>
      </c>
      <c r="L236">
        <f ca="1">IFERROR(SEARCH(INDIRECT(CELL("address")),DBTXEQ!H235),0)</f>
        <v>0</v>
      </c>
    </row>
    <row r="237" spans="6:12">
      <c r="F237" s="17" t="str">
        <f ca="1">IFERROR(INDEX(DBRANEQ!$H$10:$H$500,MATCH(ROW(E227),$G$11:$G$500,0)),"")</f>
        <v/>
      </c>
      <c r="G237" s="17" t="str">
        <f ca="1">IF(H237=0,"",COUNTIF($H$11:H237,"&gt;0"))</f>
        <v/>
      </c>
      <c r="H237" s="17">
        <f ca="1">IFERROR(SEARCH(INDIRECT(CELL("address")),DBRANEQ!H236),0)</f>
        <v>0</v>
      </c>
      <c r="J237" t="str">
        <f ca="1">IFERROR(INDEX(DBTXEQ!$H$10:$H$500,MATCH(ROW(I227),$K$11:$K$500,0)),"")</f>
        <v/>
      </c>
      <c r="K237" t="str">
        <f ca="1">IF(L237=0,"",COUNTIF($L$11:L237,"&gt;0"))</f>
        <v/>
      </c>
      <c r="L237">
        <f ca="1">IFERROR(SEARCH(INDIRECT(CELL("address")),DBTXEQ!H236),0)</f>
        <v>0</v>
      </c>
    </row>
    <row r="238" spans="6:12">
      <c r="F238" s="17" t="str">
        <f ca="1">IFERROR(INDEX(DBRANEQ!$H$10:$H$500,MATCH(ROW(E228),$G$11:$G$500,0)),"")</f>
        <v/>
      </c>
      <c r="G238" s="17" t="str">
        <f ca="1">IF(H238=0,"",COUNTIF($H$11:H238,"&gt;0"))</f>
        <v/>
      </c>
      <c r="H238" s="17">
        <f ca="1">IFERROR(SEARCH(INDIRECT(CELL("address")),DBRANEQ!H237),0)</f>
        <v>0</v>
      </c>
      <c r="J238" t="str">
        <f ca="1">IFERROR(INDEX(DBTXEQ!$H$10:$H$500,MATCH(ROW(I228),$K$11:$K$500,0)),"")</f>
        <v/>
      </c>
      <c r="K238" t="str">
        <f ca="1">IF(L238=0,"",COUNTIF($L$11:L238,"&gt;0"))</f>
        <v/>
      </c>
      <c r="L238">
        <f ca="1">IFERROR(SEARCH(INDIRECT(CELL("address")),DBTXEQ!H237),0)</f>
        <v>0</v>
      </c>
    </row>
    <row r="239" spans="6:12">
      <c r="F239" s="17" t="str">
        <f ca="1">IFERROR(INDEX(DBRANEQ!$H$10:$H$500,MATCH(ROW(E229),$G$11:$G$500,0)),"")</f>
        <v/>
      </c>
      <c r="G239" s="17" t="str">
        <f ca="1">IF(H239=0,"",COUNTIF($H$11:H239,"&gt;0"))</f>
        <v/>
      </c>
      <c r="H239" s="17">
        <f ca="1">IFERROR(SEARCH(INDIRECT(CELL("address")),DBRANEQ!H238),0)</f>
        <v>0</v>
      </c>
      <c r="J239" t="str">
        <f ca="1">IFERROR(INDEX(DBTXEQ!$H$10:$H$500,MATCH(ROW(I229),$K$11:$K$500,0)),"")</f>
        <v/>
      </c>
      <c r="K239" t="str">
        <f ca="1">IF(L239=0,"",COUNTIF($L$11:L239,"&gt;0"))</f>
        <v/>
      </c>
      <c r="L239">
        <f ca="1">IFERROR(SEARCH(INDIRECT(CELL("address")),DBTXEQ!H238),0)</f>
        <v>0</v>
      </c>
    </row>
    <row r="240" spans="6:12">
      <c r="F240" s="17" t="str">
        <f ca="1">IFERROR(INDEX(DBRANEQ!$H$10:$H$500,MATCH(ROW(E230),$G$11:$G$500,0)),"")</f>
        <v/>
      </c>
      <c r="G240" s="17" t="str">
        <f ca="1">IF(H240=0,"",COUNTIF($H$11:H240,"&gt;0"))</f>
        <v/>
      </c>
      <c r="H240" s="17">
        <f ca="1">IFERROR(SEARCH(INDIRECT(CELL("address")),DBRANEQ!H239),0)</f>
        <v>0</v>
      </c>
      <c r="J240" t="str">
        <f ca="1">IFERROR(INDEX(DBTXEQ!$H$10:$H$500,MATCH(ROW(I230),$K$11:$K$500,0)),"")</f>
        <v/>
      </c>
      <c r="K240" t="str">
        <f ca="1">IF(L240=0,"",COUNTIF($L$11:L240,"&gt;0"))</f>
        <v/>
      </c>
      <c r="L240">
        <f ca="1">IFERROR(SEARCH(INDIRECT(CELL("address")),DBTXEQ!H239),0)</f>
        <v>0</v>
      </c>
    </row>
    <row r="241" spans="6:12">
      <c r="F241" s="17" t="str">
        <f ca="1">IFERROR(INDEX(DBRANEQ!$H$10:$H$500,MATCH(ROW(E231),$G$11:$G$500,0)),"")</f>
        <v/>
      </c>
      <c r="G241" s="17" t="str">
        <f ca="1">IF(H241=0,"",COUNTIF($H$11:H241,"&gt;0"))</f>
        <v/>
      </c>
      <c r="H241" s="17">
        <f ca="1">IFERROR(SEARCH(INDIRECT(CELL("address")),DBRANEQ!H240),0)</f>
        <v>0</v>
      </c>
      <c r="J241" t="str">
        <f ca="1">IFERROR(INDEX(DBTXEQ!$H$10:$H$500,MATCH(ROW(I231),$K$11:$K$500,0)),"")</f>
        <v/>
      </c>
      <c r="K241" t="str">
        <f ca="1">IF(L241=0,"",COUNTIF($L$11:L241,"&gt;0"))</f>
        <v/>
      </c>
      <c r="L241">
        <f ca="1">IFERROR(SEARCH(INDIRECT(CELL("address")),DBTXEQ!H240),0)</f>
        <v>0</v>
      </c>
    </row>
    <row r="242" spans="6:12">
      <c r="F242" s="17" t="str">
        <f ca="1">IFERROR(INDEX(DBRANEQ!$H$10:$H$500,MATCH(ROW(E232),$G$11:$G$500,0)),"")</f>
        <v/>
      </c>
      <c r="G242" s="17" t="str">
        <f ca="1">IF(H242=0,"",COUNTIF($H$11:H242,"&gt;0"))</f>
        <v/>
      </c>
      <c r="H242" s="17">
        <f ca="1">IFERROR(SEARCH(INDIRECT(CELL("address")),DBRANEQ!H241),0)</f>
        <v>0</v>
      </c>
      <c r="J242" t="str">
        <f ca="1">IFERROR(INDEX(DBTXEQ!$H$10:$H$500,MATCH(ROW(I232),$K$11:$K$500,0)),"")</f>
        <v/>
      </c>
      <c r="K242" t="str">
        <f ca="1">IF(L242=0,"",COUNTIF($L$11:L242,"&gt;0"))</f>
        <v/>
      </c>
      <c r="L242">
        <f ca="1">IFERROR(SEARCH(INDIRECT(CELL("address")),DBTXEQ!H241),0)</f>
        <v>0</v>
      </c>
    </row>
    <row r="243" spans="6:12">
      <c r="F243" s="17" t="str">
        <f ca="1">IFERROR(INDEX(DBRANEQ!$H$10:$H$500,MATCH(ROW(E233),$G$11:$G$500,0)),"")</f>
        <v/>
      </c>
      <c r="G243" s="17" t="str">
        <f ca="1">IF(H243=0,"",COUNTIF($H$11:H243,"&gt;0"))</f>
        <v/>
      </c>
      <c r="H243" s="17">
        <f ca="1">IFERROR(SEARCH(INDIRECT(CELL("address")),DBRANEQ!H242),0)</f>
        <v>0</v>
      </c>
      <c r="J243" t="str">
        <f ca="1">IFERROR(INDEX(DBTXEQ!$H$10:$H$500,MATCH(ROW(I233),$K$11:$K$500,0)),"")</f>
        <v/>
      </c>
      <c r="K243" t="str">
        <f ca="1">IF(L243=0,"",COUNTIF($L$11:L243,"&gt;0"))</f>
        <v/>
      </c>
      <c r="L243">
        <f ca="1">IFERROR(SEARCH(INDIRECT(CELL("address")),DBTXEQ!H242),0)</f>
        <v>0</v>
      </c>
    </row>
    <row r="244" spans="6:12">
      <c r="F244" s="17" t="str">
        <f ca="1">IFERROR(INDEX(DBRANEQ!$H$10:$H$500,MATCH(ROW(E234),$G$11:$G$500,0)),"")</f>
        <v/>
      </c>
      <c r="G244" s="17" t="str">
        <f ca="1">IF(H244=0,"",COUNTIF($H$11:H244,"&gt;0"))</f>
        <v/>
      </c>
      <c r="H244" s="17">
        <f ca="1">IFERROR(SEARCH(INDIRECT(CELL("address")),DBRANEQ!H243),0)</f>
        <v>0</v>
      </c>
      <c r="J244" t="str">
        <f ca="1">IFERROR(INDEX(DBTXEQ!$H$10:$H$500,MATCH(ROW(I234),$K$11:$K$500,0)),"")</f>
        <v/>
      </c>
      <c r="K244" t="str">
        <f ca="1">IF(L244=0,"",COUNTIF($L$11:L244,"&gt;0"))</f>
        <v/>
      </c>
      <c r="L244">
        <f ca="1">IFERROR(SEARCH(INDIRECT(CELL("address")),DBTXEQ!H243),0)</f>
        <v>0</v>
      </c>
    </row>
    <row r="245" spans="6:12">
      <c r="F245" s="17" t="str">
        <f ca="1">IFERROR(INDEX(DBRANEQ!$H$10:$H$500,MATCH(ROW(E235),$G$11:$G$500,0)),"")</f>
        <v/>
      </c>
      <c r="G245" s="17" t="str">
        <f ca="1">IF(H245=0,"",COUNTIF($H$11:H245,"&gt;0"))</f>
        <v/>
      </c>
      <c r="H245" s="17">
        <f ca="1">IFERROR(SEARCH(INDIRECT(CELL("address")),DBRANEQ!H244),0)</f>
        <v>0</v>
      </c>
      <c r="J245" t="str">
        <f ca="1">IFERROR(INDEX(DBTXEQ!$H$10:$H$500,MATCH(ROW(I235),$K$11:$K$500,0)),"")</f>
        <v/>
      </c>
      <c r="K245" t="str">
        <f ca="1">IF(L245=0,"",COUNTIF($L$11:L245,"&gt;0"))</f>
        <v/>
      </c>
      <c r="L245">
        <f ca="1">IFERROR(SEARCH(INDIRECT(CELL("address")),DBTXEQ!H244),0)</f>
        <v>0</v>
      </c>
    </row>
    <row r="246" spans="6:12">
      <c r="F246" s="17" t="str">
        <f ca="1">IFERROR(INDEX(DBRANEQ!$H$10:$H$500,MATCH(ROW(E236),$G$11:$G$500,0)),"")</f>
        <v/>
      </c>
      <c r="G246" s="17" t="str">
        <f ca="1">IF(H246=0,"",COUNTIF($H$11:H246,"&gt;0"))</f>
        <v/>
      </c>
      <c r="H246" s="17">
        <f ca="1">IFERROR(SEARCH(INDIRECT(CELL("address")),DBRANEQ!H245),0)</f>
        <v>0</v>
      </c>
      <c r="J246" t="str">
        <f ca="1">IFERROR(INDEX(DBTXEQ!$H$10:$H$500,MATCH(ROW(I236),$K$11:$K$500,0)),"")</f>
        <v/>
      </c>
      <c r="K246" t="str">
        <f ca="1">IF(L246=0,"",COUNTIF($L$11:L246,"&gt;0"))</f>
        <v/>
      </c>
      <c r="L246">
        <f ca="1">IFERROR(SEARCH(INDIRECT(CELL("address")),DBTXEQ!H245),0)</f>
        <v>0</v>
      </c>
    </row>
    <row r="247" spans="6:12">
      <c r="F247" s="17" t="str">
        <f ca="1">IFERROR(INDEX(DBRANEQ!$H$10:$H$500,MATCH(ROW(E237),$G$11:$G$500,0)),"")</f>
        <v/>
      </c>
      <c r="G247" s="17" t="str">
        <f ca="1">IF(H247=0,"",COUNTIF($H$11:H247,"&gt;0"))</f>
        <v/>
      </c>
      <c r="H247" s="17">
        <f ca="1">IFERROR(SEARCH(INDIRECT(CELL("address")),DBRANEQ!H246),0)</f>
        <v>0</v>
      </c>
      <c r="J247" t="str">
        <f ca="1">IFERROR(INDEX(DBTXEQ!$H$10:$H$500,MATCH(ROW(I237),$K$11:$K$500,0)),"")</f>
        <v/>
      </c>
      <c r="K247" t="str">
        <f ca="1">IF(L247=0,"",COUNTIF($L$11:L247,"&gt;0"))</f>
        <v/>
      </c>
      <c r="L247">
        <f ca="1">IFERROR(SEARCH(INDIRECT(CELL("address")),DBTXEQ!H246),0)</f>
        <v>0</v>
      </c>
    </row>
    <row r="248" spans="6:12">
      <c r="F248" s="17" t="str">
        <f ca="1">IFERROR(INDEX(DBRANEQ!$H$10:$H$500,MATCH(ROW(E238),$G$11:$G$500,0)),"")</f>
        <v/>
      </c>
      <c r="G248" s="17" t="str">
        <f ca="1">IF(H248=0,"",COUNTIF($H$11:H248,"&gt;0"))</f>
        <v/>
      </c>
      <c r="H248" s="17">
        <f ca="1">IFERROR(SEARCH(INDIRECT(CELL("address")),DBRANEQ!H247),0)</f>
        <v>0</v>
      </c>
      <c r="J248" t="str">
        <f ca="1">IFERROR(INDEX(DBTXEQ!$H$10:$H$500,MATCH(ROW(I238),$K$11:$K$500,0)),"")</f>
        <v/>
      </c>
      <c r="K248" t="str">
        <f ca="1">IF(L248=0,"",COUNTIF($L$11:L248,"&gt;0"))</f>
        <v/>
      </c>
      <c r="L248">
        <f ca="1">IFERROR(SEARCH(INDIRECT(CELL("address")),DBTXEQ!H247),0)</f>
        <v>0</v>
      </c>
    </row>
    <row r="249" spans="6:12">
      <c r="F249" s="17" t="str">
        <f ca="1">IFERROR(INDEX(DBRANEQ!$H$10:$H$500,MATCH(ROW(E239),$G$11:$G$500,0)),"")</f>
        <v/>
      </c>
      <c r="G249" s="17" t="str">
        <f ca="1">IF(H249=0,"",COUNTIF($H$11:H249,"&gt;0"))</f>
        <v/>
      </c>
      <c r="H249" s="17">
        <f ca="1">IFERROR(SEARCH(INDIRECT(CELL("address")),DBRANEQ!H248),0)</f>
        <v>0</v>
      </c>
      <c r="J249" t="str">
        <f ca="1">IFERROR(INDEX(DBTXEQ!$H$10:$H$500,MATCH(ROW(I239),$K$11:$K$500,0)),"")</f>
        <v/>
      </c>
      <c r="K249" t="str">
        <f ca="1">IF(L249=0,"",COUNTIF($L$11:L249,"&gt;0"))</f>
        <v/>
      </c>
      <c r="L249">
        <f ca="1">IFERROR(SEARCH(INDIRECT(CELL("address")),DBTXEQ!H248),0)</f>
        <v>0</v>
      </c>
    </row>
    <row r="250" spans="6:12">
      <c r="F250" s="17" t="str">
        <f ca="1">IFERROR(INDEX(DBRANEQ!$H$10:$H$500,MATCH(ROW(E240),$G$11:$G$500,0)),"")</f>
        <v/>
      </c>
      <c r="G250" s="17" t="str">
        <f ca="1">IF(H250=0,"",COUNTIF($H$11:H250,"&gt;0"))</f>
        <v/>
      </c>
      <c r="H250" s="17">
        <f ca="1">IFERROR(SEARCH(INDIRECT(CELL("address")),DBRANEQ!H249),0)</f>
        <v>0</v>
      </c>
      <c r="J250" t="str">
        <f ca="1">IFERROR(INDEX(DBTXEQ!$H$10:$H$500,MATCH(ROW(I240),$K$11:$K$500,0)),"")</f>
        <v/>
      </c>
      <c r="K250" t="str">
        <f ca="1">IF(L250=0,"",COUNTIF($L$11:L250,"&gt;0"))</f>
        <v/>
      </c>
      <c r="L250">
        <f ca="1">IFERROR(SEARCH(INDIRECT(CELL("address")),DBTXEQ!H249),0)</f>
        <v>0</v>
      </c>
    </row>
    <row r="251" spans="6:12">
      <c r="F251" s="17" t="str">
        <f ca="1">IFERROR(INDEX(DBRANEQ!$H$10:$H$500,MATCH(ROW(E241),$G$11:$G$500,0)),"")</f>
        <v/>
      </c>
      <c r="G251" s="17" t="str">
        <f ca="1">IF(H251=0,"",COUNTIF($H$11:H251,"&gt;0"))</f>
        <v/>
      </c>
      <c r="H251" s="17">
        <f ca="1">IFERROR(SEARCH(INDIRECT(CELL("address")),DBRANEQ!H250),0)</f>
        <v>0</v>
      </c>
      <c r="J251" t="str">
        <f ca="1">IFERROR(INDEX(DBTXEQ!$H$10:$H$500,MATCH(ROW(I241),$K$11:$K$500,0)),"")</f>
        <v/>
      </c>
      <c r="K251" t="str">
        <f ca="1">IF(L251=0,"",COUNTIF($L$11:L251,"&gt;0"))</f>
        <v/>
      </c>
      <c r="L251">
        <f ca="1">IFERROR(SEARCH(INDIRECT(CELL("address")),DBTXEQ!H250),0)</f>
        <v>0</v>
      </c>
    </row>
    <row r="252" spans="6:12">
      <c r="F252" s="17" t="str">
        <f ca="1">IFERROR(INDEX(DBRANEQ!$H$10:$H$500,MATCH(ROW(E242),$G$11:$G$500,0)),"")</f>
        <v/>
      </c>
      <c r="G252" s="17" t="str">
        <f ca="1">IF(H252=0,"",COUNTIF($H$11:H252,"&gt;0"))</f>
        <v/>
      </c>
      <c r="H252" s="17">
        <f ca="1">IFERROR(SEARCH(INDIRECT(CELL("address")),DBRANEQ!H251),0)</f>
        <v>0</v>
      </c>
      <c r="J252" t="str">
        <f ca="1">IFERROR(INDEX(DBTXEQ!$H$10:$H$500,MATCH(ROW(I242),$K$11:$K$500,0)),"")</f>
        <v/>
      </c>
      <c r="K252" t="str">
        <f ca="1">IF(L252=0,"",COUNTIF($L$11:L252,"&gt;0"))</f>
        <v/>
      </c>
      <c r="L252">
        <f ca="1">IFERROR(SEARCH(INDIRECT(CELL("address")),DBTXEQ!H251),0)</f>
        <v>0</v>
      </c>
    </row>
    <row r="253" spans="6:12">
      <c r="F253" s="17" t="str">
        <f ca="1">IFERROR(INDEX(DBRANEQ!$H$10:$H$500,MATCH(ROW(E243),$G$11:$G$500,0)),"")</f>
        <v/>
      </c>
      <c r="G253" s="17" t="str">
        <f ca="1">IF(H253=0,"",COUNTIF($H$11:H253,"&gt;0"))</f>
        <v/>
      </c>
      <c r="H253" s="17">
        <f ca="1">IFERROR(SEARCH(INDIRECT(CELL("address")),DBRANEQ!H252),0)</f>
        <v>0</v>
      </c>
      <c r="J253" t="str">
        <f ca="1">IFERROR(INDEX(DBTXEQ!$H$10:$H$500,MATCH(ROW(I243),$K$11:$K$500,0)),"")</f>
        <v/>
      </c>
      <c r="K253" t="str">
        <f ca="1">IF(L253=0,"",COUNTIF($L$11:L253,"&gt;0"))</f>
        <v/>
      </c>
      <c r="L253">
        <f ca="1">IFERROR(SEARCH(INDIRECT(CELL("address")),DBTXEQ!H252),0)</f>
        <v>0</v>
      </c>
    </row>
    <row r="254" spans="6:12">
      <c r="F254" s="17" t="str">
        <f ca="1">IFERROR(INDEX(DBRANEQ!$H$10:$H$500,MATCH(ROW(E244),$G$11:$G$500,0)),"")</f>
        <v/>
      </c>
      <c r="G254" s="17" t="str">
        <f ca="1">IF(H254=0,"",COUNTIF($H$11:H254,"&gt;0"))</f>
        <v/>
      </c>
      <c r="H254" s="17">
        <f ca="1">IFERROR(SEARCH(INDIRECT(CELL("address")),DBRANEQ!H253),0)</f>
        <v>0</v>
      </c>
      <c r="J254" t="str">
        <f ca="1">IFERROR(INDEX(DBTXEQ!$H$10:$H$500,MATCH(ROW(I244),$K$11:$K$500,0)),"")</f>
        <v/>
      </c>
      <c r="K254" t="str">
        <f ca="1">IF(L254=0,"",COUNTIF($L$11:L254,"&gt;0"))</f>
        <v/>
      </c>
      <c r="L254">
        <f ca="1">IFERROR(SEARCH(INDIRECT(CELL("address")),DBTXEQ!H253),0)</f>
        <v>0</v>
      </c>
    </row>
    <row r="255" spans="6:12">
      <c r="F255" s="17" t="str">
        <f ca="1">IFERROR(INDEX(DBRANEQ!$H$10:$H$500,MATCH(ROW(E245),$G$11:$G$500,0)),"")</f>
        <v/>
      </c>
      <c r="G255" s="17" t="str">
        <f ca="1">IF(H255=0,"",COUNTIF($H$11:H255,"&gt;0"))</f>
        <v/>
      </c>
      <c r="H255" s="17">
        <f ca="1">IFERROR(SEARCH(INDIRECT(CELL("address")),DBRANEQ!H254),0)</f>
        <v>0</v>
      </c>
      <c r="J255" t="str">
        <f ca="1">IFERROR(INDEX(DBTXEQ!$H$10:$H$500,MATCH(ROW(I245),$K$11:$K$500,0)),"")</f>
        <v/>
      </c>
      <c r="K255" t="str">
        <f ca="1">IF(L255=0,"",COUNTIF($L$11:L255,"&gt;0"))</f>
        <v/>
      </c>
      <c r="L255">
        <f ca="1">IFERROR(SEARCH(INDIRECT(CELL("address")),DBTXEQ!H254),0)</f>
        <v>0</v>
      </c>
    </row>
    <row r="256" spans="6:12">
      <c r="F256" s="17" t="str">
        <f ca="1">IFERROR(INDEX(DBRANEQ!$H$10:$H$500,MATCH(ROW(E246),$G$11:$G$500,0)),"")</f>
        <v/>
      </c>
      <c r="G256" s="17" t="str">
        <f ca="1">IF(H256=0,"",COUNTIF($H$11:H256,"&gt;0"))</f>
        <v/>
      </c>
      <c r="H256" s="17">
        <f ca="1">IFERROR(SEARCH(INDIRECT(CELL("address")),DBRANEQ!H255),0)</f>
        <v>0</v>
      </c>
      <c r="J256" t="str">
        <f ca="1">IFERROR(INDEX(DBTXEQ!$H$10:$H$500,MATCH(ROW(I246),$K$11:$K$500,0)),"")</f>
        <v/>
      </c>
      <c r="K256" t="str">
        <f ca="1">IF(L256=0,"",COUNTIF($L$11:L256,"&gt;0"))</f>
        <v/>
      </c>
      <c r="L256">
        <f ca="1">IFERROR(SEARCH(INDIRECT(CELL("address")),DBTXEQ!H255),0)</f>
        <v>0</v>
      </c>
    </row>
    <row r="257" spans="6:12">
      <c r="F257" s="17" t="str">
        <f ca="1">IFERROR(INDEX(DBRANEQ!$H$10:$H$500,MATCH(ROW(E247),$G$11:$G$500,0)),"")</f>
        <v/>
      </c>
      <c r="G257" s="17" t="str">
        <f ca="1">IF(H257=0,"",COUNTIF($H$11:H257,"&gt;0"))</f>
        <v/>
      </c>
      <c r="H257" s="17">
        <f ca="1">IFERROR(SEARCH(INDIRECT(CELL("address")),DBRANEQ!H256),0)</f>
        <v>0</v>
      </c>
      <c r="J257" t="str">
        <f ca="1">IFERROR(INDEX(DBTXEQ!$H$10:$H$500,MATCH(ROW(I247),$K$11:$K$500,0)),"")</f>
        <v/>
      </c>
      <c r="K257" t="str">
        <f ca="1">IF(L257=0,"",COUNTIF($L$11:L257,"&gt;0"))</f>
        <v/>
      </c>
      <c r="L257">
        <f ca="1">IFERROR(SEARCH(INDIRECT(CELL("address")),DBTXEQ!H256),0)</f>
        <v>0</v>
      </c>
    </row>
    <row r="258" spans="6:12">
      <c r="F258" s="17" t="str">
        <f ca="1">IFERROR(INDEX(DBRANEQ!$H$10:$H$500,MATCH(ROW(E248),$G$11:$G$500,0)),"")</f>
        <v/>
      </c>
      <c r="G258" s="17" t="str">
        <f ca="1">IF(H258=0,"",COUNTIF($H$11:H258,"&gt;0"))</f>
        <v/>
      </c>
      <c r="H258" s="17">
        <f ca="1">IFERROR(SEARCH(INDIRECT(CELL("address")),DBRANEQ!H257),0)</f>
        <v>0</v>
      </c>
      <c r="J258" t="str">
        <f ca="1">IFERROR(INDEX(DBTXEQ!$H$10:$H$500,MATCH(ROW(I248),$K$11:$K$500,0)),"")</f>
        <v/>
      </c>
      <c r="K258" t="str">
        <f ca="1">IF(L258=0,"",COUNTIF($L$11:L258,"&gt;0"))</f>
        <v/>
      </c>
      <c r="L258">
        <f ca="1">IFERROR(SEARCH(INDIRECT(CELL("address")),DBTXEQ!H257),0)</f>
        <v>0</v>
      </c>
    </row>
    <row r="259" spans="6:12">
      <c r="F259" s="17" t="str">
        <f ca="1">IFERROR(INDEX(DBRANEQ!$H$10:$H$500,MATCH(ROW(E249),$G$11:$G$500,0)),"")</f>
        <v/>
      </c>
      <c r="G259" s="17" t="str">
        <f ca="1">IF(H259=0,"",COUNTIF($H$11:H259,"&gt;0"))</f>
        <v/>
      </c>
      <c r="H259" s="17">
        <f ca="1">IFERROR(SEARCH(INDIRECT(CELL("address")),DBRANEQ!H258),0)</f>
        <v>0</v>
      </c>
      <c r="J259" t="str">
        <f ca="1">IFERROR(INDEX(DBTXEQ!$H$10:$H$500,MATCH(ROW(I249),$K$11:$K$500,0)),"")</f>
        <v/>
      </c>
      <c r="K259" t="str">
        <f ca="1">IF(L259=0,"",COUNTIF($L$11:L259,"&gt;0"))</f>
        <v/>
      </c>
      <c r="L259">
        <f ca="1">IFERROR(SEARCH(INDIRECT(CELL("address")),DBTXEQ!H258),0)</f>
        <v>0</v>
      </c>
    </row>
    <row r="260" spans="6:12">
      <c r="F260" s="17" t="str">
        <f ca="1">IFERROR(INDEX(DBRANEQ!$H$10:$H$500,MATCH(ROW(E250),$G$11:$G$500,0)),"")</f>
        <v/>
      </c>
      <c r="G260" s="17" t="str">
        <f ca="1">IF(H260=0,"",COUNTIF($H$11:H260,"&gt;0"))</f>
        <v/>
      </c>
      <c r="H260" s="17">
        <f ca="1">IFERROR(SEARCH(INDIRECT(CELL("address")),DBRANEQ!H259),0)</f>
        <v>0</v>
      </c>
      <c r="J260" t="str">
        <f ca="1">IFERROR(INDEX(DBTXEQ!$H$10:$H$500,MATCH(ROW(I250),$K$11:$K$500,0)),"")</f>
        <v/>
      </c>
      <c r="K260" t="str">
        <f ca="1">IF(L260=0,"",COUNTIF($L$11:L260,"&gt;0"))</f>
        <v/>
      </c>
      <c r="L260">
        <f ca="1">IFERROR(SEARCH(INDIRECT(CELL("address")),DBTXEQ!H259),0)</f>
        <v>0</v>
      </c>
    </row>
    <row r="261" spans="6:12">
      <c r="F261" s="17" t="str">
        <f ca="1">IFERROR(INDEX(DBRANEQ!$H$10:$H$500,MATCH(ROW(E251),$G$11:$G$500,0)),"")</f>
        <v/>
      </c>
      <c r="G261" s="17" t="str">
        <f ca="1">IF(H261=0,"",COUNTIF($H$11:H261,"&gt;0"))</f>
        <v/>
      </c>
      <c r="H261" s="17">
        <f ca="1">IFERROR(SEARCH(INDIRECT(CELL("address")),DBRANEQ!H260),0)</f>
        <v>0</v>
      </c>
      <c r="J261" t="str">
        <f ca="1">IFERROR(INDEX(DBTXEQ!$H$10:$H$500,MATCH(ROW(I251),$K$11:$K$500,0)),"")</f>
        <v/>
      </c>
      <c r="K261" t="str">
        <f ca="1">IF(L261=0,"",COUNTIF($L$11:L261,"&gt;0"))</f>
        <v/>
      </c>
      <c r="L261">
        <f ca="1">IFERROR(SEARCH(INDIRECT(CELL("address")),DBTXEQ!H260),0)</f>
        <v>0</v>
      </c>
    </row>
    <row r="262" spans="6:12">
      <c r="F262" s="17" t="str">
        <f ca="1">IFERROR(INDEX(DBRANEQ!$H$10:$H$500,MATCH(ROW(E252),$G$11:$G$500,0)),"")</f>
        <v/>
      </c>
      <c r="G262" s="17" t="str">
        <f ca="1">IF(H262=0,"",COUNTIF($H$11:H262,"&gt;0"))</f>
        <v/>
      </c>
      <c r="H262" s="17">
        <f ca="1">IFERROR(SEARCH(INDIRECT(CELL("address")),DBRANEQ!H261),0)</f>
        <v>0</v>
      </c>
      <c r="J262" t="str">
        <f ca="1">IFERROR(INDEX(DBTXEQ!$H$10:$H$500,MATCH(ROW(I252),$K$11:$K$500,0)),"")</f>
        <v/>
      </c>
      <c r="K262" t="str">
        <f ca="1">IF(L262=0,"",COUNTIF($L$11:L262,"&gt;0"))</f>
        <v/>
      </c>
      <c r="L262">
        <f ca="1">IFERROR(SEARCH(INDIRECT(CELL("address")),DBTXEQ!H261),0)</f>
        <v>0</v>
      </c>
    </row>
    <row r="263" spans="6:12">
      <c r="F263" s="17" t="str">
        <f ca="1">IFERROR(INDEX(DBRANEQ!$H$10:$H$500,MATCH(ROW(E253),$G$11:$G$500,0)),"")</f>
        <v/>
      </c>
      <c r="G263" s="17" t="str">
        <f ca="1">IF(H263=0,"",COUNTIF($H$11:H263,"&gt;0"))</f>
        <v/>
      </c>
      <c r="H263" s="17">
        <f ca="1">IFERROR(SEARCH(INDIRECT(CELL("address")),DBRANEQ!H262),0)</f>
        <v>0</v>
      </c>
      <c r="J263" t="str">
        <f ca="1">IFERROR(INDEX(DBTXEQ!$H$10:$H$500,MATCH(ROW(I253),$K$11:$K$500,0)),"")</f>
        <v/>
      </c>
      <c r="K263" t="str">
        <f ca="1">IF(L263=0,"",COUNTIF($L$11:L263,"&gt;0"))</f>
        <v/>
      </c>
      <c r="L263">
        <f ca="1">IFERROR(SEARCH(INDIRECT(CELL("address")),DBTXEQ!H262),0)</f>
        <v>0</v>
      </c>
    </row>
    <row r="264" spans="6:12">
      <c r="F264" s="17" t="str">
        <f ca="1">IFERROR(INDEX(DBRANEQ!$H$10:$H$500,MATCH(ROW(E254),$G$11:$G$500,0)),"")</f>
        <v/>
      </c>
      <c r="G264" s="17" t="str">
        <f ca="1">IF(H264=0,"",COUNTIF($H$11:H264,"&gt;0"))</f>
        <v/>
      </c>
      <c r="H264" s="17">
        <f ca="1">IFERROR(SEARCH(INDIRECT(CELL("address")),DBRANEQ!H263),0)</f>
        <v>0</v>
      </c>
      <c r="J264" t="str">
        <f ca="1">IFERROR(INDEX(DBTXEQ!$H$10:$H$500,MATCH(ROW(I254),$K$11:$K$500,0)),"")</f>
        <v/>
      </c>
      <c r="K264" t="str">
        <f ca="1">IF(L264=0,"",COUNTIF($L$11:L264,"&gt;0"))</f>
        <v/>
      </c>
      <c r="L264">
        <f ca="1">IFERROR(SEARCH(INDIRECT(CELL("address")),DBTXEQ!H263),0)</f>
        <v>0</v>
      </c>
    </row>
    <row r="265" spans="6:12">
      <c r="F265" s="17" t="str">
        <f ca="1">IFERROR(INDEX(DBRANEQ!$H$10:$H$500,MATCH(ROW(E255),$G$11:$G$500,0)),"")</f>
        <v/>
      </c>
      <c r="G265" s="17" t="str">
        <f ca="1">IF(H265=0,"",COUNTIF($H$11:H265,"&gt;0"))</f>
        <v/>
      </c>
      <c r="H265" s="17">
        <f ca="1">IFERROR(SEARCH(INDIRECT(CELL("address")),DBRANEQ!H264),0)</f>
        <v>0</v>
      </c>
      <c r="J265" t="str">
        <f ca="1">IFERROR(INDEX(DBTXEQ!$H$10:$H$500,MATCH(ROW(I255),$K$11:$K$500,0)),"")</f>
        <v/>
      </c>
      <c r="K265" t="str">
        <f ca="1">IF(L265=0,"",COUNTIF($L$11:L265,"&gt;0"))</f>
        <v/>
      </c>
      <c r="L265">
        <f ca="1">IFERROR(SEARCH(INDIRECT(CELL("address")),DBTXEQ!H264),0)</f>
        <v>0</v>
      </c>
    </row>
    <row r="266" spans="6:12">
      <c r="F266" s="17" t="str">
        <f ca="1">IFERROR(INDEX(DBRANEQ!$H$10:$H$500,MATCH(ROW(E256),$G$11:$G$500,0)),"")</f>
        <v/>
      </c>
      <c r="G266" s="17" t="str">
        <f ca="1">IF(H266=0,"",COUNTIF($H$11:H266,"&gt;0"))</f>
        <v/>
      </c>
      <c r="H266" s="17">
        <f ca="1">IFERROR(SEARCH(INDIRECT(CELL("address")),DBRANEQ!H265),0)</f>
        <v>0</v>
      </c>
      <c r="J266" t="str">
        <f ca="1">IFERROR(INDEX(DBTXEQ!$H$10:$H$500,MATCH(ROW(I256),$K$11:$K$500,0)),"")</f>
        <v/>
      </c>
      <c r="K266" t="str">
        <f ca="1">IF(L266=0,"",COUNTIF($L$11:L266,"&gt;0"))</f>
        <v/>
      </c>
      <c r="L266">
        <f ca="1">IFERROR(SEARCH(INDIRECT(CELL("address")),DBTXEQ!H265),0)</f>
        <v>0</v>
      </c>
    </row>
    <row r="267" spans="6:12">
      <c r="F267" s="17" t="str">
        <f ca="1">IFERROR(INDEX(DBRANEQ!$H$10:$H$500,MATCH(ROW(E257),$G$11:$G$500,0)),"")</f>
        <v/>
      </c>
      <c r="G267" s="17" t="str">
        <f ca="1">IF(H267=0,"",COUNTIF($H$11:H267,"&gt;0"))</f>
        <v/>
      </c>
      <c r="H267" s="17">
        <f ca="1">IFERROR(SEARCH(INDIRECT(CELL("address")),DBRANEQ!H266),0)</f>
        <v>0</v>
      </c>
      <c r="J267" t="str">
        <f ca="1">IFERROR(INDEX(DBTXEQ!$H$10:$H$500,MATCH(ROW(I257),$K$11:$K$500,0)),"")</f>
        <v/>
      </c>
      <c r="K267" t="str">
        <f ca="1">IF(L267=0,"",COUNTIF($L$11:L267,"&gt;0"))</f>
        <v/>
      </c>
      <c r="L267">
        <f ca="1">IFERROR(SEARCH(INDIRECT(CELL("address")),DBTXEQ!H266),0)</f>
        <v>0</v>
      </c>
    </row>
    <row r="268" spans="6:12">
      <c r="F268" s="17" t="str">
        <f ca="1">IFERROR(INDEX(DBRANEQ!$H$10:$H$500,MATCH(ROW(E258),$G$11:$G$500,0)),"")</f>
        <v/>
      </c>
      <c r="G268" s="17" t="str">
        <f ca="1">IF(H268=0,"",COUNTIF($H$11:H268,"&gt;0"))</f>
        <v/>
      </c>
      <c r="H268" s="17">
        <f ca="1">IFERROR(SEARCH(INDIRECT(CELL("address")),DBRANEQ!H267),0)</f>
        <v>0</v>
      </c>
      <c r="J268" t="str">
        <f ca="1">IFERROR(INDEX(DBTXEQ!$H$10:$H$500,MATCH(ROW(I258),$K$11:$K$500,0)),"")</f>
        <v/>
      </c>
      <c r="K268" t="str">
        <f ca="1">IF(L268=0,"",COUNTIF($L$11:L268,"&gt;0"))</f>
        <v/>
      </c>
      <c r="L268">
        <f ca="1">IFERROR(SEARCH(INDIRECT(CELL("address")),DBTXEQ!H267),0)</f>
        <v>0</v>
      </c>
    </row>
    <row r="269" spans="6:12">
      <c r="F269" s="17" t="str">
        <f ca="1">IFERROR(INDEX(DBRANEQ!$H$10:$H$500,MATCH(ROW(E259),$G$11:$G$500,0)),"")</f>
        <v/>
      </c>
      <c r="G269" s="17" t="str">
        <f ca="1">IF(H269=0,"",COUNTIF($H$11:H269,"&gt;0"))</f>
        <v/>
      </c>
      <c r="H269" s="17">
        <f ca="1">IFERROR(SEARCH(INDIRECT(CELL("address")),DBRANEQ!H268),0)</f>
        <v>0</v>
      </c>
      <c r="J269" t="str">
        <f ca="1">IFERROR(INDEX(DBTXEQ!$H$10:$H$500,MATCH(ROW(I259),$K$11:$K$500,0)),"")</f>
        <v/>
      </c>
      <c r="K269" t="str">
        <f ca="1">IF(L269=0,"",COUNTIF($L$11:L269,"&gt;0"))</f>
        <v/>
      </c>
      <c r="L269">
        <f ca="1">IFERROR(SEARCH(INDIRECT(CELL("address")),DBTXEQ!H268),0)</f>
        <v>0</v>
      </c>
    </row>
    <row r="270" spans="6:12">
      <c r="F270" s="17" t="str">
        <f ca="1">IFERROR(INDEX(DBRANEQ!$H$10:$H$500,MATCH(ROW(E260),$G$11:$G$500,0)),"")</f>
        <v/>
      </c>
      <c r="G270" s="17" t="str">
        <f ca="1">IF(H270=0,"",COUNTIF($H$11:H270,"&gt;0"))</f>
        <v/>
      </c>
      <c r="H270" s="17">
        <f ca="1">IFERROR(SEARCH(INDIRECT(CELL("address")),DBRANEQ!H269),0)</f>
        <v>0</v>
      </c>
      <c r="J270" t="str">
        <f ca="1">IFERROR(INDEX(DBTXEQ!$H$10:$H$500,MATCH(ROW(I260),$K$11:$K$500,0)),"")</f>
        <v/>
      </c>
      <c r="K270" t="str">
        <f ca="1">IF(L270=0,"",COUNTIF($L$11:L270,"&gt;0"))</f>
        <v/>
      </c>
      <c r="L270">
        <f ca="1">IFERROR(SEARCH(INDIRECT(CELL("address")),DBTXEQ!H269),0)</f>
        <v>0</v>
      </c>
    </row>
    <row r="271" spans="6:12">
      <c r="F271" s="17" t="str">
        <f ca="1">IFERROR(INDEX(DBRANEQ!$H$10:$H$500,MATCH(ROW(E261),$G$11:$G$500,0)),"")</f>
        <v/>
      </c>
      <c r="G271" s="17" t="str">
        <f ca="1">IF(H271=0,"",COUNTIF($H$11:H271,"&gt;0"))</f>
        <v/>
      </c>
      <c r="H271" s="17">
        <f ca="1">IFERROR(SEARCH(INDIRECT(CELL("address")),DBRANEQ!H270),0)</f>
        <v>0</v>
      </c>
      <c r="J271" t="str">
        <f ca="1">IFERROR(INDEX(DBTXEQ!$H$10:$H$500,MATCH(ROW(I261),$K$11:$K$500,0)),"")</f>
        <v/>
      </c>
      <c r="K271" t="str">
        <f ca="1">IF(L271=0,"",COUNTIF($L$11:L271,"&gt;0"))</f>
        <v/>
      </c>
      <c r="L271">
        <f ca="1">IFERROR(SEARCH(INDIRECT(CELL("address")),DBTXEQ!H270),0)</f>
        <v>0</v>
      </c>
    </row>
    <row r="272" spans="6:12">
      <c r="F272" s="17" t="str">
        <f ca="1">IFERROR(INDEX(DBRANEQ!$H$10:$H$500,MATCH(ROW(E262),$G$11:$G$500,0)),"")</f>
        <v/>
      </c>
      <c r="G272" s="17" t="str">
        <f ca="1">IF(H272=0,"",COUNTIF($H$11:H272,"&gt;0"))</f>
        <v/>
      </c>
      <c r="H272" s="17">
        <f ca="1">IFERROR(SEARCH(INDIRECT(CELL("address")),DBRANEQ!H271),0)</f>
        <v>0</v>
      </c>
      <c r="J272" t="str">
        <f ca="1">IFERROR(INDEX(DBTXEQ!$H$10:$H$500,MATCH(ROW(I262),$K$11:$K$500,0)),"")</f>
        <v/>
      </c>
      <c r="K272" t="str">
        <f ca="1">IF(L272=0,"",COUNTIF($L$11:L272,"&gt;0"))</f>
        <v/>
      </c>
      <c r="L272">
        <f ca="1">IFERROR(SEARCH(INDIRECT(CELL("address")),DBTXEQ!H271),0)</f>
        <v>0</v>
      </c>
    </row>
    <row r="273" spans="6:12">
      <c r="F273" s="17" t="str">
        <f ca="1">IFERROR(INDEX(DBRANEQ!$H$10:$H$500,MATCH(ROW(E263),$G$11:$G$500,0)),"")</f>
        <v/>
      </c>
      <c r="G273" s="17" t="str">
        <f ca="1">IF(H273=0,"",COUNTIF($H$11:H273,"&gt;0"))</f>
        <v/>
      </c>
      <c r="H273" s="17">
        <f ca="1">IFERROR(SEARCH(INDIRECT(CELL("address")),DBRANEQ!H272),0)</f>
        <v>0</v>
      </c>
      <c r="J273" t="str">
        <f ca="1">IFERROR(INDEX(DBTXEQ!$H$10:$H$500,MATCH(ROW(I263),$K$11:$K$500,0)),"")</f>
        <v/>
      </c>
      <c r="K273" t="str">
        <f ca="1">IF(L273=0,"",COUNTIF($L$11:L273,"&gt;0"))</f>
        <v/>
      </c>
      <c r="L273">
        <f ca="1">IFERROR(SEARCH(INDIRECT(CELL("address")),DBTXEQ!H272),0)</f>
        <v>0</v>
      </c>
    </row>
    <row r="274" spans="6:12">
      <c r="F274" s="17" t="str">
        <f ca="1">IFERROR(INDEX(DBRANEQ!$H$10:$H$500,MATCH(ROW(E264),$G$11:$G$500,0)),"")</f>
        <v/>
      </c>
      <c r="G274" s="17" t="str">
        <f ca="1">IF(H274=0,"",COUNTIF($H$11:H274,"&gt;0"))</f>
        <v/>
      </c>
      <c r="H274" s="17">
        <f ca="1">IFERROR(SEARCH(INDIRECT(CELL("address")),DBRANEQ!H273),0)</f>
        <v>0</v>
      </c>
      <c r="J274" t="str">
        <f ca="1">IFERROR(INDEX(DBTXEQ!$H$10:$H$500,MATCH(ROW(I264),$K$11:$K$500,0)),"")</f>
        <v/>
      </c>
      <c r="K274" t="str">
        <f ca="1">IF(L274=0,"",COUNTIF($L$11:L274,"&gt;0"))</f>
        <v/>
      </c>
      <c r="L274">
        <f ca="1">IFERROR(SEARCH(INDIRECT(CELL("address")),DBTXEQ!H273),0)</f>
        <v>0</v>
      </c>
    </row>
    <row r="275" spans="6:12">
      <c r="F275" s="17" t="str">
        <f ca="1">IFERROR(INDEX(DBRANEQ!$H$10:$H$500,MATCH(ROW(E265),$G$11:$G$500,0)),"")</f>
        <v/>
      </c>
      <c r="G275" s="17" t="str">
        <f ca="1">IF(H275=0,"",COUNTIF($H$11:H275,"&gt;0"))</f>
        <v/>
      </c>
      <c r="H275" s="17">
        <f ca="1">IFERROR(SEARCH(INDIRECT(CELL("address")),DBRANEQ!H274),0)</f>
        <v>0</v>
      </c>
      <c r="J275" t="str">
        <f ca="1">IFERROR(INDEX(DBTXEQ!$H$10:$H$500,MATCH(ROW(I265),$K$11:$K$500,0)),"")</f>
        <v/>
      </c>
      <c r="K275" t="str">
        <f ca="1">IF(L275=0,"",COUNTIF($L$11:L275,"&gt;0"))</f>
        <v/>
      </c>
      <c r="L275">
        <f ca="1">IFERROR(SEARCH(INDIRECT(CELL("address")),DBTXEQ!H274),0)</f>
        <v>0</v>
      </c>
    </row>
    <row r="276" spans="6:12">
      <c r="F276" s="17" t="str">
        <f ca="1">IFERROR(INDEX(DBRANEQ!$H$10:$H$500,MATCH(ROW(E266),$G$11:$G$500,0)),"")</f>
        <v/>
      </c>
      <c r="G276" s="17" t="str">
        <f ca="1">IF(H276=0,"",COUNTIF($H$11:H276,"&gt;0"))</f>
        <v/>
      </c>
      <c r="H276" s="17">
        <f ca="1">IFERROR(SEARCH(INDIRECT(CELL("address")),DBRANEQ!H275),0)</f>
        <v>0</v>
      </c>
      <c r="J276" t="str">
        <f ca="1">IFERROR(INDEX(DBTXEQ!$H$10:$H$500,MATCH(ROW(I266),$K$11:$K$500,0)),"")</f>
        <v/>
      </c>
      <c r="K276" t="str">
        <f ca="1">IF(L276=0,"",COUNTIF($L$11:L276,"&gt;0"))</f>
        <v/>
      </c>
      <c r="L276">
        <f ca="1">IFERROR(SEARCH(INDIRECT(CELL("address")),DBTXEQ!H275),0)</f>
        <v>0</v>
      </c>
    </row>
    <row r="277" spans="6:12">
      <c r="F277" s="17" t="str">
        <f ca="1">IFERROR(INDEX(DBRANEQ!$H$10:$H$500,MATCH(ROW(E267),$G$11:$G$500,0)),"")</f>
        <v/>
      </c>
      <c r="G277" s="17" t="str">
        <f ca="1">IF(H277=0,"",COUNTIF($H$11:H277,"&gt;0"))</f>
        <v/>
      </c>
      <c r="H277" s="17">
        <f ca="1">IFERROR(SEARCH(INDIRECT(CELL("address")),DBRANEQ!H276),0)</f>
        <v>0</v>
      </c>
      <c r="J277" t="str">
        <f ca="1">IFERROR(INDEX(DBTXEQ!$H$10:$H$500,MATCH(ROW(I267),$K$11:$K$500,0)),"")</f>
        <v/>
      </c>
      <c r="K277" t="str">
        <f ca="1">IF(L277=0,"",COUNTIF($L$11:L277,"&gt;0"))</f>
        <v/>
      </c>
      <c r="L277">
        <f ca="1">IFERROR(SEARCH(INDIRECT(CELL("address")),DBTXEQ!H276),0)</f>
        <v>0</v>
      </c>
    </row>
    <row r="278" spans="6:12">
      <c r="F278" s="17" t="str">
        <f ca="1">IFERROR(INDEX(DBRANEQ!$H$10:$H$500,MATCH(ROW(E268),$G$11:$G$500,0)),"")</f>
        <v/>
      </c>
      <c r="G278" s="17" t="str">
        <f ca="1">IF(H278=0,"",COUNTIF($H$11:H278,"&gt;0"))</f>
        <v/>
      </c>
      <c r="H278" s="17">
        <f ca="1">IFERROR(SEARCH(INDIRECT(CELL("address")),DBRANEQ!H277),0)</f>
        <v>0</v>
      </c>
      <c r="J278" t="str">
        <f ca="1">IFERROR(INDEX(DBTXEQ!$H$10:$H$500,MATCH(ROW(I268),$K$11:$K$500,0)),"")</f>
        <v/>
      </c>
      <c r="K278" t="str">
        <f ca="1">IF(L278=0,"",COUNTIF($L$11:L278,"&gt;0"))</f>
        <v/>
      </c>
      <c r="L278">
        <f ca="1">IFERROR(SEARCH(INDIRECT(CELL("address")),DBTXEQ!H277),0)</f>
        <v>0</v>
      </c>
    </row>
    <row r="279" spans="6:12">
      <c r="F279" s="17" t="str">
        <f ca="1">IFERROR(INDEX(DBRANEQ!$H$10:$H$500,MATCH(ROW(E269),$G$11:$G$500,0)),"")</f>
        <v/>
      </c>
      <c r="G279" s="17" t="str">
        <f ca="1">IF(H279=0,"",COUNTIF($H$11:H279,"&gt;0"))</f>
        <v/>
      </c>
      <c r="H279" s="17">
        <f ca="1">IFERROR(SEARCH(INDIRECT(CELL("address")),DBRANEQ!H278),0)</f>
        <v>0</v>
      </c>
      <c r="J279" t="str">
        <f ca="1">IFERROR(INDEX(DBTXEQ!$H$10:$H$500,MATCH(ROW(I269),$K$11:$K$500,0)),"")</f>
        <v/>
      </c>
      <c r="K279" t="str">
        <f ca="1">IF(L279=0,"",COUNTIF($L$11:L279,"&gt;0"))</f>
        <v/>
      </c>
      <c r="L279">
        <f ca="1">IFERROR(SEARCH(INDIRECT(CELL("address")),DBTXEQ!H278),0)</f>
        <v>0</v>
      </c>
    </row>
    <row r="280" spans="6:12">
      <c r="F280" s="17" t="str">
        <f ca="1">IFERROR(INDEX(DBRANEQ!$H$10:$H$500,MATCH(ROW(E270),$G$11:$G$500,0)),"")</f>
        <v/>
      </c>
      <c r="G280" s="17" t="str">
        <f ca="1">IF(H280=0,"",COUNTIF($H$11:H280,"&gt;0"))</f>
        <v/>
      </c>
      <c r="H280" s="17">
        <f ca="1">IFERROR(SEARCH(INDIRECT(CELL("address")),DBRANEQ!H279),0)</f>
        <v>0</v>
      </c>
      <c r="J280" t="str">
        <f ca="1">IFERROR(INDEX(DBTXEQ!$H$10:$H$500,MATCH(ROW(I270),$K$11:$K$500,0)),"")</f>
        <v/>
      </c>
      <c r="K280" t="str">
        <f ca="1">IF(L280=0,"",COUNTIF($L$11:L280,"&gt;0"))</f>
        <v/>
      </c>
      <c r="L280">
        <f ca="1">IFERROR(SEARCH(INDIRECT(CELL("address")),DBTXEQ!H279),0)</f>
        <v>0</v>
      </c>
    </row>
    <row r="281" spans="6:12">
      <c r="F281" s="17" t="str">
        <f ca="1">IFERROR(INDEX(DBRANEQ!$H$10:$H$500,MATCH(ROW(E271),$G$11:$G$500,0)),"")</f>
        <v/>
      </c>
      <c r="G281" s="17" t="str">
        <f ca="1">IF(H281=0,"",COUNTIF($H$11:H281,"&gt;0"))</f>
        <v/>
      </c>
      <c r="H281" s="17">
        <f ca="1">IFERROR(SEARCH(INDIRECT(CELL("address")),DBRANEQ!H280),0)</f>
        <v>0</v>
      </c>
      <c r="J281" t="str">
        <f ca="1">IFERROR(INDEX(DBTXEQ!$H$10:$H$500,MATCH(ROW(I271),$K$11:$K$500,0)),"")</f>
        <v/>
      </c>
      <c r="K281" t="str">
        <f ca="1">IF(L281=0,"",COUNTIF($L$11:L281,"&gt;0"))</f>
        <v/>
      </c>
      <c r="L281">
        <f ca="1">IFERROR(SEARCH(INDIRECT(CELL("address")),DBTXEQ!H280),0)</f>
        <v>0</v>
      </c>
    </row>
    <row r="282" spans="6:12">
      <c r="F282" s="17" t="str">
        <f ca="1">IFERROR(INDEX(DBRANEQ!$H$10:$H$500,MATCH(ROW(E272),$G$11:$G$500,0)),"")</f>
        <v/>
      </c>
      <c r="G282" s="17" t="str">
        <f ca="1">IF(H282=0,"",COUNTIF($H$11:H282,"&gt;0"))</f>
        <v/>
      </c>
      <c r="H282" s="17">
        <f ca="1">IFERROR(SEARCH(INDIRECT(CELL("address")),DBRANEQ!H281),0)</f>
        <v>0</v>
      </c>
      <c r="J282" t="str">
        <f ca="1">IFERROR(INDEX(DBTXEQ!$H$10:$H$500,MATCH(ROW(I272),$K$11:$K$500,0)),"")</f>
        <v/>
      </c>
      <c r="K282" t="str">
        <f ca="1">IF(L282=0,"",COUNTIF($L$11:L282,"&gt;0"))</f>
        <v/>
      </c>
      <c r="L282">
        <f ca="1">IFERROR(SEARCH(INDIRECT(CELL("address")),DBTXEQ!H281),0)</f>
        <v>0</v>
      </c>
    </row>
    <row r="283" spans="6:12">
      <c r="F283" s="17" t="str">
        <f ca="1">IFERROR(INDEX(DBRANEQ!$H$10:$H$500,MATCH(ROW(E273),$G$11:$G$500,0)),"")</f>
        <v/>
      </c>
      <c r="G283" s="17" t="str">
        <f ca="1">IF(H283=0,"",COUNTIF($H$11:H283,"&gt;0"))</f>
        <v/>
      </c>
      <c r="H283" s="17">
        <f ca="1">IFERROR(SEARCH(INDIRECT(CELL("address")),DBRANEQ!H282),0)</f>
        <v>0</v>
      </c>
      <c r="J283" t="str">
        <f ca="1">IFERROR(INDEX(DBTXEQ!$H$10:$H$500,MATCH(ROW(I273),$K$11:$K$500,0)),"")</f>
        <v/>
      </c>
      <c r="K283" t="str">
        <f ca="1">IF(L283=0,"",COUNTIF($L$11:L283,"&gt;0"))</f>
        <v/>
      </c>
      <c r="L283">
        <f ca="1">IFERROR(SEARCH(INDIRECT(CELL("address")),DBTXEQ!H282),0)</f>
        <v>0</v>
      </c>
    </row>
    <row r="284" spans="6:12">
      <c r="F284" s="17" t="str">
        <f ca="1">IFERROR(INDEX(DBRANEQ!$H$10:$H$500,MATCH(ROW(E274),$G$11:$G$500,0)),"")</f>
        <v/>
      </c>
      <c r="G284" s="17" t="str">
        <f ca="1">IF(H284=0,"",COUNTIF($H$11:H284,"&gt;0"))</f>
        <v/>
      </c>
      <c r="H284" s="17">
        <f ca="1">IFERROR(SEARCH(INDIRECT(CELL("address")),DBRANEQ!H283),0)</f>
        <v>0</v>
      </c>
      <c r="J284" t="str">
        <f ca="1">IFERROR(INDEX(DBTXEQ!$H$10:$H$500,MATCH(ROW(I274),$K$11:$K$500,0)),"")</f>
        <v/>
      </c>
      <c r="K284" t="str">
        <f ca="1">IF(L284=0,"",COUNTIF($L$11:L284,"&gt;0"))</f>
        <v/>
      </c>
      <c r="L284">
        <f ca="1">IFERROR(SEARCH(INDIRECT(CELL("address")),DBTXEQ!H283),0)</f>
        <v>0</v>
      </c>
    </row>
    <row r="285" spans="6:12">
      <c r="F285" s="17" t="str">
        <f ca="1">IFERROR(INDEX(DBRANEQ!$H$10:$H$500,MATCH(ROW(E275),$G$11:$G$500,0)),"")</f>
        <v/>
      </c>
      <c r="G285" s="17" t="str">
        <f ca="1">IF(H285=0,"",COUNTIF($H$11:H285,"&gt;0"))</f>
        <v/>
      </c>
      <c r="H285" s="17">
        <f ca="1">IFERROR(SEARCH(INDIRECT(CELL("address")),DBRANEQ!H284),0)</f>
        <v>0</v>
      </c>
      <c r="J285" t="str">
        <f ca="1">IFERROR(INDEX(DBTXEQ!$H$10:$H$500,MATCH(ROW(I275),$K$11:$K$500,0)),"")</f>
        <v/>
      </c>
      <c r="K285" t="str">
        <f ca="1">IF(L285=0,"",COUNTIF($L$11:L285,"&gt;0"))</f>
        <v/>
      </c>
      <c r="L285">
        <f ca="1">IFERROR(SEARCH(INDIRECT(CELL("address")),DBTXEQ!H284),0)</f>
        <v>0</v>
      </c>
    </row>
    <row r="286" spans="6:12">
      <c r="F286" s="17" t="str">
        <f ca="1">IFERROR(INDEX(DBRANEQ!$H$10:$H$500,MATCH(ROW(E276),$G$11:$G$500,0)),"")</f>
        <v/>
      </c>
      <c r="G286" s="17" t="str">
        <f ca="1">IF(H286=0,"",COUNTIF($H$11:H286,"&gt;0"))</f>
        <v/>
      </c>
      <c r="H286" s="17">
        <f ca="1">IFERROR(SEARCH(INDIRECT(CELL("address")),DBRANEQ!H285),0)</f>
        <v>0</v>
      </c>
      <c r="J286" t="str">
        <f ca="1">IFERROR(INDEX(DBTXEQ!$H$10:$H$500,MATCH(ROW(I276),$K$11:$K$500,0)),"")</f>
        <v/>
      </c>
      <c r="K286" t="str">
        <f ca="1">IF(L286=0,"",COUNTIF($L$11:L286,"&gt;0"))</f>
        <v/>
      </c>
      <c r="L286">
        <f ca="1">IFERROR(SEARCH(INDIRECT(CELL("address")),DBTXEQ!H285),0)</f>
        <v>0</v>
      </c>
    </row>
    <row r="287" spans="6:12">
      <c r="F287" s="17" t="str">
        <f ca="1">IFERROR(INDEX(DBRANEQ!$H$10:$H$500,MATCH(ROW(E277),$G$11:$G$500,0)),"")</f>
        <v/>
      </c>
      <c r="G287" s="17" t="str">
        <f ca="1">IF(H287=0,"",COUNTIF($H$11:H287,"&gt;0"))</f>
        <v/>
      </c>
      <c r="H287" s="17">
        <f ca="1">IFERROR(SEARCH(INDIRECT(CELL("address")),DBRANEQ!H286),0)</f>
        <v>0</v>
      </c>
      <c r="J287" t="str">
        <f ca="1">IFERROR(INDEX(DBTXEQ!$H$10:$H$500,MATCH(ROW(I277),$K$11:$K$500,0)),"")</f>
        <v/>
      </c>
      <c r="K287" t="str">
        <f ca="1">IF(L287=0,"",COUNTIF($L$11:L287,"&gt;0"))</f>
        <v/>
      </c>
      <c r="L287">
        <f ca="1">IFERROR(SEARCH(INDIRECT(CELL("address")),DBTXEQ!H286),0)</f>
        <v>0</v>
      </c>
    </row>
    <row r="288" spans="6:12">
      <c r="F288" s="17" t="str">
        <f ca="1">IFERROR(INDEX(DBRANEQ!$H$10:$H$500,MATCH(ROW(E278),$G$11:$G$500,0)),"")</f>
        <v/>
      </c>
      <c r="G288" s="17" t="str">
        <f ca="1">IF(H288=0,"",COUNTIF($H$11:H288,"&gt;0"))</f>
        <v/>
      </c>
      <c r="H288" s="17">
        <f ca="1">IFERROR(SEARCH(INDIRECT(CELL("address")),DBRANEQ!H287),0)</f>
        <v>0</v>
      </c>
      <c r="J288" t="str">
        <f ca="1">IFERROR(INDEX(DBTXEQ!$H$10:$H$500,MATCH(ROW(I278),$K$11:$K$500,0)),"")</f>
        <v/>
      </c>
      <c r="K288" t="str">
        <f ca="1">IF(L288=0,"",COUNTIF($L$11:L288,"&gt;0"))</f>
        <v/>
      </c>
      <c r="L288">
        <f ca="1">IFERROR(SEARCH(INDIRECT(CELL("address")),DBTXEQ!H287),0)</f>
        <v>0</v>
      </c>
    </row>
    <row r="289" spans="6:12">
      <c r="F289" s="17" t="str">
        <f ca="1">IFERROR(INDEX(DBRANEQ!$H$10:$H$500,MATCH(ROW(E279),$G$11:$G$500,0)),"")</f>
        <v/>
      </c>
      <c r="G289" s="17" t="str">
        <f ca="1">IF(H289=0,"",COUNTIF($H$11:H289,"&gt;0"))</f>
        <v/>
      </c>
      <c r="H289" s="17">
        <f ca="1">IFERROR(SEARCH(INDIRECT(CELL("address")),DBRANEQ!H288),0)</f>
        <v>0</v>
      </c>
      <c r="J289" t="str">
        <f ca="1">IFERROR(INDEX(DBTXEQ!$H$10:$H$500,MATCH(ROW(I279),$K$11:$K$500,0)),"")</f>
        <v/>
      </c>
      <c r="K289" t="str">
        <f ca="1">IF(L289=0,"",COUNTIF($L$11:L289,"&gt;0"))</f>
        <v/>
      </c>
      <c r="L289">
        <f ca="1">IFERROR(SEARCH(INDIRECT(CELL("address")),DBTXEQ!H288),0)</f>
        <v>0</v>
      </c>
    </row>
    <row r="290" spans="6:12">
      <c r="F290" s="17" t="str">
        <f ca="1">IFERROR(INDEX(DBRANEQ!$H$10:$H$500,MATCH(ROW(E280),$G$11:$G$500,0)),"")</f>
        <v/>
      </c>
      <c r="G290" s="17" t="str">
        <f ca="1">IF(H290=0,"",COUNTIF($H$11:H290,"&gt;0"))</f>
        <v/>
      </c>
      <c r="H290" s="17">
        <f ca="1">IFERROR(SEARCH(INDIRECT(CELL("address")),DBRANEQ!H289),0)</f>
        <v>0</v>
      </c>
      <c r="J290" t="str">
        <f ca="1">IFERROR(INDEX(DBTXEQ!$H$10:$H$500,MATCH(ROW(I280),$K$11:$K$500,0)),"")</f>
        <v/>
      </c>
      <c r="K290" t="str">
        <f ca="1">IF(L290=0,"",COUNTIF($L$11:L290,"&gt;0"))</f>
        <v/>
      </c>
      <c r="L290">
        <f ca="1">IFERROR(SEARCH(INDIRECT(CELL("address")),DBTXEQ!H289),0)</f>
        <v>0</v>
      </c>
    </row>
    <row r="291" spans="6:12">
      <c r="F291" s="17" t="str">
        <f ca="1">IFERROR(INDEX(DBRANEQ!$H$10:$H$500,MATCH(ROW(E281),$G$11:$G$500,0)),"")</f>
        <v/>
      </c>
      <c r="G291" s="17" t="str">
        <f ca="1">IF(H291=0,"",COUNTIF($H$11:H291,"&gt;0"))</f>
        <v/>
      </c>
      <c r="H291" s="17">
        <f ca="1">IFERROR(SEARCH(INDIRECT(CELL("address")),DBRANEQ!H290),0)</f>
        <v>0</v>
      </c>
      <c r="J291" t="str">
        <f ca="1">IFERROR(INDEX(DBTXEQ!$H$10:$H$500,MATCH(ROW(I281),$K$11:$K$500,0)),"")</f>
        <v/>
      </c>
      <c r="K291" t="str">
        <f ca="1">IF(L291=0,"",COUNTIF($L$11:L291,"&gt;0"))</f>
        <v/>
      </c>
      <c r="L291">
        <f ca="1">IFERROR(SEARCH(INDIRECT(CELL("address")),DBTXEQ!H290),0)</f>
        <v>0</v>
      </c>
    </row>
    <row r="292" spans="6:12">
      <c r="F292" s="17" t="str">
        <f ca="1">IFERROR(INDEX(DBRANEQ!$H$10:$H$500,MATCH(ROW(E282),$G$11:$G$500,0)),"")</f>
        <v/>
      </c>
      <c r="G292" s="17" t="str">
        <f ca="1">IF(H292=0,"",COUNTIF($H$11:H292,"&gt;0"))</f>
        <v/>
      </c>
      <c r="H292" s="17">
        <f ca="1">IFERROR(SEARCH(INDIRECT(CELL("address")),DBRANEQ!H291),0)</f>
        <v>0</v>
      </c>
      <c r="J292" t="str">
        <f ca="1">IFERROR(INDEX(DBTXEQ!$H$10:$H$500,MATCH(ROW(I282),$K$11:$K$500,0)),"")</f>
        <v/>
      </c>
      <c r="K292" t="str">
        <f ca="1">IF(L292=0,"",COUNTIF($L$11:L292,"&gt;0"))</f>
        <v/>
      </c>
      <c r="L292">
        <f ca="1">IFERROR(SEARCH(INDIRECT(CELL("address")),DBTXEQ!H291),0)</f>
        <v>0</v>
      </c>
    </row>
    <row r="293" spans="6:12">
      <c r="F293" s="17" t="str">
        <f ca="1">IFERROR(INDEX(DBRANEQ!$H$10:$H$500,MATCH(ROW(E283),$G$11:$G$500,0)),"")</f>
        <v/>
      </c>
      <c r="G293" s="17" t="str">
        <f ca="1">IF(H293=0,"",COUNTIF($H$11:H293,"&gt;0"))</f>
        <v/>
      </c>
      <c r="H293" s="17">
        <f ca="1">IFERROR(SEARCH(INDIRECT(CELL("address")),DBRANEQ!H292),0)</f>
        <v>0</v>
      </c>
      <c r="J293" t="str">
        <f ca="1">IFERROR(INDEX(DBTXEQ!$H$10:$H$500,MATCH(ROW(I283),$K$11:$K$500,0)),"")</f>
        <v/>
      </c>
      <c r="K293" t="str">
        <f ca="1">IF(L293=0,"",COUNTIF($L$11:L293,"&gt;0"))</f>
        <v/>
      </c>
      <c r="L293">
        <f ca="1">IFERROR(SEARCH(INDIRECT(CELL("address")),DBTXEQ!H292),0)</f>
        <v>0</v>
      </c>
    </row>
    <row r="294" spans="6:12">
      <c r="F294" s="17" t="str">
        <f ca="1">IFERROR(INDEX(DBRANEQ!$H$10:$H$500,MATCH(ROW(E284),$G$11:$G$500,0)),"")</f>
        <v/>
      </c>
      <c r="G294" s="17" t="str">
        <f ca="1">IF(H294=0,"",COUNTIF($H$11:H294,"&gt;0"))</f>
        <v/>
      </c>
      <c r="H294" s="17">
        <f ca="1">IFERROR(SEARCH(INDIRECT(CELL("address")),DBRANEQ!H293),0)</f>
        <v>0</v>
      </c>
      <c r="J294" t="str">
        <f ca="1">IFERROR(INDEX(DBTXEQ!$H$10:$H$500,MATCH(ROW(I284),$K$11:$K$500,0)),"")</f>
        <v/>
      </c>
      <c r="K294" t="str">
        <f ca="1">IF(L294=0,"",COUNTIF($L$11:L294,"&gt;0"))</f>
        <v/>
      </c>
      <c r="L294">
        <f ca="1">IFERROR(SEARCH(INDIRECT(CELL("address")),DBTXEQ!H293),0)</f>
        <v>0</v>
      </c>
    </row>
    <row r="295" spans="6:12">
      <c r="F295" s="17" t="str">
        <f ca="1">IFERROR(INDEX(DBRANEQ!$H$10:$H$500,MATCH(ROW(E285),$G$11:$G$500,0)),"")</f>
        <v/>
      </c>
      <c r="G295" s="17" t="str">
        <f ca="1">IF(H295=0,"",COUNTIF($H$11:H295,"&gt;0"))</f>
        <v/>
      </c>
      <c r="H295" s="17">
        <f ca="1">IFERROR(SEARCH(INDIRECT(CELL("address")),DBRANEQ!H294),0)</f>
        <v>0</v>
      </c>
      <c r="J295" t="str">
        <f ca="1">IFERROR(INDEX(DBTXEQ!$H$10:$H$500,MATCH(ROW(I285),$K$11:$K$500,0)),"")</f>
        <v/>
      </c>
      <c r="K295" t="str">
        <f ca="1">IF(L295=0,"",COUNTIF($L$11:L295,"&gt;0"))</f>
        <v/>
      </c>
      <c r="L295">
        <f ca="1">IFERROR(SEARCH(INDIRECT(CELL("address")),DBTXEQ!H294),0)</f>
        <v>0</v>
      </c>
    </row>
    <row r="296" spans="6:12">
      <c r="F296" s="17" t="str">
        <f ca="1">IFERROR(INDEX(DBRANEQ!$H$10:$H$500,MATCH(ROW(E286),$G$11:$G$500,0)),"")</f>
        <v/>
      </c>
      <c r="G296" s="17" t="str">
        <f ca="1">IF(H296=0,"",COUNTIF($H$11:H296,"&gt;0"))</f>
        <v/>
      </c>
      <c r="H296" s="17">
        <f ca="1">IFERROR(SEARCH(INDIRECT(CELL("address")),DBRANEQ!H295),0)</f>
        <v>0</v>
      </c>
      <c r="J296" t="str">
        <f ca="1">IFERROR(INDEX(DBTXEQ!$H$10:$H$500,MATCH(ROW(I286),$K$11:$K$500,0)),"")</f>
        <v/>
      </c>
      <c r="K296" t="str">
        <f ca="1">IF(L296=0,"",COUNTIF($L$11:L296,"&gt;0"))</f>
        <v/>
      </c>
      <c r="L296">
        <f ca="1">IFERROR(SEARCH(INDIRECT(CELL("address")),DBTXEQ!H295),0)</f>
        <v>0</v>
      </c>
    </row>
    <row r="297" spans="6:12">
      <c r="F297" s="17" t="str">
        <f ca="1">IFERROR(INDEX(DBRANEQ!$H$10:$H$500,MATCH(ROW(E287),$G$11:$G$500,0)),"")</f>
        <v/>
      </c>
      <c r="G297" s="17" t="str">
        <f ca="1">IF(H297=0,"",COUNTIF($H$11:H297,"&gt;0"))</f>
        <v/>
      </c>
      <c r="H297" s="17">
        <f ca="1">IFERROR(SEARCH(INDIRECT(CELL("address")),DBRANEQ!H296),0)</f>
        <v>0</v>
      </c>
      <c r="J297" t="str">
        <f ca="1">IFERROR(INDEX(DBTXEQ!$H$10:$H$500,MATCH(ROW(I287),$K$11:$K$500,0)),"")</f>
        <v/>
      </c>
      <c r="K297" t="str">
        <f ca="1">IF(L297=0,"",COUNTIF($L$11:L297,"&gt;0"))</f>
        <v/>
      </c>
      <c r="L297">
        <f ca="1">IFERROR(SEARCH(INDIRECT(CELL("address")),DBTXEQ!H296),0)</f>
        <v>0</v>
      </c>
    </row>
    <row r="298" spans="6:12">
      <c r="F298" s="17" t="str">
        <f ca="1">IFERROR(INDEX(DBRANEQ!$H$10:$H$500,MATCH(ROW(E288),$G$11:$G$500,0)),"")</f>
        <v/>
      </c>
      <c r="G298" s="17" t="str">
        <f ca="1">IF(H298=0,"",COUNTIF($H$11:H298,"&gt;0"))</f>
        <v/>
      </c>
      <c r="H298" s="17">
        <f ca="1">IFERROR(SEARCH(INDIRECT(CELL("address")),DBRANEQ!H297),0)</f>
        <v>0</v>
      </c>
      <c r="J298" t="str">
        <f ca="1">IFERROR(INDEX(DBTXEQ!$H$10:$H$500,MATCH(ROW(I288),$K$11:$K$500,0)),"")</f>
        <v/>
      </c>
      <c r="K298" t="str">
        <f ca="1">IF(L298=0,"",COUNTIF($L$11:L298,"&gt;0"))</f>
        <v/>
      </c>
      <c r="L298">
        <f ca="1">IFERROR(SEARCH(INDIRECT(CELL("address")),DBTXEQ!H297),0)</f>
        <v>0</v>
      </c>
    </row>
    <row r="299" spans="6:12">
      <c r="F299" s="17" t="str">
        <f ca="1">IFERROR(INDEX(DBRANEQ!$H$10:$H$500,MATCH(ROW(E289),$G$11:$G$500,0)),"")</f>
        <v/>
      </c>
      <c r="G299" s="17" t="str">
        <f ca="1">IF(H299=0,"",COUNTIF($H$11:H299,"&gt;0"))</f>
        <v/>
      </c>
      <c r="H299" s="17">
        <f ca="1">IFERROR(SEARCH(INDIRECT(CELL("address")),DBRANEQ!H298),0)</f>
        <v>0</v>
      </c>
      <c r="J299" t="str">
        <f ca="1">IFERROR(INDEX(DBTXEQ!$H$10:$H$500,MATCH(ROW(I289),$K$11:$K$500,0)),"")</f>
        <v/>
      </c>
      <c r="K299" t="str">
        <f ca="1">IF(L299=0,"",COUNTIF($L$11:L299,"&gt;0"))</f>
        <v/>
      </c>
      <c r="L299">
        <f ca="1">IFERROR(SEARCH(INDIRECT(CELL("address")),DBTXEQ!H298),0)</f>
        <v>0</v>
      </c>
    </row>
    <row r="300" spans="6:12">
      <c r="F300" s="17" t="str">
        <f ca="1">IFERROR(INDEX(DBRANEQ!$H$10:$H$500,MATCH(ROW(E290),$G$11:$G$500,0)),"")</f>
        <v/>
      </c>
      <c r="G300" s="17" t="str">
        <f ca="1">IF(H300=0,"",COUNTIF($H$11:H300,"&gt;0"))</f>
        <v/>
      </c>
      <c r="H300" s="17">
        <f ca="1">IFERROR(SEARCH(INDIRECT(CELL("address")),DBRANEQ!H299),0)</f>
        <v>0</v>
      </c>
      <c r="J300" t="str">
        <f ca="1">IFERROR(INDEX(DBTXEQ!$H$10:$H$500,MATCH(ROW(I290),$K$11:$K$500,0)),"")</f>
        <v/>
      </c>
      <c r="K300" t="str">
        <f ca="1">IF(L300=0,"",COUNTIF($L$11:L300,"&gt;0"))</f>
        <v/>
      </c>
      <c r="L300">
        <f ca="1">IFERROR(SEARCH(INDIRECT(CELL("address")),DBTXEQ!H299),0)</f>
        <v>0</v>
      </c>
    </row>
    <row r="301" spans="6:12">
      <c r="F301" s="17" t="str">
        <f ca="1">IFERROR(INDEX(DBRANEQ!$H$10:$H$500,MATCH(ROW(E291),$G$11:$G$500,0)),"")</f>
        <v/>
      </c>
      <c r="G301" s="17" t="str">
        <f ca="1">IF(H301=0,"",COUNTIF($H$11:H301,"&gt;0"))</f>
        <v/>
      </c>
      <c r="H301" s="17">
        <f ca="1">IFERROR(SEARCH(INDIRECT(CELL("address")),DBRANEQ!H300),0)</f>
        <v>0</v>
      </c>
      <c r="J301" t="str">
        <f ca="1">IFERROR(INDEX(DBTXEQ!$H$10:$H$500,MATCH(ROW(I291),$K$11:$K$500,0)),"")</f>
        <v/>
      </c>
      <c r="K301" t="str">
        <f ca="1">IF(L301=0,"",COUNTIF($L$11:L301,"&gt;0"))</f>
        <v/>
      </c>
      <c r="L301">
        <f ca="1">IFERROR(SEARCH(INDIRECT(CELL("address")),DBTXEQ!H300),0)</f>
        <v>0</v>
      </c>
    </row>
    <row r="302" spans="6:12">
      <c r="F302" s="17" t="str">
        <f ca="1">IFERROR(INDEX(DBRANEQ!$H$10:$H$500,MATCH(ROW(E292),$G$11:$G$500,0)),"")</f>
        <v/>
      </c>
      <c r="G302" s="17" t="str">
        <f ca="1">IF(H302=0,"",COUNTIF($H$11:H302,"&gt;0"))</f>
        <v/>
      </c>
      <c r="H302" s="17">
        <f ca="1">IFERROR(SEARCH(INDIRECT(CELL("address")),DBRANEQ!H301),0)</f>
        <v>0</v>
      </c>
      <c r="J302" t="str">
        <f ca="1">IFERROR(INDEX(DBTXEQ!$H$10:$H$500,MATCH(ROW(I292),$K$11:$K$500,0)),"")</f>
        <v/>
      </c>
      <c r="K302" t="str">
        <f ca="1">IF(L302=0,"",COUNTIF($L$11:L302,"&gt;0"))</f>
        <v/>
      </c>
      <c r="L302">
        <f ca="1">IFERROR(SEARCH(INDIRECT(CELL("address")),DBTXEQ!H301),0)</f>
        <v>0</v>
      </c>
    </row>
    <row r="303" spans="6:12">
      <c r="F303" s="17" t="str">
        <f ca="1">IFERROR(INDEX(DBRANEQ!$H$10:$H$500,MATCH(ROW(E293),$G$11:$G$500,0)),"")</f>
        <v/>
      </c>
      <c r="G303" s="17" t="str">
        <f ca="1">IF(H303=0,"",COUNTIF($H$11:H303,"&gt;0"))</f>
        <v/>
      </c>
      <c r="H303" s="17">
        <f ca="1">IFERROR(SEARCH(INDIRECT(CELL("address")),DBRANEQ!H302),0)</f>
        <v>0</v>
      </c>
      <c r="J303" t="str">
        <f ca="1">IFERROR(INDEX(DBTXEQ!$H$10:$H$500,MATCH(ROW(I293),$K$11:$K$500,0)),"")</f>
        <v/>
      </c>
      <c r="K303" t="str">
        <f ca="1">IF(L303=0,"",COUNTIF($L$11:L303,"&gt;0"))</f>
        <v/>
      </c>
      <c r="L303">
        <f ca="1">IFERROR(SEARCH(INDIRECT(CELL("address")),DBTXEQ!H302),0)</f>
        <v>0</v>
      </c>
    </row>
    <row r="304" spans="6:12">
      <c r="F304" s="17" t="str">
        <f ca="1">IFERROR(INDEX(DBRANEQ!$H$10:$H$500,MATCH(ROW(E294),$G$11:$G$500,0)),"")</f>
        <v/>
      </c>
      <c r="G304" s="17" t="str">
        <f ca="1">IF(H304=0,"",COUNTIF($H$11:H304,"&gt;0"))</f>
        <v/>
      </c>
      <c r="H304" s="17">
        <f ca="1">IFERROR(SEARCH(INDIRECT(CELL("address")),DBRANEQ!H303),0)</f>
        <v>0</v>
      </c>
      <c r="J304" t="str">
        <f ca="1">IFERROR(INDEX(DBTXEQ!$H$10:$H$500,MATCH(ROW(I294),$K$11:$K$500,0)),"")</f>
        <v/>
      </c>
      <c r="K304" t="str">
        <f ca="1">IF(L304=0,"",COUNTIF($L$11:L304,"&gt;0"))</f>
        <v/>
      </c>
      <c r="L304">
        <f ca="1">IFERROR(SEARCH(INDIRECT(CELL("address")),DBTXEQ!H303),0)</f>
        <v>0</v>
      </c>
    </row>
    <row r="305" spans="6:12">
      <c r="F305" s="17" t="str">
        <f ca="1">IFERROR(INDEX(DBRANEQ!$H$10:$H$500,MATCH(ROW(E295),$G$11:$G$500,0)),"")</f>
        <v/>
      </c>
      <c r="G305" s="17" t="str">
        <f ca="1">IF(H305=0,"",COUNTIF($H$11:H305,"&gt;0"))</f>
        <v/>
      </c>
      <c r="H305" s="17">
        <f ca="1">IFERROR(SEARCH(INDIRECT(CELL("address")),DBRANEQ!H304),0)</f>
        <v>0</v>
      </c>
      <c r="J305" t="str">
        <f ca="1">IFERROR(INDEX(DBTXEQ!$H$10:$H$500,MATCH(ROW(I295),$K$11:$K$500,0)),"")</f>
        <v/>
      </c>
      <c r="K305" t="str">
        <f ca="1">IF(L305=0,"",COUNTIF($L$11:L305,"&gt;0"))</f>
        <v/>
      </c>
      <c r="L305">
        <f ca="1">IFERROR(SEARCH(INDIRECT(CELL("address")),DBTXEQ!H304),0)</f>
        <v>0</v>
      </c>
    </row>
    <row r="306" spans="6:12">
      <c r="F306" s="17" t="str">
        <f ca="1">IFERROR(INDEX(DBRANEQ!$H$10:$H$500,MATCH(ROW(E296),$G$11:$G$500,0)),"")</f>
        <v/>
      </c>
      <c r="G306" s="17" t="str">
        <f ca="1">IF(H306=0,"",COUNTIF($H$11:H306,"&gt;0"))</f>
        <v/>
      </c>
      <c r="H306" s="17">
        <f ca="1">IFERROR(SEARCH(INDIRECT(CELL("address")),DBRANEQ!H305),0)</f>
        <v>0</v>
      </c>
      <c r="J306" t="str">
        <f ca="1">IFERROR(INDEX(DBTXEQ!$H$10:$H$500,MATCH(ROW(I296),$K$11:$K$500,0)),"")</f>
        <v/>
      </c>
      <c r="K306" t="str">
        <f ca="1">IF(L306=0,"",COUNTIF($L$11:L306,"&gt;0"))</f>
        <v/>
      </c>
      <c r="L306">
        <f ca="1">IFERROR(SEARCH(INDIRECT(CELL("address")),DBTXEQ!H305),0)</f>
        <v>0</v>
      </c>
    </row>
    <row r="307" spans="6:12">
      <c r="F307" s="17" t="str">
        <f ca="1">IFERROR(INDEX(DBRANEQ!$H$10:$H$500,MATCH(ROW(E297),$G$11:$G$500,0)),"")</f>
        <v/>
      </c>
      <c r="G307" s="17" t="str">
        <f ca="1">IF(H307=0,"",COUNTIF($H$11:H307,"&gt;0"))</f>
        <v/>
      </c>
      <c r="H307" s="17">
        <f ca="1">IFERROR(SEARCH(INDIRECT(CELL("address")),DBRANEQ!H306),0)</f>
        <v>0</v>
      </c>
      <c r="J307" t="str">
        <f ca="1">IFERROR(INDEX(DBTXEQ!$H$10:$H$500,MATCH(ROW(I297),$K$11:$K$500,0)),"")</f>
        <v/>
      </c>
      <c r="K307" t="str">
        <f ca="1">IF(L307=0,"",COUNTIF($L$11:L307,"&gt;0"))</f>
        <v/>
      </c>
      <c r="L307">
        <f ca="1">IFERROR(SEARCH(INDIRECT(CELL("address")),DBTXEQ!H306),0)</f>
        <v>0</v>
      </c>
    </row>
    <row r="308" spans="6:12">
      <c r="F308" s="17" t="str">
        <f ca="1">IFERROR(INDEX(DBRANEQ!$H$10:$H$500,MATCH(ROW(E298),$G$11:$G$500,0)),"")</f>
        <v/>
      </c>
      <c r="G308" s="17" t="str">
        <f ca="1">IF(H308=0,"",COUNTIF($H$11:H308,"&gt;0"))</f>
        <v/>
      </c>
      <c r="H308" s="17">
        <f ca="1">IFERROR(SEARCH(INDIRECT(CELL("address")),DBRANEQ!H307),0)</f>
        <v>0</v>
      </c>
      <c r="J308" t="str">
        <f ca="1">IFERROR(INDEX(DBTXEQ!$H$10:$H$500,MATCH(ROW(I298),$K$11:$K$500,0)),"")</f>
        <v/>
      </c>
      <c r="K308" t="str">
        <f ca="1">IF(L308=0,"",COUNTIF($L$11:L308,"&gt;0"))</f>
        <v/>
      </c>
      <c r="L308">
        <f ca="1">IFERROR(SEARCH(INDIRECT(CELL("address")),DBTXEQ!H307),0)</f>
        <v>0</v>
      </c>
    </row>
    <row r="309" spans="6:12">
      <c r="F309" s="17" t="str">
        <f ca="1">IFERROR(INDEX(DBRANEQ!$H$10:$H$500,MATCH(ROW(E299),$G$11:$G$500,0)),"")</f>
        <v/>
      </c>
      <c r="G309" s="17" t="str">
        <f ca="1">IF(H309=0,"",COUNTIF($H$11:H309,"&gt;0"))</f>
        <v/>
      </c>
      <c r="H309" s="17">
        <f ca="1">IFERROR(SEARCH(INDIRECT(CELL("address")),DBRANEQ!H308),0)</f>
        <v>0</v>
      </c>
      <c r="J309" t="str">
        <f ca="1">IFERROR(INDEX(DBTXEQ!$H$10:$H$500,MATCH(ROW(I299),$K$11:$K$500,0)),"")</f>
        <v/>
      </c>
      <c r="K309" t="str">
        <f ca="1">IF(L309=0,"",COUNTIF($L$11:L309,"&gt;0"))</f>
        <v/>
      </c>
      <c r="L309">
        <f ca="1">IFERROR(SEARCH(INDIRECT(CELL("address")),DBTXEQ!H308),0)</f>
        <v>0</v>
      </c>
    </row>
    <row r="310" spans="6:12">
      <c r="F310" s="17" t="str">
        <f ca="1">IFERROR(INDEX(DBRANEQ!$H$10:$H$500,MATCH(ROW(E300),$G$11:$G$500,0)),"")</f>
        <v/>
      </c>
      <c r="G310" s="17" t="str">
        <f ca="1">IF(H310=0,"",COUNTIF($H$11:H310,"&gt;0"))</f>
        <v/>
      </c>
      <c r="H310" s="17">
        <f ca="1">IFERROR(SEARCH(INDIRECT(CELL("address")),DBRANEQ!H309),0)</f>
        <v>0</v>
      </c>
      <c r="J310" t="str">
        <f ca="1">IFERROR(INDEX(DBTXEQ!$H$10:$H$500,MATCH(ROW(I300),$K$11:$K$500,0)),"")</f>
        <v/>
      </c>
      <c r="K310" t="str">
        <f ca="1">IF(L310=0,"",COUNTIF($L$11:L310,"&gt;0"))</f>
        <v/>
      </c>
      <c r="L310">
        <f ca="1">IFERROR(SEARCH(INDIRECT(CELL("address")),DBTXEQ!H309),0)</f>
        <v>0</v>
      </c>
    </row>
    <row r="311" spans="6:12">
      <c r="F311" s="17" t="str">
        <f ca="1">IFERROR(INDEX(DBRANEQ!$H$10:$H$500,MATCH(ROW(E301),$G$11:$G$500,0)),"")</f>
        <v/>
      </c>
      <c r="G311" s="17" t="str">
        <f ca="1">IF(H311=0,"",COUNTIF($H$11:H311,"&gt;0"))</f>
        <v/>
      </c>
      <c r="H311" s="17">
        <f ca="1">IFERROR(SEARCH(INDIRECT(CELL("address")),DBRANEQ!H310),0)</f>
        <v>0</v>
      </c>
      <c r="J311" t="str">
        <f ca="1">IFERROR(INDEX(DBTXEQ!$H$10:$H$500,MATCH(ROW(I301),$K$11:$K$500,0)),"")</f>
        <v/>
      </c>
      <c r="K311" t="str">
        <f ca="1">IF(L311=0,"",COUNTIF($L$11:L311,"&gt;0"))</f>
        <v/>
      </c>
      <c r="L311">
        <f ca="1">IFERROR(SEARCH(INDIRECT(CELL("address")),DBTXEQ!H310),0)</f>
        <v>0</v>
      </c>
    </row>
    <row r="312" spans="6:12">
      <c r="F312" s="17" t="str">
        <f ca="1">IFERROR(INDEX(DBRANEQ!$H$10:$H$500,MATCH(ROW(E302),$G$11:$G$500,0)),"")</f>
        <v/>
      </c>
      <c r="G312" s="17" t="str">
        <f ca="1">IF(H312=0,"",COUNTIF($H$11:H312,"&gt;0"))</f>
        <v/>
      </c>
      <c r="H312" s="17">
        <f ca="1">IFERROR(SEARCH(INDIRECT(CELL("address")),DBRANEQ!H311),0)</f>
        <v>0</v>
      </c>
      <c r="J312" t="str">
        <f ca="1">IFERROR(INDEX(DBTXEQ!$H$10:$H$500,MATCH(ROW(I302),$K$11:$K$500,0)),"")</f>
        <v/>
      </c>
      <c r="K312" t="str">
        <f ca="1">IF(L312=0,"",COUNTIF($L$11:L312,"&gt;0"))</f>
        <v/>
      </c>
      <c r="L312">
        <f ca="1">IFERROR(SEARCH(INDIRECT(CELL("address")),DBTXEQ!H311),0)</f>
        <v>0</v>
      </c>
    </row>
    <row r="313" spans="6:12">
      <c r="F313" s="17" t="str">
        <f ca="1">IFERROR(INDEX(DBRANEQ!$H$10:$H$500,MATCH(ROW(E303),$G$11:$G$500,0)),"")</f>
        <v/>
      </c>
      <c r="G313" s="17" t="str">
        <f ca="1">IF(H313=0,"",COUNTIF($H$11:H313,"&gt;0"))</f>
        <v/>
      </c>
      <c r="H313" s="17">
        <f ca="1">IFERROR(SEARCH(INDIRECT(CELL("address")),DBRANEQ!H312),0)</f>
        <v>0</v>
      </c>
      <c r="J313" t="str">
        <f ca="1">IFERROR(INDEX(DBTXEQ!$H$10:$H$500,MATCH(ROW(I303),$K$11:$K$500,0)),"")</f>
        <v/>
      </c>
      <c r="K313" t="str">
        <f ca="1">IF(L313=0,"",COUNTIF($L$11:L313,"&gt;0"))</f>
        <v/>
      </c>
      <c r="L313">
        <f ca="1">IFERROR(SEARCH(INDIRECT(CELL("address")),DBTXEQ!H312),0)</f>
        <v>0</v>
      </c>
    </row>
    <row r="314" spans="6:12">
      <c r="F314" s="17" t="str">
        <f ca="1">IFERROR(INDEX(DBRANEQ!$H$10:$H$500,MATCH(ROW(E304),$G$11:$G$500,0)),"")</f>
        <v/>
      </c>
      <c r="G314" s="17" t="str">
        <f ca="1">IF(H314=0,"",COUNTIF($H$11:H314,"&gt;0"))</f>
        <v/>
      </c>
      <c r="H314" s="17">
        <f ca="1">IFERROR(SEARCH(INDIRECT(CELL("address")),DBRANEQ!H313),0)</f>
        <v>0</v>
      </c>
      <c r="J314" t="str">
        <f ca="1">IFERROR(INDEX(DBTXEQ!$H$10:$H$500,MATCH(ROW(I304),$K$11:$K$500,0)),"")</f>
        <v/>
      </c>
      <c r="K314" t="str">
        <f ca="1">IF(L314=0,"",COUNTIF($L$11:L314,"&gt;0"))</f>
        <v/>
      </c>
      <c r="L314">
        <f ca="1">IFERROR(SEARCH(INDIRECT(CELL("address")),DBTXEQ!H313),0)</f>
        <v>0</v>
      </c>
    </row>
    <row r="315" spans="6:12">
      <c r="F315" s="17" t="str">
        <f ca="1">IFERROR(INDEX(DBRANEQ!$H$10:$H$500,MATCH(ROW(E305),$G$11:$G$500,0)),"")</f>
        <v/>
      </c>
      <c r="G315" s="17" t="str">
        <f ca="1">IF(H315=0,"",COUNTIF($H$11:H315,"&gt;0"))</f>
        <v/>
      </c>
      <c r="H315" s="17">
        <f ca="1">IFERROR(SEARCH(INDIRECT(CELL("address")),DBRANEQ!H314),0)</f>
        <v>0</v>
      </c>
      <c r="J315" t="str">
        <f ca="1">IFERROR(INDEX(DBTXEQ!$H$10:$H$500,MATCH(ROW(I305),$K$11:$K$500,0)),"")</f>
        <v/>
      </c>
      <c r="K315" t="str">
        <f ca="1">IF(L315=0,"",COUNTIF($L$11:L315,"&gt;0"))</f>
        <v/>
      </c>
      <c r="L315">
        <f ca="1">IFERROR(SEARCH(INDIRECT(CELL("address")),DBTXEQ!H314),0)</f>
        <v>0</v>
      </c>
    </row>
    <row r="316" spans="6:12">
      <c r="F316" s="17" t="str">
        <f ca="1">IFERROR(INDEX(DBRANEQ!$H$10:$H$500,MATCH(ROW(E306),$G$11:$G$500,0)),"")</f>
        <v/>
      </c>
      <c r="G316" s="17" t="str">
        <f ca="1">IF(H316=0,"",COUNTIF($H$11:H316,"&gt;0"))</f>
        <v/>
      </c>
      <c r="H316" s="17">
        <f ca="1">IFERROR(SEARCH(INDIRECT(CELL("address")),DBRANEQ!H315),0)</f>
        <v>0</v>
      </c>
      <c r="J316" t="str">
        <f ca="1">IFERROR(INDEX(DBTXEQ!$H$10:$H$500,MATCH(ROW(I306),$K$11:$K$500,0)),"")</f>
        <v/>
      </c>
      <c r="K316" t="str">
        <f ca="1">IF(L316=0,"",COUNTIF($L$11:L316,"&gt;0"))</f>
        <v/>
      </c>
      <c r="L316">
        <f ca="1">IFERROR(SEARCH(INDIRECT(CELL("address")),DBTXEQ!H315),0)</f>
        <v>0</v>
      </c>
    </row>
    <row r="317" spans="6:12">
      <c r="F317" s="17" t="str">
        <f ca="1">IFERROR(INDEX(DBRANEQ!$H$10:$H$500,MATCH(ROW(E307),$G$11:$G$500,0)),"")</f>
        <v/>
      </c>
      <c r="G317" s="17" t="str">
        <f ca="1">IF(H317=0,"",COUNTIF($H$11:H317,"&gt;0"))</f>
        <v/>
      </c>
      <c r="H317" s="17">
        <f ca="1">IFERROR(SEARCH(INDIRECT(CELL("address")),DBRANEQ!H316),0)</f>
        <v>0</v>
      </c>
      <c r="J317" t="str">
        <f ca="1">IFERROR(INDEX(DBTXEQ!$H$10:$H$500,MATCH(ROW(I307),$K$11:$K$500,0)),"")</f>
        <v/>
      </c>
      <c r="K317" t="str">
        <f ca="1">IF(L317=0,"",COUNTIF($L$11:L317,"&gt;0"))</f>
        <v/>
      </c>
      <c r="L317">
        <f ca="1">IFERROR(SEARCH(INDIRECT(CELL("address")),DBTXEQ!H316),0)</f>
        <v>0</v>
      </c>
    </row>
    <row r="318" spans="6:12">
      <c r="F318" s="17" t="str">
        <f ca="1">IFERROR(INDEX(DBRANEQ!$H$10:$H$500,MATCH(ROW(E308),$G$11:$G$500,0)),"")</f>
        <v/>
      </c>
      <c r="G318" s="17" t="str">
        <f ca="1">IF(H318=0,"",COUNTIF($H$11:H318,"&gt;0"))</f>
        <v/>
      </c>
      <c r="H318" s="17">
        <f ca="1">IFERROR(SEARCH(INDIRECT(CELL("address")),DBRANEQ!H317),0)</f>
        <v>0</v>
      </c>
      <c r="J318" t="str">
        <f ca="1">IFERROR(INDEX(DBTXEQ!$H$10:$H$500,MATCH(ROW(I308),$K$11:$K$500,0)),"")</f>
        <v/>
      </c>
      <c r="K318" t="str">
        <f ca="1">IF(L318=0,"",COUNTIF($L$11:L318,"&gt;0"))</f>
        <v/>
      </c>
      <c r="L318">
        <f ca="1">IFERROR(SEARCH(INDIRECT(CELL("address")),DBTXEQ!H317),0)</f>
        <v>0</v>
      </c>
    </row>
    <row r="319" spans="6:12">
      <c r="F319" s="17" t="str">
        <f ca="1">IFERROR(INDEX(DBRANEQ!$H$10:$H$500,MATCH(ROW(E309),$G$11:$G$500,0)),"")</f>
        <v/>
      </c>
      <c r="G319" s="17" t="str">
        <f ca="1">IF(H319=0,"",COUNTIF($H$11:H319,"&gt;0"))</f>
        <v/>
      </c>
      <c r="H319" s="17">
        <f ca="1">IFERROR(SEARCH(INDIRECT(CELL("address")),DBRANEQ!H318),0)</f>
        <v>0</v>
      </c>
      <c r="J319" t="str">
        <f ca="1">IFERROR(INDEX(DBTXEQ!$H$10:$H$500,MATCH(ROW(I309),$K$11:$K$500,0)),"")</f>
        <v/>
      </c>
      <c r="K319" t="str">
        <f ca="1">IF(L319=0,"",COUNTIF($L$11:L319,"&gt;0"))</f>
        <v/>
      </c>
      <c r="L319">
        <f ca="1">IFERROR(SEARCH(INDIRECT(CELL("address")),DBTXEQ!H318),0)</f>
        <v>0</v>
      </c>
    </row>
    <row r="320" spans="6:12">
      <c r="F320" s="17" t="str">
        <f ca="1">IFERROR(INDEX(DBRANEQ!$H$10:$H$500,MATCH(ROW(E310),$G$11:$G$500,0)),"")</f>
        <v/>
      </c>
      <c r="G320" s="17" t="str">
        <f ca="1">IF(H320=0,"",COUNTIF($H$11:H320,"&gt;0"))</f>
        <v/>
      </c>
      <c r="H320" s="17">
        <f ca="1">IFERROR(SEARCH(INDIRECT(CELL("address")),DBRANEQ!H319),0)</f>
        <v>0</v>
      </c>
      <c r="J320" t="str">
        <f ca="1">IFERROR(INDEX(DBTXEQ!$H$10:$H$500,MATCH(ROW(I310),$K$11:$K$500,0)),"")</f>
        <v/>
      </c>
      <c r="K320" t="str">
        <f ca="1">IF(L320=0,"",COUNTIF($L$11:L320,"&gt;0"))</f>
        <v/>
      </c>
      <c r="L320">
        <f ca="1">IFERROR(SEARCH(INDIRECT(CELL("address")),DBTXEQ!H319),0)</f>
        <v>0</v>
      </c>
    </row>
    <row r="321" spans="6:12">
      <c r="F321" s="17" t="str">
        <f ca="1">IFERROR(INDEX(DBRANEQ!$H$10:$H$500,MATCH(ROW(E311),$G$11:$G$500,0)),"")</f>
        <v/>
      </c>
      <c r="G321" s="17" t="str">
        <f ca="1">IF(H321=0,"",COUNTIF($H$11:H321,"&gt;0"))</f>
        <v/>
      </c>
      <c r="H321" s="17">
        <f ca="1">IFERROR(SEARCH(INDIRECT(CELL("address")),DBRANEQ!H320),0)</f>
        <v>0</v>
      </c>
      <c r="J321" t="str">
        <f ca="1">IFERROR(INDEX(DBTXEQ!$H$10:$H$500,MATCH(ROW(I311),$K$11:$K$500,0)),"")</f>
        <v/>
      </c>
      <c r="K321" t="str">
        <f ca="1">IF(L321=0,"",COUNTIF($L$11:L321,"&gt;0"))</f>
        <v/>
      </c>
      <c r="L321">
        <f ca="1">IFERROR(SEARCH(INDIRECT(CELL("address")),DBTXEQ!H320),0)</f>
        <v>0</v>
      </c>
    </row>
    <row r="322" spans="6:12">
      <c r="F322" s="17" t="str">
        <f ca="1">IFERROR(INDEX(DBRANEQ!$H$10:$H$500,MATCH(ROW(E312),$G$11:$G$500,0)),"")</f>
        <v/>
      </c>
      <c r="G322" s="17" t="str">
        <f ca="1">IF(H322=0,"",COUNTIF($H$11:H322,"&gt;0"))</f>
        <v/>
      </c>
      <c r="H322" s="17">
        <f ca="1">IFERROR(SEARCH(INDIRECT(CELL("address")),DBRANEQ!H321),0)</f>
        <v>0</v>
      </c>
      <c r="J322" t="str">
        <f ca="1">IFERROR(INDEX(DBTXEQ!$H$10:$H$500,MATCH(ROW(I312),$K$11:$K$500,0)),"")</f>
        <v/>
      </c>
      <c r="K322" t="str">
        <f ca="1">IF(L322=0,"",COUNTIF($L$11:L322,"&gt;0"))</f>
        <v/>
      </c>
      <c r="L322">
        <f ca="1">IFERROR(SEARCH(INDIRECT(CELL("address")),DBTXEQ!H321),0)</f>
        <v>0</v>
      </c>
    </row>
    <row r="323" spans="6:12">
      <c r="F323" s="17" t="str">
        <f ca="1">IFERROR(INDEX(DBRANEQ!$H$10:$H$500,MATCH(ROW(E313),$G$11:$G$500,0)),"")</f>
        <v/>
      </c>
      <c r="G323" s="17" t="str">
        <f ca="1">IF(H323=0,"",COUNTIF($H$11:H323,"&gt;0"))</f>
        <v/>
      </c>
      <c r="H323" s="17">
        <f ca="1">IFERROR(SEARCH(INDIRECT(CELL("address")),DBRANEQ!H322),0)</f>
        <v>0</v>
      </c>
      <c r="J323" t="str">
        <f ca="1">IFERROR(INDEX(DBTXEQ!$H$10:$H$500,MATCH(ROW(I313),$K$11:$K$500,0)),"")</f>
        <v/>
      </c>
      <c r="K323" t="str">
        <f ca="1">IF(L323=0,"",COUNTIF($L$11:L323,"&gt;0"))</f>
        <v/>
      </c>
      <c r="L323">
        <f ca="1">IFERROR(SEARCH(INDIRECT(CELL("address")),DBTXEQ!H322),0)</f>
        <v>0</v>
      </c>
    </row>
    <row r="324" spans="6:12">
      <c r="F324" s="17" t="str">
        <f ca="1">IFERROR(INDEX(DBRANEQ!$H$10:$H$500,MATCH(ROW(E314),$G$11:$G$500,0)),"")</f>
        <v/>
      </c>
      <c r="G324" s="17" t="str">
        <f ca="1">IF(H324=0,"",COUNTIF($H$11:H324,"&gt;0"))</f>
        <v/>
      </c>
      <c r="H324" s="17">
        <f ca="1">IFERROR(SEARCH(INDIRECT(CELL("address")),DBRANEQ!H323),0)</f>
        <v>0</v>
      </c>
      <c r="J324" t="str">
        <f ca="1">IFERROR(INDEX(DBTXEQ!$H$10:$H$500,MATCH(ROW(I314),$K$11:$K$500,0)),"")</f>
        <v/>
      </c>
      <c r="K324" t="str">
        <f ca="1">IF(L324=0,"",COUNTIF($L$11:L324,"&gt;0"))</f>
        <v/>
      </c>
      <c r="L324">
        <f ca="1">IFERROR(SEARCH(INDIRECT(CELL("address")),DBTXEQ!H323),0)</f>
        <v>0</v>
      </c>
    </row>
    <row r="325" spans="6:12">
      <c r="F325" s="17" t="str">
        <f ca="1">IFERROR(INDEX(DBRANEQ!$H$10:$H$500,MATCH(ROW(E315),$G$11:$G$500,0)),"")</f>
        <v/>
      </c>
      <c r="G325" s="17" t="str">
        <f ca="1">IF(H325=0,"",COUNTIF($H$11:H325,"&gt;0"))</f>
        <v/>
      </c>
      <c r="H325" s="17">
        <f ca="1">IFERROR(SEARCH(INDIRECT(CELL("address")),DBRANEQ!H324),0)</f>
        <v>0</v>
      </c>
      <c r="J325" t="str">
        <f ca="1">IFERROR(INDEX(DBTXEQ!$H$10:$H$500,MATCH(ROW(I315),$K$11:$K$500,0)),"")</f>
        <v/>
      </c>
      <c r="K325" t="str">
        <f ca="1">IF(L325=0,"",COUNTIF($L$11:L325,"&gt;0"))</f>
        <v/>
      </c>
      <c r="L325">
        <f ca="1">IFERROR(SEARCH(INDIRECT(CELL("address")),DBTXEQ!H324),0)</f>
        <v>0</v>
      </c>
    </row>
    <row r="326" spans="6:12">
      <c r="F326" s="17" t="str">
        <f ca="1">IFERROR(INDEX(DBRANEQ!$H$10:$H$500,MATCH(ROW(E316),$G$11:$G$500,0)),"")</f>
        <v/>
      </c>
      <c r="G326" s="17" t="str">
        <f ca="1">IF(H326=0,"",COUNTIF($H$11:H326,"&gt;0"))</f>
        <v/>
      </c>
      <c r="H326" s="17">
        <f ca="1">IFERROR(SEARCH(INDIRECT(CELL("address")),DBRANEQ!H325),0)</f>
        <v>0</v>
      </c>
      <c r="J326" t="str">
        <f ca="1">IFERROR(INDEX(DBTXEQ!$H$10:$H$500,MATCH(ROW(I316),$K$11:$K$500,0)),"")</f>
        <v/>
      </c>
      <c r="K326" t="str">
        <f ca="1">IF(L326=0,"",COUNTIF($L$11:L326,"&gt;0"))</f>
        <v/>
      </c>
      <c r="L326">
        <f ca="1">IFERROR(SEARCH(INDIRECT(CELL("address")),DBTXEQ!H325),0)</f>
        <v>0</v>
      </c>
    </row>
    <row r="327" spans="6:12">
      <c r="F327" s="17" t="str">
        <f ca="1">IFERROR(INDEX(DBRANEQ!$H$10:$H$500,MATCH(ROW(E317),$G$11:$G$500,0)),"")</f>
        <v/>
      </c>
      <c r="G327" s="17" t="str">
        <f ca="1">IF(H327=0,"",COUNTIF($H$11:H327,"&gt;0"))</f>
        <v/>
      </c>
      <c r="H327" s="17">
        <f ca="1">IFERROR(SEARCH(INDIRECT(CELL("address")),DBRANEQ!H326),0)</f>
        <v>0</v>
      </c>
      <c r="J327" t="str">
        <f ca="1">IFERROR(INDEX(DBTXEQ!$H$10:$H$500,MATCH(ROW(I317),$K$11:$K$500,0)),"")</f>
        <v/>
      </c>
      <c r="K327" t="str">
        <f ca="1">IF(L327=0,"",COUNTIF($L$11:L327,"&gt;0"))</f>
        <v/>
      </c>
      <c r="L327">
        <f ca="1">IFERROR(SEARCH(INDIRECT(CELL("address")),DBTXEQ!H326),0)</f>
        <v>0</v>
      </c>
    </row>
    <row r="328" spans="6:12">
      <c r="F328" s="17" t="str">
        <f ca="1">IFERROR(INDEX(DBRANEQ!$H$10:$H$500,MATCH(ROW(E318),$G$11:$G$500,0)),"")</f>
        <v/>
      </c>
      <c r="G328" s="17" t="str">
        <f ca="1">IF(H328=0,"",COUNTIF($H$11:H328,"&gt;0"))</f>
        <v/>
      </c>
      <c r="H328" s="17">
        <f ca="1">IFERROR(SEARCH(INDIRECT(CELL("address")),DBRANEQ!H327),0)</f>
        <v>0</v>
      </c>
      <c r="J328" t="str">
        <f ca="1">IFERROR(INDEX(DBTXEQ!$H$10:$H$500,MATCH(ROW(I318),$K$11:$K$500,0)),"")</f>
        <v/>
      </c>
      <c r="K328" t="str">
        <f ca="1">IF(L328=0,"",COUNTIF($L$11:L328,"&gt;0"))</f>
        <v/>
      </c>
      <c r="L328">
        <f ca="1">IFERROR(SEARCH(INDIRECT(CELL("address")),DBTXEQ!H327),0)</f>
        <v>0</v>
      </c>
    </row>
    <row r="329" spans="6:12">
      <c r="F329" s="17" t="str">
        <f ca="1">IFERROR(INDEX(DBRANEQ!$H$10:$H$500,MATCH(ROW(E319),$G$11:$G$500,0)),"")</f>
        <v/>
      </c>
      <c r="G329" s="17" t="str">
        <f ca="1">IF(H329=0,"",COUNTIF($H$11:H329,"&gt;0"))</f>
        <v/>
      </c>
      <c r="H329" s="17">
        <f ca="1">IFERROR(SEARCH(INDIRECT(CELL("address")),DBRANEQ!H328),0)</f>
        <v>0</v>
      </c>
      <c r="J329" t="str">
        <f ca="1">IFERROR(INDEX(DBTXEQ!$H$10:$H$500,MATCH(ROW(I319),$K$11:$K$500,0)),"")</f>
        <v/>
      </c>
      <c r="K329" t="str">
        <f ca="1">IF(L329=0,"",COUNTIF($L$11:L329,"&gt;0"))</f>
        <v/>
      </c>
      <c r="L329">
        <f ca="1">IFERROR(SEARCH(INDIRECT(CELL("address")),DBTXEQ!H328),0)</f>
        <v>0</v>
      </c>
    </row>
    <row r="330" spans="6:12">
      <c r="F330" s="17" t="str">
        <f ca="1">IFERROR(INDEX(DBRANEQ!$H$10:$H$500,MATCH(ROW(E320),$G$11:$G$500,0)),"")</f>
        <v/>
      </c>
      <c r="G330" s="17" t="str">
        <f ca="1">IF(H330=0,"",COUNTIF($H$11:H330,"&gt;0"))</f>
        <v/>
      </c>
      <c r="H330" s="17">
        <f ca="1">IFERROR(SEARCH(INDIRECT(CELL("address")),DBRANEQ!H329),0)</f>
        <v>0</v>
      </c>
      <c r="J330" t="str">
        <f ca="1">IFERROR(INDEX(DBTXEQ!$H$10:$H$500,MATCH(ROW(I320),$K$11:$K$500,0)),"")</f>
        <v/>
      </c>
      <c r="K330" t="str">
        <f ca="1">IF(L330=0,"",COUNTIF($L$11:L330,"&gt;0"))</f>
        <v/>
      </c>
      <c r="L330">
        <f ca="1">IFERROR(SEARCH(INDIRECT(CELL("address")),DBTXEQ!H329),0)</f>
        <v>0</v>
      </c>
    </row>
    <row r="331" spans="6:12">
      <c r="F331" s="17" t="str">
        <f ca="1">IFERROR(INDEX(DBRANEQ!$H$10:$H$500,MATCH(ROW(E321),$G$11:$G$500,0)),"")</f>
        <v/>
      </c>
      <c r="G331" s="17" t="str">
        <f ca="1">IF(H331=0,"",COUNTIF($H$11:H331,"&gt;0"))</f>
        <v/>
      </c>
      <c r="H331" s="17">
        <f ca="1">IFERROR(SEARCH(INDIRECT(CELL("address")),DBRANEQ!H330),0)</f>
        <v>0</v>
      </c>
      <c r="J331" t="str">
        <f ca="1">IFERROR(INDEX(DBTXEQ!$H$10:$H$500,MATCH(ROW(I321),$K$11:$K$500,0)),"")</f>
        <v/>
      </c>
      <c r="K331" t="str">
        <f ca="1">IF(L331=0,"",COUNTIF($L$11:L331,"&gt;0"))</f>
        <v/>
      </c>
      <c r="L331">
        <f ca="1">IFERROR(SEARCH(INDIRECT(CELL("address")),DBTXEQ!H330),0)</f>
        <v>0</v>
      </c>
    </row>
    <row r="332" spans="6:12">
      <c r="F332" s="17" t="str">
        <f ca="1">IFERROR(INDEX(DBRANEQ!$H$10:$H$500,MATCH(ROW(E322),$G$11:$G$500,0)),"")</f>
        <v/>
      </c>
      <c r="G332" s="17" t="str">
        <f ca="1">IF(H332=0,"",COUNTIF($H$11:H332,"&gt;0"))</f>
        <v/>
      </c>
      <c r="H332" s="17">
        <f ca="1">IFERROR(SEARCH(INDIRECT(CELL("address")),DBRANEQ!H331),0)</f>
        <v>0</v>
      </c>
      <c r="J332" t="str">
        <f ca="1">IFERROR(INDEX(DBTXEQ!$H$10:$H$500,MATCH(ROW(I322),$K$11:$K$500,0)),"")</f>
        <v/>
      </c>
      <c r="K332" t="str">
        <f ca="1">IF(L332=0,"",COUNTIF($L$11:L332,"&gt;0"))</f>
        <v/>
      </c>
      <c r="L332">
        <f ca="1">IFERROR(SEARCH(INDIRECT(CELL("address")),DBTXEQ!H331),0)</f>
        <v>0</v>
      </c>
    </row>
    <row r="333" spans="6:12">
      <c r="F333" s="17" t="str">
        <f ca="1">IFERROR(INDEX(DBRANEQ!$H$10:$H$500,MATCH(ROW(E323),$G$11:$G$500,0)),"")</f>
        <v/>
      </c>
      <c r="G333" s="17" t="str">
        <f ca="1">IF(H333=0,"",COUNTIF($H$11:H333,"&gt;0"))</f>
        <v/>
      </c>
      <c r="H333" s="17">
        <f ca="1">IFERROR(SEARCH(INDIRECT(CELL("address")),DBRANEQ!H332),0)</f>
        <v>0</v>
      </c>
      <c r="J333" t="str">
        <f ca="1">IFERROR(INDEX(DBTXEQ!$H$10:$H$500,MATCH(ROW(I323),$K$11:$K$500,0)),"")</f>
        <v/>
      </c>
      <c r="K333" t="str">
        <f ca="1">IF(L333=0,"",COUNTIF($L$11:L333,"&gt;0"))</f>
        <v/>
      </c>
      <c r="L333">
        <f ca="1">IFERROR(SEARCH(INDIRECT(CELL("address")),DBTXEQ!H332),0)</f>
        <v>0</v>
      </c>
    </row>
    <row r="334" spans="6:12">
      <c r="F334" s="17" t="str">
        <f ca="1">IFERROR(INDEX(DBRANEQ!$H$10:$H$500,MATCH(ROW(E324),$G$11:$G$500,0)),"")</f>
        <v/>
      </c>
      <c r="G334" s="17" t="str">
        <f ca="1">IF(H334=0,"",COUNTIF($H$11:H334,"&gt;0"))</f>
        <v/>
      </c>
      <c r="H334" s="17">
        <f ca="1">IFERROR(SEARCH(INDIRECT(CELL("address")),DBRANEQ!H333),0)</f>
        <v>0</v>
      </c>
      <c r="J334" t="str">
        <f ca="1">IFERROR(INDEX(DBTXEQ!$H$10:$H$500,MATCH(ROW(I324),$K$11:$K$500,0)),"")</f>
        <v/>
      </c>
      <c r="K334" t="str">
        <f ca="1">IF(L334=0,"",COUNTIF($L$11:L334,"&gt;0"))</f>
        <v/>
      </c>
      <c r="L334">
        <f ca="1">IFERROR(SEARCH(INDIRECT(CELL("address")),DBTXEQ!H333),0)</f>
        <v>0</v>
      </c>
    </row>
    <row r="335" spans="6:12">
      <c r="F335" s="17" t="str">
        <f ca="1">IFERROR(INDEX(DBRANEQ!$H$10:$H$500,MATCH(ROW(E325),$G$11:$G$500,0)),"")</f>
        <v/>
      </c>
      <c r="G335" s="17" t="str">
        <f ca="1">IF(H335=0,"",COUNTIF($H$11:H335,"&gt;0"))</f>
        <v/>
      </c>
      <c r="H335" s="17">
        <f ca="1">IFERROR(SEARCH(INDIRECT(CELL("address")),DBRANEQ!H334),0)</f>
        <v>0</v>
      </c>
      <c r="J335" t="str">
        <f ca="1">IFERROR(INDEX(DBTXEQ!$H$10:$H$500,MATCH(ROW(I325),$K$11:$K$500,0)),"")</f>
        <v/>
      </c>
      <c r="K335" t="str">
        <f ca="1">IF(L335=0,"",COUNTIF($L$11:L335,"&gt;0"))</f>
        <v/>
      </c>
      <c r="L335">
        <f ca="1">IFERROR(SEARCH(INDIRECT(CELL("address")),DBTXEQ!H334),0)</f>
        <v>0</v>
      </c>
    </row>
    <row r="336" spans="6:12">
      <c r="F336" s="17" t="str">
        <f ca="1">IFERROR(INDEX(DBRANEQ!$H$10:$H$500,MATCH(ROW(E326),$G$11:$G$500,0)),"")</f>
        <v/>
      </c>
      <c r="G336" s="17" t="str">
        <f ca="1">IF(H336=0,"",COUNTIF($H$11:H336,"&gt;0"))</f>
        <v/>
      </c>
      <c r="H336" s="17">
        <f ca="1">IFERROR(SEARCH(INDIRECT(CELL("address")),DBRANEQ!H335),0)</f>
        <v>0</v>
      </c>
      <c r="J336" t="str">
        <f ca="1">IFERROR(INDEX(DBTXEQ!$H$10:$H$500,MATCH(ROW(I326),$K$11:$K$500,0)),"")</f>
        <v/>
      </c>
      <c r="K336" t="str">
        <f ca="1">IF(L336=0,"",COUNTIF($L$11:L336,"&gt;0"))</f>
        <v/>
      </c>
      <c r="L336">
        <f ca="1">IFERROR(SEARCH(INDIRECT(CELL("address")),DBTXEQ!H335),0)</f>
        <v>0</v>
      </c>
    </row>
    <row r="337" spans="6:12">
      <c r="F337" s="17" t="str">
        <f ca="1">IFERROR(INDEX(DBRANEQ!$H$10:$H$500,MATCH(ROW(E327),$G$11:$G$500,0)),"")</f>
        <v/>
      </c>
      <c r="G337" s="17" t="str">
        <f ca="1">IF(H337=0,"",COUNTIF($H$11:H337,"&gt;0"))</f>
        <v/>
      </c>
      <c r="H337" s="17">
        <f ca="1">IFERROR(SEARCH(INDIRECT(CELL("address")),DBRANEQ!H336),0)</f>
        <v>0</v>
      </c>
      <c r="J337" t="str">
        <f ca="1">IFERROR(INDEX(DBTXEQ!$H$10:$H$500,MATCH(ROW(I327),$K$11:$K$500,0)),"")</f>
        <v/>
      </c>
      <c r="K337" t="str">
        <f ca="1">IF(L337=0,"",COUNTIF($L$11:L337,"&gt;0"))</f>
        <v/>
      </c>
      <c r="L337">
        <f ca="1">IFERROR(SEARCH(INDIRECT(CELL("address")),DBTXEQ!H336),0)</f>
        <v>0</v>
      </c>
    </row>
    <row r="338" spans="6:12">
      <c r="F338" s="17" t="str">
        <f ca="1">IFERROR(INDEX(DBRANEQ!$H$10:$H$500,MATCH(ROW(E328),$G$11:$G$500,0)),"")</f>
        <v/>
      </c>
      <c r="G338" s="17" t="str">
        <f ca="1">IF(H338=0,"",COUNTIF($H$11:H338,"&gt;0"))</f>
        <v/>
      </c>
      <c r="H338" s="17">
        <f ca="1">IFERROR(SEARCH(INDIRECT(CELL("address")),DBRANEQ!H337),0)</f>
        <v>0</v>
      </c>
      <c r="J338" t="str">
        <f ca="1">IFERROR(INDEX(DBTXEQ!$H$10:$H$500,MATCH(ROW(I328),$K$11:$K$500,0)),"")</f>
        <v/>
      </c>
      <c r="K338" t="str">
        <f ca="1">IF(L338=0,"",COUNTIF($L$11:L338,"&gt;0"))</f>
        <v/>
      </c>
      <c r="L338">
        <f ca="1">IFERROR(SEARCH(INDIRECT(CELL("address")),DBTXEQ!H337),0)</f>
        <v>0</v>
      </c>
    </row>
    <row r="339" spans="6:12">
      <c r="F339" s="17" t="str">
        <f ca="1">IFERROR(INDEX(DBRANEQ!$H$10:$H$500,MATCH(ROW(E329),$G$11:$G$500,0)),"")</f>
        <v/>
      </c>
      <c r="G339" s="17" t="str">
        <f ca="1">IF(H339=0,"",COUNTIF($H$11:H339,"&gt;0"))</f>
        <v/>
      </c>
      <c r="H339" s="17">
        <f ca="1">IFERROR(SEARCH(INDIRECT(CELL("address")),DBRANEQ!H338),0)</f>
        <v>0</v>
      </c>
      <c r="J339" t="str">
        <f ca="1">IFERROR(INDEX(DBTXEQ!$H$10:$H$500,MATCH(ROW(I329),$K$11:$K$500,0)),"")</f>
        <v/>
      </c>
      <c r="K339" t="str">
        <f ca="1">IF(L339=0,"",COUNTIF($L$11:L339,"&gt;0"))</f>
        <v/>
      </c>
      <c r="L339">
        <f ca="1">IFERROR(SEARCH(INDIRECT(CELL("address")),DBTXEQ!H338),0)</f>
        <v>0</v>
      </c>
    </row>
    <row r="340" spans="6:12">
      <c r="F340" s="17" t="str">
        <f ca="1">IFERROR(INDEX(DBRANEQ!$H$10:$H$500,MATCH(ROW(E330),$G$11:$G$500,0)),"")</f>
        <v/>
      </c>
      <c r="G340" s="17" t="str">
        <f ca="1">IF(H340=0,"",COUNTIF($H$11:H340,"&gt;0"))</f>
        <v/>
      </c>
      <c r="H340" s="17">
        <f ca="1">IFERROR(SEARCH(INDIRECT(CELL("address")),DBRANEQ!H339),0)</f>
        <v>0</v>
      </c>
      <c r="J340" t="str">
        <f ca="1">IFERROR(INDEX(DBTXEQ!$H$10:$H$500,MATCH(ROW(I330),$K$11:$K$500,0)),"")</f>
        <v/>
      </c>
      <c r="K340" t="str">
        <f ca="1">IF(L340=0,"",COUNTIF($L$11:L340,"&gt;0"))</f>
        <v/>
      </c>
      <c r="L340">
        <f ca="1">IFERROR(SEARCH(INDIRECT(CELL("address")),DBTXEQ!H339),0)</f>
        <v>0</v>
      </c>
    </row>
    <row r="341" spans="6:12">
      <c r="F341" s="17" t="str">
        <f ca="1">IFERROR(INDEX(DBRANEQ!$H$10:$H$500,MATCH(ROW(E331),$G$11:$G$500,0)),"")</f>
        <v/>
      </c>
      <c r="G341" s="17" t="str">
        <f ca="1">IF(H341=0,"",COUNTIF($H$11:H341,"&gt;0"))</f>
        <v/>
      </c>
      <c r="H341" s="17">
        <f ca="1">IFERROR(SEARCH(INDIRECT(CELL("address")),DBRANEQ!H340),0)</f>
        <v>0</v>
      </c>
      <c r="J341" t="str">
        <f ca="1">IFERROR(INDEX(DBTXEQ!$H$10:$H$500,MATCH(ROW(I331),$K$11:$K$500,0)),"")</f>
        <v/>
      </c>
      <c r="K341" t="str">
        <f ca="1">IF(L341=0,"",COUNTIF($L$11:L341,"&gt;0"))</f>
        <v/>
      </c>
      <c r="L341">
        <f ca="1">IFERROR(SEARCH(INDIRECT(CELL("address")),DBTXEQ!H340),0)</f>
        <v>0</v>
      </c>
    </row>
    <row r="342" spans="6:12">
      <c r="F342" s="17" t="str">
        <f ca="1">IFERROR(INDEX(DBRANEQ!$H$10:$H$500,MATCH(ROW(E332),$G$11:$G$500,0)),"")</f>
        <v/>
      </c>
      <c r="G342" s="17" t="str">
        <f ca="1">IF(H342=0,"",COUNTIF($H$11:H342,"&gt;0"))</f>
        <v/>
      </c>
      <c r="H342" s="17">
        <f ca="1">IFERROR(SEARCH(INDIRECT(CELL("address")),DBRANEQ!H341),0)</f>
        <v>0</v>
      </c>
      <c r="J342" t="str">
        <f ca="1">IFERROR(INDEX(DBTXEQ!$H$10:$H$500,MATCH(ROW(I332),$K$11:$K$500,0)),"")</f>
        <v/>
      </c>
      <c r="K342" t="str">
        <f ca="1">IF(L342=0,"",COUNTIF($L$11:L342,"&gt;0"))</f>
        <v/>
      </c>
      <c r="L342">
        <f ca="1">IFERROR(SEARCH(INDIRECT(CELL("address")),DBTXEQ!H341),0)</f>
        <v>0</v>
      </c>
    </row>
    <row r="343" spans="6:12">
      <c r="F343" s="17" t="str">
        <f ca="1">IFERROR(INDEX(DBRANEQ!$H$10:$H$500,MATCH(ROW(E333),$G$11:$G$500,0)),"")</f>
        <v/>
      </c>
      <c r="G343" s="17" t="str">
        <f ca="1">IF(H343=0,"",COUNTIF($H$11:H343,"&gt;0"))</f>
        <v/>
      </c>
      <c r="H343" s="17">
        <f ca="1">IFERROR(SEARCH(INDIRECT(CELL("address")),DBRANEQ!H342),0)</f>
        <v>0</v>
      </c>
      <c r="J343" t="str">
        <f ca="1">IFERROR(INDEX(DBTXEQ!$H$10:$H$500,MATCH(ROW(I333),$K$11:$K$500,0)),"")</f>
        <v/>
      </c>
      <c r="K343" t="str">
        <f ca="1">IF(L343=0,"",COUNTIF($L$11:L343,"&gt;0"))</f>
        <v/>
      </c>
      <c r="L343">
        <f ca="1">IFERROR(SEARCH(INDIRECT(CELL("address")),DBTXEQ!H342),0)</f>
        <v>0</v>
      </c>
    </row>
    <row r="344" spans="6:12">
      <c r="F344" s="17" t="str">
        <f ca="1">IFERROR(INDEX(DBRANEQ!$H$10:$H$500,MATCH(ROW(E334),$G$11:$G$500,0)),"")</f>
        <v/>
      </c>
      <c r="G344" s="17" t="str">
        <f ca="1">IF(H344=0,"",COUNTIF($H$11:H344,"&gt;0"))</f>
        <v/>
      </c>
      <c r="H344" s="17">
        <f ca="1">IFERROR(SEARCH(INDIRECT(CELL("address")),DBRANEQ!H343),0)</f>
        <v>0</v>
      </c>
      <c r="J344" t="str">
        <f ca="1">IFERROR(INDEX(DBTXEQ!$H$10:$H$500,MATCH(ROW(I334),$K$11:$K$500,0)),"")</f>
        <v/>
      </c>
      <c r="K344" t="str">
        <f ca="1">IF(L344=0,"",COUNTIF($L$11:L344,"&gt;0"))</f>
        <v/>
      </c>
      <c r="L344">
        <f ca="1">IFERROR(SEARCH(INDIRECT(CELL("address")),DBTXEQ!H343),0)</f>
        <v>0</v>
      </c>
    </row>
    <row r="345" spans="6:12">
      <c r="F345" s="17" t="str">
        <f ca="1">IFERROR(INDEX(DBRANEQ!$H$10:$H$500,MATCH(ROW(E335),$G$11:$G$500,0)),"")</f>
        <v/>
      </c>
      <c r="G345" s="17" t="str">
        <f ca="1">IF(H345=0,"",COUNTIF($H$11:H345,"&gt;0"))</f>
        <v/>
      </c>
      <c r="H345" s="17">
        <f ca="1">IFERROR(SEARCH(INDIRECT(CELL("address")),DBRANEQ!H344),0)</f>
        <v>0</v>
      </c>
      <c r="J345" t="str">
        <f ca="1">IFERROR(INDEX(DBTXEQ!$H$10:$H$500,MATCH(ROW(I335),$K$11:$K$500,0)),"")</f>
        <v/>
      </c>
      <c r="K345" t="str">
        <f ca="1">IF(L345=0,"",COUNTIF($L$11:L345,"&gt;0"))</f>
        <v/>
      </c>
      <c r="L345">
        <f ca="1">IFERROR(SEARCH(INDIRECT(CELL("address")),DBTXEQ!H344),0)</f>
        <v>0</v>
      </c>
    </row>
    <row r="346" spans="6:12">
      <c r="F346" s="17" t="str">
        <f ca="1">IFERROR(INDEX(DBRANEQ!$H$10:$H$500,MATCH(ROW(E336),$G$11:$G$500,0)),"")</f>
        <v/>
      </c>
      <c r="G346" s="17" t="str">
        <f ca="1">IF(H346=0,"",COUNTIF($H$11:H346,"&gt;0"))</f>
        <v/>
      </c>
      <c r="H346" s="17">
        <f ca="1">IFERROR(SEARCH(INDIRECT(CELL("address")),DBRANEQ!H345),0)</f>
        <v>0</v>
      </c>
      <c r="J346" t="str">
        <f ca="1">IFERROR(INDEX(DBTXEQ!$H$10:$H$500,MATCH(ROW(I336),$K$11:$K$500,0)),"")</f>
        <v/>
      </c>
      <c r="K346" t="str">
        <f ca="1">IF(L346=0,"",COUNTIF($L$11:L346,"&gt;0"))</f>
        <v/>
      </c>
      <c r="L346">
        <f ca="1">IFERROR(SEARCH(INDIRECT(CELL("address")),DBTXEQ!H345),0)</f>
        <v>0</v>
      </c>
    </row>
    <row r="347" spans="6:12">
      <c r="F347" s="17" t="str">
        <f ca="1">IFERROR(INDEX(DBRANEQ!$H$10:$H$500,MATCH(ROW(E337),$G$11:$G$500,0)),"")</f>
        <v/>
      </c>
      <c r="G347" s="17" t="str">
        <f ca="1">IF(H347=0,"",COUNTIF($H$11:H347,"&gt;0"))</f>
        <v/>
      </c>
      <c r="H347" s="17">
        <f ca="1">IFERROR(SEARCH(INDIRECT(CELL("address")),DBRANEQ!H346),0)</f>
        <v>0</v>
      </c>
      <c r="J347" t="str">
        <f ca="1">IFERROR(INDEX(DBTXEQ!$H$10:$H$500,MATCH(ROW(I337),$K$11:$K$500,0)),"")</f>
        <v/>
      </c>
      <c r="K347" t="str">
        <f ca="1">IF(L347=0,"",COUNTIF($L$11:L347,"&gt;0"))</f>
        <v/>
      </c>
      <c r="L347">
        <f ca="1">IFERROR(SEARCH(INDIRECT(CELL("address")),DBTXEQ!H346),0)</f>
        <v>0</v>
      </c>
    </row>
    <row r="348" spans="6:12">
      <c r="F348" s="17" t="str">
        <f ca="1">IFERROR(INDEX(DBRANEQ!$H$10:$H$500,MATCH(ROW(E338),$G$11:$G$500,0)),"")</f>
        <v/>
      </c>
      <c r="G348" s="17" t="str">
        <f ca="1">IF(H348=0,"",COUNTIF($H$11:H348,"&gt;0"))</f>
        <v/>
      </c>
      <c r="H348" s="17">
        <f ca="1">IFERROR(SEARCH(INDIRECT(CELL("address")),DBRANEQ!H347),0)</f>
        <v>0</v>
      </c>
      <c r="J348" t="str">
        <f ca="1">IFERROR(INDEX(DBTXEQ!$H$10:$H$500,MATCH(ROW(I338),$K$11:$K$500,0)),"")</f>
        <v/>
      </c>
      <c r="K348" t="str">
        <f ca="1">IF(L348=0,"",COUNTIF($L$11:L348,"&gt;0"))</f>
        <v/>
      </c>
      <c r="L348">
        <f ca="1">IFERROR(SEARCH(INDIRECT(CELL("address")),DBTXEQ!H347),0)</f>
        <v>0</v>
      </c>
    </row>
    <row r="349" spans="6:12">
      <c r="F349" s="17" t="str">
        <f ca="1">IFERROR(INDEX(DBRANEQ!$H$10:$H$500,MATCH(ROW(E339),$G$11:$G$500,0)),"")</f>
        <v/>
      </c>
      <c r="G349" s="17" t="str">
        <f ca="1">IF(H349=0,"",COUNTIF($H$11:H349,"&gt;0"))</f>
        <v/>
      </c>
      <c r="H349" s="17">
        <f ca="1">IFERROR(SEARCH(INDIRECT(CELL("address")),DBRANEQ!H348),0)</f>
        <v>0</v>
      </c>
      <c r="J349" t="str">
        <f ca="1">IFERROR(INDEX(DBTXEQ!$H$10:$H$500,MATCH(ROW(I339),$K$11:$K$500,0)),"")</f>
        <v/>
      </c>
      <c r="K349" t="str">
        <f ca="1">IF(L349=0,"",COUNTIF($L$11:L349,"&gt;0"))</f>
        <v/>
      </c>
      <c r="L349">
        <f ca="1">IFERROR(SEARCH(INDIRECT(CELL("address")),DBTXEQ!H348),0)</f>
        <v>0</v>
      </c>
    </row>
    <row r="350" spans="6:12">
      <c r="F350" s="17" t="str">
        <f ca="1">IFERROR(INDEX(DBRANEQ!$H$10:$H$500,MATCH(ROW(E340),$G$11:$G$500,0)),"")</f>
        <v/>
      </c>
      <c r="G350" s="17" t="str">
        <f ca="1">IF(H350=0,"",COUNTIF($H$11:H350,"&gt;0"))</f>
        <v/>
      </c>
      <c r="H350" s="17">
        <f ca="1">IFERROR(SEARCH(INDIRECT(CELL("address")),DBRANEQ!H349),0)</f>
        <v>0</v>
      </c>
      <c r="J350" t="str">
        <f ca="1">IFERROR(INDEX(DBTXEQ!$H$10:$H$500,MATCH(ROW(I340),$K$11:$K$500,0)),"")</f>
        <v/>
      </c>
      <c r="K350" t="str">
        <f ca="1">IF(L350=0,"",COUNTIF($L$11:L350,"&gt;0"))</f>
        <v/>
      </c>
      <c r="L350">
        <f ca="1">IFERROR(SEARCH(INDIRECT(CELL("address")),DBTXEQ!H349),0)</f>
        <v>0</v>
      </c>
    </row>
    <row r="351" spans="6:12">
      <c r="F351" s="17" t="str">
        <f ca="1">IFERROR(INDEX(DBRANEQ!$H$10:$H$500,MATCH(ROW(E341),$G$11:$G$500,0)),"")</f>
        <v/>
      </c>
      <c r="G351" s="17" t="str">
        <f ca="1">IF(H351=0,"",COUNTIF($H$11:H351,"&gt;0"))</f>
        <v/>
      </c>
      <c r="H351" s="17">
        <f ca="1">IFERROR(SEARCH(INDIRECT(CELL("address")),DBRANEQ!H350),0)</f>
        <v>0</v>
      </c>
      <c r="J351" t="str">
        <f ca="1">IFERROR(INDEX(DBTXEQ!$H$10:$H$500,MATCH(ROW(I341),$K$11:$K$500,0)),"")</f>
        <v/>
      </c>
      <c r="K351" t="str">
        <f ca="1">IF(L351=0,"",COUNTIF($L$11:L351,"&gt;0"))</f>
        <v/>
      </c>
      <c r="L351">
        <f ca="1">IFERROR(SEARCH(INDIRECT(CELL("address")),DBTXEQ!H350),0)</f>
        <v>0</v>
      </c>
    </row>
    <row r="352" spans="6:12">
      <c r="F352" s="17" t="str">
        <f ca="1">IFERROR(INDEX(DBRANEQ!$H$10:$H$500,MATCH(ROW(E342),$G$11:$G$500,0)),"")</f>
        <v/>
      </c>
      <c r="G352" s="17" t="str">
        <f ca="1">IF(H352=0,"",COUNTIF($H$11:H352,"&gt;0"))</f>
        <v/>
      </c>
      <c r="H352" s="17">
        <f ca="1">IFERROR(SEARCH(INDIRECT(CELL("address")),DBRANEQ!H351),0)</f>
        <v>0</v>
      </c>
      <c r="J352" t="str">
        <f ca="1">IFERROR(INDEX(DBTXEQ!$H$10:$H$500,MATCH(ROW(I342),$K$11:$K$500,0)),"")</f>
        <v/>
      </c>
      <c r="K352" t="str">
        <f ca="1">IF(L352=0,"",COUNTIF($L$11:L352,"&gt;0"))</f>
        <v/>
      </c>
      <c r="L352">
        <f ca="1">IFERROR(SEARCH(INDIRECT(CELL("address")),DBTXEQ!H351),0)</f>
        <v>0</v>
      </c>
    </row>
    <row r="353" spans="6:12">
      <c r="F353" s="17" t="str">
        <f ca="1">IFERROR(INDEX(DBRANEQ!$H$10:$H$500,MATCH(ROW(E343),$G$11:$G$500,0)),"")</f>
        <v/>
      </c>
      <c r="G353" s="17" t="str">
        <f ca="1">IF(H353=0,"",COUNTIF($H$11:H353,"&gt;0"))</f>
        <v/>
      </c>
      <c r="H353" s="17">
        <f ca="1">IFERROR(SEARCH(INDIRECT(CELL("address")),DBRANEQ!H352),0)</f>
        <v>0</v>
      </c>
      <c r="J353" t="str">
        <f ca="1">IFERROR(INDEX(DBTXEQ!$H$10:$H$500,MATCH(ROW(I343),$K$11:$K$500,0)),"")</f>
        <v/>
      </c>
      <c r="K353" t="str">
        <f ca="1">IF(L353=0,"",COUNTIF($L$11:L353,"&gt;0"))</f>
        <v/>
      </c>
      <c r="L353">
        <f ca="1">IFERROR(SEARCH(INDIRECT(CELL("address")),DBTXEQ!H352),0)</f>
        <v>0</v>
      </c>
    </row>
    <row r="354" spans="6:12">
      <c r="F354" s="17" t="str">
        <f ca="1">IFERROR(INDEX(DBRANEQ!$H$10:$H$500,MATCH(ROW(E344),$G$11:$G$500,0)),"")</f>
        <v/>
      </c>
      <c r="G354" s="17" t="str">
        <f ca="1">IF(H354=0,"",COUNTIF($H$11:H354,"&gt;0"))</f>
        <v/>
      </c>
      <c r="H354" s="17">
        <f ca="1">IFERROR(SEARCH(INDIRECT(CELL("address")),DBRANEQ!H353),0)</f>
        <v>0</v>
      </c>
      <c r="J354" t="str">
        <f ca="1">IFERROR(INDEX(DBTXEQ!$H$10:$H$500,MATCH(ROW(I344),$K$11:$K$500,0)),"")</f>
        <v/>
      </c>
      <c r="K354" t="str">
        <f ca="1">IF(L354=0,"",COUNTIF($L$11:L354,"&gt;0"))</f>
        <v/>
      </c>
      <c r="L354">
        <f ca="1">IFERROR(SEARCH(INDIRECT(CELL("address")),DBTXEQ!H353),0)</f>
        <v>0</v>
      </c>
    </row>
    <row r="355" spans="6:12">
      <c r="F355" s="17" t="str">
        <f ca="1">IFERROR(INDEX(DBRANEQ!$H$10:$H$500,MATCH(ROW(E345),$G$11:$G$500,0)),"")</f>
        <v/>
      </c>
      <c r="G355" s="17" t="str">
        <f ca="1">IF(H355=0,"",COUNTIF($H$11:H355,"&gt;0"))</f>
        <v/>
      </c>
      <c r="H355" s="17">
        <f ca="1">IFERROR(SEARCH(INDIRECT(CELL("address")),DBRANEQ!H354),0)</f>
        <v>0</v>
      </c>
      <c r="J355" t="str">
        <f ca="1">IFERROR(INDEX(DBTXEQ!$H$10:$H$500,MATCH(ROW(I345),$K$11:$K$500,0)),"")</f>
        <v/>
      </c>
      <c r="K355" t="str">
        <f ca="1">IF(L355=0,"",COUNTIF($L$11:L355,"&gt;0"))</f>
        <v/>
      </c>
      <c r="L355">
        <f ca="1">IFERROR(SEARCH(INDIRECT(CELL("address")),DBTXEQ!H354),0)</f>
        <v>0</v>
      </c>
    </row>
    <row r="356" spans="6:12">
      <c r="F356" s="17" t="str">
        <f ca="1">IFERROR(INDEX(DBRANEQ!$H$10:$H$500,MATCH(ROW(E346),$G$11:$G$500,0)),"")</f>
        <v/>
      </c>
      <c r="G356" s="17" t="str">
        <f ca="1">IF(H356=0,"",COUNTIF($H$11:H356,"&gt;0"))</f>
        <v/>
      </c>
      <c r="H356" s="17">
        <f ca="1">IFERROR(SEARCH(INDIRECT(CELL("address")),DBRANEQ!H355),0)</f>
        <v>0</v>
      </c>
      <c r="J356" t="str">
        <f ca="1">IFERROR(INDEX(DBTXEQ!$H$10:$H$500,MATCH(ROW(I346),$K$11:$K$500,0)),"")</f>
        <v/>
      </c>
      <c r="K356" t="str">
        <f ca="1">IF(L356=0,"",COUNTIF($L$11:L356,"&gt;0"))</f>
        <v/>
      </c>
      <c r="L356">
        <f ca="1">IFERROR(SEARCH(INDIRECT(CELL("address")),DBTXEQ!H355),0)</f>
        <v>0</v>
      </c>
    </row>
    <row r="357" spans="6:12">
      <c r="F357" s="17" t="str">
        <f ca="1">IFERROR(INDEX(DBRANEQ!$H$10:$H$500,MATCH(ROW(E347),$G$11:$G$500,0)),"")</f>
        <v/>
      </c>
      <c r="G357" s="17" t="str">
        <f ca="1">IF(H357=0,"",COUNTIF($H$11:H357,"&gt;0"))</f>
        <v/>
      </c>
      <c r="H357" s="17">
        <f ca="1">IFERROR(SEARCH(INDIRECT(CELL("address")),DBRANEQ!H356),0)</f>
        <v>0</v>
      </c>
      <c r="J357" t="str">
        <f ca="1">IFERROR(INDEX(DBTXEQ!$H$10:$H$500,MATCH(ROW(I347),$K$11:$K$500,0)),"")</f>
        <v/>
      </c>
      <c r="K357" t="str">
        <f ca="1">IF(L357=0,"",COUNTIF($L$11:L357,"&gt;0"))</f>
        <v/>
      </c>
      <c r="L357">
        <f ca="1">IFERROR(SEARCH(INDIRECT(CELL("address")),DBTXEQ!H356),0)</f>
        <v>0</v>
      </c>
    </row>
    <row r="358" spans="6:12">
      <c r="F358" s="17" t="str">
        <f ca="1">IFERROR(INDEX(DBRANEQ!$H$10:$H$500,MATCH(ROW(E348),$G$11:$G$500,0)),"")</f>
        <v/>
      </c>
      <c r="G358" s="17" t="str">
        <f ca="1">IF(H358=0,"",COUNTIF($H$11:H358,"&gt;0"))</f>
        <v/>
      </c>
      <c r="H358" s="17">
        <f ca="1">IFERROR(SEARCH(INDIRECT(CELL("address")),DBRANEQ!H357),0)</f>
        <v>0</v>
      </c>
      <c r="J358" t="str">
        <f ca="1">IFERROR(INDEX(DBTXEQ!$H$10:$H$500,MATCH(ROW(I348),$K$11:$K$500,0)),"")</f>
        <v/>
      </c>
      <c r="K358" t="str">
        <f ca="1">IF(L358=0,"",COUNTIF($L$11:L358,"&gt;0"))</f>
        <v/>
      </c>
      <c r="L358">
        <f ca="1">IFERROR(SEARCH(INDIRECT(CELL("address")),DBTXEQ!H357),0)</f>
        <v>0</v>
      </c>
    </row>
    <row r="359" spans="6:12">
      <c r="F359" s="17" t="str">
        <f ca="1">IFERROR(INDEX(DBRANEQ!$H$10:$H$500,MATCH(ROW(E349),$G$11:$G$500,0)),"")</f>
        <v/>
      </c>
      <c r="G359" s="17" t="str">
        <f ca="1">IF(H359=0,"",COUNTIF($H$11:H359,"&gt;0"))</f>
        <v/>
      </c>
      <c r="H359" s="17">
        <f ca="1">IFERROR(SEARCH(INDIRECT(CELL("address")),DBRANEQ!H358),0)</f>
        <v>0</v>
      </c>
      <c r="J359" t="str">
        <f ca="1">IFERROR(INDEX(DBTXEQ!$H$10:$H$500,MATCH(ROW(I349),$K$11:$K$500,0)),"")</f>
        <v/>
      </c>
      <c r="K359" t="str">
        <f ca="1">IF(L359=0,"",COUNTIF($L$11:L359,"&gt;0"))</f>
        <v/>
      </c>
      <c r="L359">
        <f ca="1">IFERROR(SEARCH(INDIRECT(CELL("address")),DBTXEQ!H358),0)</f>
        <v>0</v>
      </c>
    </row>
    <row r="360" spans="6:12">
      <c r="F360" s="17" t="str">
        <f ca="1">IFERROR(INDEX(DBRANEQ!$H$10:$H$500,MATCH(ROW(E350),$G$11:$G$500,0)),"")</f>
        <v/>
      </c>
      <c r="G360" s="17" t="str">
        <f ca="1">IF(H360=0,"",COUNTIF($H$11:H360,"&gt;0"))</f>
        <v/>
      </c>
      <c r="H360" s="17">
        <f ca="1">IFERROR(SEARCH(INDIRECT(CELL("address")),DBRANEQ!H359),0)</f>
        <v>0</v>
      </c>
      <c r="J360" t="str">
        <f ca="1">IFERROR(INDEX(DBTXEQ!$H$10:$H$500,MATCH(ROW(I350),$K$11:$K$500,0)),"")</f>
        <v/>
      </c>
      <c r="K360" t="str">
        <f ca="1">IF(L360=0,"",COUNTIF($L$11:L360,"&gt;0"))</f>
        <v/>
      </c>
      <c r="L360">
        <f ca="1">IFERROR(SEARCH(INDIRECT(CELL("address")),DBTXEQ!H359),0)</f>
        <v>0</v>
      </c>
    </row>
    <row r="361" spans="6:12">
      <c r="F361" s="17" t="str">
        <f ca="1">IFERROR(INDEX(DBRANEQ!$H$10:$H$500,MATCH(ROW(E351),$G$11:$G$500,0)),"")</f>
        <v/>
      </c>
      <c r="G361" s="17" t="str">
        <f ca="1">IF(H361=0,"",COUNTIF($H$11:H361,"&gt;0"))</f>
        <v/>
      </c>
      <c r="H361" s="17">
        <f ca="1">IFERROR(SEARCH(INDIRECT(CELL("address")),DBRANEQ!H360),0)</f>
        <v>0</v>
      </c>
      <c r="J361" t="str">
        <f ca="1">IFERROR(INDEX(DBTXEQ!$H$10:$H$500,MATCH(ROW(I351),$K$11:$K$500,0)),"")</f>
        <v/>
      </c>
      <c r="K361" t="str">
        <f ca="1">IF(L361=0,"",COUNTIF($L$11:L361,"&gt;0"))</f>
        <v/>
      </c>
      <c r="L361">
        <f ca="1">IFERROR(SEARCH(INDIRECT(CELL("address")),DBTXEQ!H360),0)</f>
        <v>0</v>
      </c>
    </row>
    <row r="362" spans="6:12">
      <c r="F362" s="17" t="str">
        <f ca="1">IFERROR(INDEX(DBRANEQ!$H$10:$H$500,MATCH(ROW(E352),$G$11:$G$500,0)),"")</f>
        <v/>
      </c>
      <c r="G362" s="17" t="str">
        <f ca="1">IF(H362=0,"",COUNTIF($H$11:H362,"&gt;0"))</f>
        <v/>
      </c>
      <c r="H362" s="17">
        <f ca="1">IFERROR(SEARCH(INDIRECT(CELL("address")),DBRANEQ!H361),0)</f>
        <v>0</v>
      </c>
      <c r="J362" t="str">
        <f ca="1">IFERROR(INDEX(DBTXEQ!$H$10:$H$500,MATCH(ROW(I352),$K$11:$K$500,0)),"")</f>
        <v/>
      </c>
      <c r="K362" t="str">
        <f ca="1">IF(L362=0,"",COUNTIF($L$11:L362,"&gt;0"))</f>
        <v/>
      </c>
      <c r="L362">
        <f ca="1">IFERROR(SEARCH(INDIRECT(CELL("address")),DBTXEQ!H361),0)</f>
        <v>0</v>
      </c>
    </row>
    <row r="363" spans="6:12">
      <c r="F363" s="17" t="str">
        <f ca="1">IFERROR(INDEX(DBRANEQ!$H$10:$H$500,MATCH(ROW(E353),$G$11:$G$500,0)),"")</f>
        <v/>
      </c>
      <c r="G363" s="17" t="str">
        <f ca="1">IF(H363=0,"",COUNTIF($H$11:H363,"&gt;0"))</f>
        <v/>
      </c>
      <c r="H363" s="17">
        <f ca="1">IFERROR(SEARCH(INDIRECT(CELL("address")),DBRANEQ!H362),0)</f>
        <v>0</v>
      </c>
      <c r="J363" t="str">
        <f ca="1">IFERROR(INDEX(DBTXEQ!$H$10:$H$500,MATCH(ROW(I353),$K$11:$K$500,0)),"")</f>
        <v/>
      </c>
      <c r="K363" t="str">
        <f ca="1">IF(L363=0,"",COUNTIF($L$11:L363,"&gt;0"))</f>
        <v/>
      </c>
      <c r="L363">
        <f ca="1">IFERROR(SEARCH(INDIRECT(CELL("address")),DBTXEQ!H362),0)</f>
        <v>0</v>
      </c>
    </row>
    <row r="364" spans="6:12">
      <c r="F364" s="17" t="str">
        <f ca="1">IFERROR(INDEX(DBRANEQ!$H$10:$H$500,MATCH(ROW(E354),$G$11:$G$500,0)),"")</f>
        <v/>
      </c>
      <c r="G364" s="17" t="str">
        <f ca="1">IF(H364=0,"",COUNTIF($H$11:H364,"&gt;0"))</f>
        <v/>
      </c>
      <c r="H364" s="17">
        <f ca="1">IFERROR(SEARCH(INDIRECT(CELL("address")),DBRANEQ!H363),0)</f>
        <v>0</v>
      </c>
      <c r="J364" t="str">
        <f ca="1">IFERROR(INDEX(DBTXEQ!$H$10:$H$500,MATCH(ROW(I354),$K$11:$K$500,0)),"")</f>
        <v/>
      </c>
      <c r="K364" t="str">
        <f ca="1">IF(L364=0,"",COUNTIF($L$11:L364,"&gt;0"))</f>
        <v/>
      </c>
      <c r="L364">
        <f ca="1">IFERROR(SEARCH(INDIRECT(CELL("address")),DBTXEQ!H363),0)</f>
        <v>0</v>
      </c>
    </row>
    <row r="365" spans="6:12">
      <c r="F365" s="17" t="str">
        <f ca="1">IFERROR(INDEX(DBRANEQ!$H$10:$H$500,MATCH(ROW(E355),$G$11:$G$500,0)),"")</f>
        <v/>
      </c>
      <c r="G365" s="17" t="str">
        <f ca="1">IF(H365=0,"",COUNTIF($H$11:H365,"&gt;0"))</f>
        <v/>
      </c>
      <c r="H365" s="17">
        <f ca="1">IFERROR(SEARCH(INDIRECT(CELL("address")),DBRANEQ!H364),0)</f>
        <v>0</v>
      </c>
      <c r="J365" t="str">
        <f ca="1">IFERROR(INDEX(DBTXEQ!$H$10:$H$500,MATCH(ROW(I355),$K$11:$K$500,0)),"")</f>
        <v/>
      </c>
      <c r="K365" t="str">
        <f ca="1">IF(L365=0,"",COUNTIF($L$11:L365,"&gt;0"))</f>
        <v/>
      </c>
      <c r="L365">
        <f ca="1">IFERROR(SEARCH(INDIRECT(CELL("address")),DBTXEQ!H364),0)</f>
        <v>0</v>
      </c>
    </row>
    <row r="366" spans="6:12">
      <c r="F366" s="17" t="str">
        <f ca="1">IFERROR(INDEX(DBRANEQ!$H$10:$H$500,MATCH(ROW(E356),$G$11:$G$500,0)),"")</f>
        <v/>
      </c>
      <c r="G366" s="17" t="str">
        <f ca="1">IF(H366=0,"",COUNTIF($H$11:H366,"&gt;0"))</f>
        <v/>
      </c>
      <c r="H366" s="17">
        <f ca="1">IFERROR(SEARCH(INDIRECT(CELL("address")),DBRANEQ!H365),0)</f>
        <v>0</v>
      </c>
      <c r="J366" t="str">
        <f ca="1">IFERROR(INDEX(DBTXEQ!$H$10:$H$500,MATCH(ROW(I356),$K$11:$K$500,0)),"")</f>
        <v/>
      </c>
      <c r="K366" t="str">
        <f ca="1">IF(L366=0,"",COUNTIF($L$11:L366,"&gt;0"))</f>
        <v/>
      </c>
      <c r="L366">
        <f ca="1">IFERROR(SEARCH(INDIRECT(CELL("address")),DBTXEQ!H365),0)</f>
        <v>0</v>
      </c>
    </row>
    <row r="367" spans="6:12">
      <c r="F367" s="17" t="str">
        <f ca="1">IFERROR(INDEX(DBRANEQ!$H$10:$H$500,MATCH(ROW(E357),$G$11:$G$500,0)),"")</f>
        <v/>
      </c>
      <c r="G367" s="17" t="str">
        <f ca="1">IF(H367=0,"",COUNTIF($H$11:H367,"&gt;0"))</f>
        <v/>
      </c>
      <c r="H367" s="17">
        <f ca="1">IFERROR(SEARCH(INDIRECT(CELL("address")),DBRANEQ!H366),0)</f>
        <v>0</v>
      </c>
      <c r="J367" t="str">
        <f ca="1">IFERROR(INDEX(DBTXEQ!$H$10:$H$500,MATCH(ROW(I357),$K$11:$K$500,0)),"")</f>
        <v/>
      </c>
      <c r="K367" t="str">
        <f ca="1">IF(L367=0,"",COUNTIF($L$11:L367,"&gt;0"))</f>
        <v/>
      </c>
      <c r="L367">
        <f ca="1">IFERROR(SEARCH(INDIRECT(CELL("address")),DBTXEQ!H366),0)</f>
        <v>0</v>
      </c>
    </row>
    <row r="368" spans="6:12">
      <c r="F368" s="17" t="str">
        <f ca="1">IFERROR(INDEX(DBRANEQ!$H$10:$H$500,MATCH(ROW(E358),$G$11:$G$500,0)),"")</f>
        <v/>
      </c>
      <c r="G368" s="17" t="str">
        <f ca="1">IF(H368=0,"",COUNTIF($H$11:H368,"&gt;0"))</f>
        <v/>
      </c>
      <c r="H368" s="17">
        <f ca="1">IFERROR(SEARCH(INDIRECT(CELL("address")),DBRANEQ!H367),0)</f>
        <v>0</v>
      </c>
      <c r="J368" t="str">
        <f ca="1">IFERROR(INDEX(DBTXEQ!$H$10:$H$500,MATCH(ROW(I358),$K$11:$K$500,0)),"")</f>
        <v/>
      </c>
      <c r="K368" t="str">
        <f ca="1">IF(L368=0,"",COUNTIF($L$11:L368,"&gt;0"))</f>
        <v/>
      </c>
      <c r="L368">
        <f ca="1">IFERROR(SEARCH(INDIRECT(CELL("address")),DBTXEQ!H367),0)</f>
        <v>0</v>
      </c>
    </row>
    <row r="369" spans="6:12">
      <c r="F369" s="17" t="str">
        <f ca="1">IFERROR(INDEX(DBRANEQ!$H$10:$H$500,MATCH(ROW(E359),$G$11:$G$500,0)),"")</f>
        <v/>
      </c>
      <c r="G369" s="17" t="str">
        <f ca="1">IF(H369=0,"",COUNTIF($H$11:H369,"&gt;0"))</f>
        <v/>
      </c>
      <c r="H369" s="17">
        <f ca="1">IFERROR(SEARCH(INDIRECT(CELL("address")),DBRANEQ!H368),0)</f>
        <v>0</v>
      </c>
      <c r="J369" t="str">
        <f ca="1">IFERROR(INDEX(DBTXEQ!$H$10:$H$500,MATCH(ROW(I359),$K$11:$K$500,0)),"")</f>
        <v/>
      </c>
      <c r="K369" t="str">
        <f ca="1">IF(L369=0,"",COUNTIF($L$11:L369,"&gt;0"))</f>
        <v/>
      </c>
      <c r="L369">
        <f ca="1">IFERROR(SEARCH(INDIRECT(CELL("address")),DBTXEQ!H368),0)</f>
        <v>0</v>
      </c>
    </row>
    <row r="370" spans="6:12">
      <c r="F370" s="17" t="str">
        <f ca="1">IFERROR(INDEX(DBRANEQ!$H$10:$H$500,MATCH(ROW(E360),$G$11:$G$500,0)),"")</f>
        <v/>
      </c>
      <c r="G370" s="17" t="str">
        <f ca="1">IF(H370=0,"",COUNTIF($H$11:H370,"&gt;0"))</f>
        <v/>
      </c>
      <c r="H370" s="17">
        <f ca="1">IFERROR(SEARCH(INDIRECT(CELL("address")),DBRANEQ!H369),0)</f>
        <v>0</v>
      </c>
      <c r="J370" t="str">
        <f ca="1">IFERROR(INDEX(DBTXEQ!$H$10:$H$500,MATCH(ROW(I360),$K$11:$K$500,0)),"")</f>
        <v/>
      </c>
      <c r="K370" t="str">
        <f ca="1">IF(L370=0,"",COUNTIF($L$11:L370,"&gt;0"))</f>
        <v/>
      </c>
      <c r="L370">
        <f ca="1">IFERROR(SEARCH(INDIRECT(CELL("address")),DBTXEQ!H369),0)</f>
        <v>0</v>
      </c>
    </row>
    <row r="371" spans="6:12">
      <c r="F371" s="17" t="str">
        <f ca="1">IFERROR(INDEX(DBRANEQ!$H$10:$H$500,MATCH(ROW(E361),$G$11:$G$500,0)),"")</f>
        <v/>
      </c>
      <c r="G371" s="17" t="str">
        <f ca="1">IF(H371=0,"",COUNTIF($H$11:H371,"&gt;0"))</f>
        <v/>
      </c>
      <c r="H371" s="17">
        <f ca="1">IFERROR(SEARCH(INDIRECT(CELL("address")),DBRANEQ!H370),0)</f>
        <v>0</v>
      </c>
      <c r="J371" t="str">
        <f ca="1">IFERROR(INDEX(DBTXEQ!$H$10:$H$500,MATCH(ROW(I361),$K$11:$K$500,0)),"")</f>
        <v/>
      </c>
      <c r="K371" t="str">
        <f ca="1">IF(L371=0,"",COUNTIF($L$11:L371,"&gt;0"))</f>
        <v/>
      </c>
      <c r="L371">
        <f ca="1">IFERROR(SEARCH(INDIRECT(CELL("address")),DBTXEQ!H370),0)</f>
        <v>0</v>
      </c>
    </row>
    <row r="372" spans="6:12">
      <c r="F372" s="17" t="str">
        <f ca="1">IFERROR(INDEX(DBRANEQ!$H$10:$H$500,MATCH(ROW(E362),$G$11:$G$500,0)),"")</f>
        <v/>
      </c>
      <c r="G372" s="17" t="str">
        <f ca="1">IF(H372=0,"",COUNTIF($H$11:H372,"&gt;0"))</f>
        <v/>
      </c>
      <c r="H372" s="17">
        <f ca="1">IFERROR(SEARCH(INDIRECT(CELL("address")),DBRANEQ!H371),0)</f>
        <v>0</v>
      </c>
      <c r="J372" t="str">
        <f ca="1">IFERROR(INDEX(DBTXEQ!$H$10:$H$500,MATCH(ROW(I362),$K$11:$K$500,0)),"")</f>
        <v/>
      </c>
      <c r="K372" t="str">
        <f ca="1">IF(L372=0,"",COUNTIF($L$11:L372,"&gt;0"))</f>
        <v/>
      </c>
      <c r="L372">
        <f ca="1">IFERROR(SEARCH(INDIRECT(CELL("address")),DBTXEQ!H371),0)</f>
        <v>0</v>
      </c>
    </row>
    <row r="373" spans="6:12">
      <c r="F373" s="17" t="str">
        <f ca="1">IFERROR(INDEX(DBRANEQ!$H$10:$H$500,MATCH(ROW(E363),$G$11:$G$500,0)),"")</f>
        <v/>
      </c>
      <c r="G373" s="17" t="str">
        <f ca="1">IF(H373=0,"",COUNTIF($H$11:H373,"&gt;0"))</f>
        <v/>
      </c>
      <c r="H373" s="17">
        <f ca="1">IFERROR(SEARCH(INDIRECT(CELL("address")),DBRANEQ!H372),0)</f>
        <v>0</v>
      </c>
      <c r="J373" t="str">
        <f ca="1">IFERROR(INDEX(DBTXEQ!$H$10:$H$500,MATCH(ROW(I363),$K$11:$K$500,0)),"")</f>
        <v/>
      </c>
      <c r="K373" t="str">
        <f ca="1">IF(L373=0,"",COUNTIF($L$11:L373,"&gt;0"))</f>
        <v/>
      </c>
      <c r="L373">
        <f ca="1">IFERROR(SEARCH(INDIRECT(CELL("address")),DBTXEQ!H372),0)</f>
        <v>0</v>
      </c>
    </row>
    <row r="374" spans="6:12">
      <c r="F374" s="17" t="str">
        <f ca="1">IFERROR(INDEX(DBRANEQ!$H$10:$H$500,MATCH(ROW(E364),$G$11:$G$500,0)),"")</f>
        <v/>
      </c>
      <c r="G374" s="17" t="str">
        <f ca="1">IF(H374=0,"",COUNTIF($H$11:H374,"&gt;0"))</f>
        <v/>
      </c>
      <c r="H374" s="17">
        <f ca="1">IFERROR(SEARCH(INDIRECT(CELL("address")),DBRANEQ!H373),0)</f>
        <v>0</v>
      </c>
      <c r="J374" t="str">
        <f ca="1">IFERROR(INDEX(DBTXEQ!$H$10:$H$500,MATCH(ROW(I364),$K$11:$K$500,0)),"")</f>
        <v/>
      </c>
      <c r="K374" t="str">
        <f ca="1">IF(L374=0,"",COUNTIF($L$11:L374,"&gt;0"))</f>
        <v/>
      </c>
      <c r="L374">
        <f ca="1">IFERROR(SEARCH(INDIRECT(CELL("address")),DBTXEQ!H373),0)</f>
        <v>0</v>
      </c>
    </row>
    <row r="375" spans="6:12">
      <c r="F375" s="17" t="str">
        <f ca="1">IFERROR(INDEX(DBRANEQ!$H$10:$H$500,MATCH(ROW(E365),$G$11:$G$500,0)),"")</f>
        <v/>
      </c>
      <c r="G375" s="17" t="str">
        <f ca="1">IF(H375=0,"",COUNTIF($H$11:H375,"&gt;0"))</f>
        <v/>
      </c>
      <c r="H375" s="17">
        <f ca="1">IFERROR(SEARCH(INDIRECT(CELL("address")),DBRANEQ!H374),0)</f>
        <v>0</v>
      </c>
      <c r="J375" t="str">
        <f ca="1">IFERROR(INDEX(DBTXEQ!$H$10:$H$500,MATCH(ROW(I365),$K$11:$K$500,0)),"")</f>
        <v/>
      </c>
      <c r="K375" t="str">
        <f ca="1">IF(L375=0,"",COUNTIF($L$11:L375,"&gt;0"))</f>
        <v/>
      </c>
      <c r="L375">
        <f ca="1">IFERROR(SEARCH(INDIRECT(CELL("address")),DBTXEQ!H374),0)</f>
        <v>0</v>
      </c>
    </row>
    <row r="376" spans="6:12">
      <c r="F376" s="17" t="str">
        <f ca="1">IFERROR(INDEX(DBRANEQ!$H$10:$H$500,MATCH(ROW(E366),$G$11:$G$500,0)),"")</f>
        <v/>
      </c>
      <c r="G376" s="17" t="str">
        <f ca="1">IF(H376=0,"",COUNTIF($H$11:H376,"&gt;0"))</f>
        <v/>
      </c>
      <c r="H376" s="17">
        <f ca="1">IFERROR(SEARCH(INDIRECT(CELL("address")),DBRANEQ!H375),0)</f>
        <v>0</v>
      </c>
      <c r="J376" t="str">
        <f ca="1">IFERROR(INDEX(DBTXEQ!$H$10:$H$500,MATCH(ROW(I366),$K$11:$K$500,0)),"")</f>
        <v/>
      </c>
      <c r="K376" t="str">
        <f ca="1">IF(L376=0,"",COUNTIF($L$11:L376,"&gt;0"))</f>
        <v/>
      </c>
      <c r="L376">
        <f ca="1">IFERROR(SEARCH(INDIRECT(CELL("address")),DBTXEQ!H375),0)</f>
        <v>0</v>
      </c>
    </row>
    <row r="377" spans="6:12">
      <c r="F377" s="17" t="str">
        <f ca="1">IFERROR(INDEX(DBRANEQ!$H$10:$H$500,MATCH(ROW(E367),$G$11:$G$500,0)),"")</f>
        <v/>
      </c>
      <c r="G377" s="17" t="str">
        <f ca="1">IF(H377=0,"",COUNTIF($H$11:H377,"&gt;0"))</f>
        <v/>
      </c>
      <c r="H377" s="17">
        <f ca="1">IFERROR(SEARCH(INDIRECT(CELL("address")),DBRANEQ!H376),0)</f>
        <v>0</v>
      </c>
      <c r="J377" t="str">
        <f ca="1">IFERROR(INDEX(DBTXEQ!$H$10:$H$500,MATCH(ROW(I367),$K$11:$K$500,0)),"")</f>
        <v/>
      </c>
      <c r="K377" t="str">
        <f ca="1">IF(L377=0,"",COUNTIF($L$11:L377,"&gt;0"))</f>
        <v/>
      </c>
      <c r="L377">
        <f ca="1">IFERROR(SEARCH(INDIRECT(CELL("address")),DBTXEQ!H376),0)</f>
        <v>0</v>
      </c>
    </row>
    <row r="378" spans="6:12">
      <c r="F378" s="17" t="str">
        <f ca="1">IFERROR(INDEX(DBRANEQ!$H$10:$H$500,MATCH(ROW(E368),$G$11:$G$500,0)),"")</f>
        <v/>
      </c>
      <c r="G378" s="17" t="str">
        <f ca="1">IF(H378=0,"",COUNTIF($H$11:H378,"&gt;0"))</f>
        <v/>
      </c>
      <c r="H378" s="17">
        <f ca="1">IFERROR(SEARCH(INDIRECT(CELL("address")),DBRANEQ!H377),0)</f>
        <v>0</v>
      </c>
      <c r="J378" t="str">
        <f ca="1">IFERROR(INDEX(DBTXEQ!$H$10:$H$500,MATCH(ROW(I368),$K$11:$K$500,0)),"")</f>
        <v/>
      </c>
      <c r="K378" t="str">
        <f ca="1">IF(L378=0,"",COUNTIF($L$11:L378,"&gt;0"))</f>
        <v/>
      </c>
      <c r="L378">
        <f ca="1">IFERROR(SEARCH(INDIRECT(CELL("address")),DBTXEQ!H377),0)</f>
        <v>0</v>
      </c>
    </row>
    <row r="379" spans="6:12">
      <c r="F379" s="17" t="str">
        <f ca="1">IFERROR(INDEX(DBRANEQ!$H$10:$H$500,MATCH(ROW(E369),$G$11:$G$500,0)),"")</f>
        <v/>
      </c>
      <c r="G379" s="17" t="str">
        <f ca="1">IF(H379=0,"",COUNTIF($H$11:H379,"&gt;0"))</f>
        <v/>
      </c>
      <c r="H379" s="17">
        <f ca="1">IFERROR(SEARCH(INDIRECT(CELL("address")),DBRANEQ!H378),0)</f>
        <v>0</v>
      </c>
      <c r="J379" t="str">
        <f ca="1">IFERROR(INDEX(DBTXEQ!$H$10:$H$500,MATCH(ROW(I369),$K$11:$K$500,0)),"")</f>
        <v/>
      </c>
      <c r="K379" t="str">
        <f ca="1">IF(L379=0,"",COUNTIF($L$11:L379,"&gt;0"))</f>
        <v/>
      </c>
      <c r="L379">
        <f ca="1">IFERROR(SEARCH(INDIRECT(CELL("address")),DBTXEQ!H378),0)</f>
        <v>0</v>
      </c>
    </row>
    <row r="380" spans="6:12">
      <c r="F380" s="17" t="str">
        <f ca="1">IFERROR(INDEX(DBRANEQ!$H$10:$H$500,MATCH(ROW(E370),$G$11:$G$500,0)),"")</f>
        <v/>
      </c>
      <c r="G380" s="17" t="str">
        <f ca="1">IF(H380=0,"",COUNTIF($H$11:H380,"&gt;0"))</f>
        <v/>
      </c>
      <c r="H380" s="17">
        <f ca="1">IFERROR(SEARCH(INDIRECT(CELL("address")),DBRANEQ!H379),0)</f>
        <v>0</v>
      </c>
      <c r="J380" t="str">
        <f ca="1">IFERROR(INDEX(DBTXEQ!$H$10:$H$500,MATCH(ROW(I370),$K$11:$K$500,0)),"")</f>
        <v/>
      </c>
      <c r="K380" t="str">
        <f ca="1">IF(L380=0,"",COUNTIF($L$11:L380,"&gt;0"))</f>
        <v/>
      </c>
      <c r="L380">
        <f ca="1">IFERROR(SEARCH(INDIRECT(CELL("address")),DBTXEQ!H379),0)</f>
        <v>0</v>
      </c>
    </row>
    <row r="381" spans="6:12">
      <c r="F381" s="17" t="str">
        <f ca="1">IFERROR(INDEX(DBRANEQ!$H$10:$H$500,MATCH(ROW(E371),$G$11:$G$500,0)),"")</f>
        <v/>
      </c>
      <c r="G381" s="17" t="str">
        <f ca="1">IF(H381=0,"",COUNTIF($H$11:H381,"&gt;0"))</f>
        <v/>
      </c>
      <c r="H381" s="17">
        <f ca="1">IFERROR(SEARCH(INDIRECT(CELL("address")),DBRANEQ!H380),0)</f>
        <v>0</v>
      </c>
      <c r="J381" t="str">
        <f ca="1">IFERROR(INDEX(DBTXEQ!$H$10:$H$500,MATCH(ROW(I371),$K$11:$K$500,0)),"")</f>
        <v/>
      </c>
      <c r="K381" t="str">
        <f ca="1">IF(L381=0,"",COUNTIF($L$11:L381,"&gt;0"))</f>
        <v/>
      </c>
      <c r="L381">
        <f ca="1">IFERROR(SEARCH(INDIRECT(CELL("address")),DBTXEQ!H380),0)</f>
        <v>0</v>
      </c>
    </row>
    <row r="382" spans="6:12">
      <c r="F382" s="17" t="str">
        <f ca="1">IFERROR(INDEX(DBRANEQ!$H$10:$H$500,MATCH(ROW(E372),$G$11:$G$500,0)),"")</f>
        <v/>
      </c>
      <c r="G382" s="17" t="str">
        <f ca="1">IF(H382=0,"",COUNTIF($H$11:H382,"&gt;0"))</f>
        <v/>
      </c>
      <c r="H382" s="17">
        <f ca="1">IFERROR(SEARCH(INDIRECT(CELL("address")),DBRANEQ!H381),0)</f>
        <v>0</v>
      </c>
      <c r="J382" t="str">
        <f ca="1">IFERROR(INDEX(DBTXEQ!$H$10:$H$500,MATCH(ROW(I372),$K$11:$K$500,0)),"")</f>
        <v/>
      </c>
      <c r="K382" t="str">
        <f ca="1">IF(L382=0,"",COUNTIF($L$11:L382,"&gt;0"))</f>
        <v/>
      </c>
      <c r="L382">
        <f ca="1">IFERROR(SEARCH(INDIRECT(CELL("address")),DBTXEQ!H381),0)</f>
        <v>0</v>
      </c>
    </row>
    <row r="383" spans="6:12">
      <c r="F383" s="17" t="str">
        <f ca="1">IFERROR(INDEX(DBRANEQ!$H$10:$H$500,MATCH(ROW(E373),$G$11:$G$500,0)),"")</f>
        <v/>
      </c>
      <c r="G383" s="17" t="str">
        <f ca="1">IF(H383=0,"",COUNTIF($H$11:H383,"&gt;0"))</f>
        <v/>
      </c>
      <c r="H383" s="17">
        <f ca="1">IFERROR(SEARCH(INDIRECT(CELL("address")),DBRANEQ!H382),0)</f>
        <v>0</v>
      </c>
      <c r="J383" t="str">
        <f ca="1">IFERROR(INDEX(DBTXEQ!$H$10:$H$500,MATCH(ROW(I373),$K$11:$K$500,0)),"")</f>
        <v/>
      </c>
      <c r="K383" t="str">
        <f ca="1">IF(L383=0,"",COUNTIF($L$11:L383,"&gt;0"))</f>
        <v/>
      </c>
      <c r="L383">
        <f ca="1">IFERROR(SEARCH(INDIRECT(CELL("address")),DBTXEQ!H382),0)</f>
        <v>0</v>
      </c>
    </row>
    <row r="384" spans="6:12">
      <c r="F384" s="17" t="str">
        <f ca="1">IFERROR(INDEX(DBRANEQ!$H$10:$H$500,MATCH(ROW(E374),$G$11:$G$500,0)),"")</f>
        <v/>
      </c>
      <c r="G384" s="17" t="str">
        <f ca="1">IF(H384=0,"",COUNTIF($H$11:H384,"&gt;0"))</f>
        <v/>
      </c>
      <c r="H384" s="17">
        <f ca="1">IFERROR(SEARCH(INDIRECT(CELL("address")),DBRANEQ!H383),0)</f>
        <v>0</v>
      </c>
      <c r="J384" t="str">
        <f ca="1">IFERROR(INDEX(DBTXEQ!$H$10:$H$500,MATCH(ROW(I374),$K$11:$K$500,0)),"")</f>
        <v/>
      </c>
      <c r="K384" t="str">
        <f ca="1">IF(L384=0,"",COUNTIF($L$11:L384,"&gt;0"))</f>
        <v/>
      </c>
      <c r="L384">
        <f ca="1">IFERROR(SEARCH(INDIRECT(CELL("address")),DBTXEQ!H383),0)</f>
        <v>0</v>
      </c>
    </row>
    <row r="385" spans="6:12">
      <c r="F385" s="17" t="str">
        <f ca="1">IFERROR(INDEX(DBRANEQ!$H$10:$H$500,MATCH(ROW(E375),$G$11:$G$500,0)),"")</f>
        <v/>
      </c>
      <c r="G385" s="17" t="str">
        <f ca="1">IF(H385=0,"",COUNTIF($H$11:H385,"&gt;0"))</f>
        <v/>
      </c>
      <c r="H385" s="17">
        <f ca="1">IFERROR(SEARCH(INDIRECT(CELL("address")),DBRANEQ!H384),0)</f>
        <v>0</v>
      </c>
      <c r="J385" t="str">
        <f ca="1">IFERROR(INDEX(DBTXEQ!$H$10:$H$500,MATCH(ROW(I375),$K$11:$K$500,0)),"")</f>
        <v/>
      </c>
      <c r="K385" t="str">
        <f ca="1">IF(L385=0,"",COUNTIF($L$11:L385,"&gt;0"))</f>
        <v/>
      </c>
      <c r="L385">
        <f ca="1">IFERROR(SEARCH(INDIRECT(CELL("address")),DBTXEQ!H384),0)</f>
        <v>0</v>
      </c>
    </row>
    <row r="386" spans="6:12">
      <c r="F386" s="17" t="str">
        <f ca="1">IFERROR(INDEX(DBRANEQ!$H$10:$H$500,MATCH(ROW(E376),$G$11:$G$500,0)),"")</f>
        <v/>
      </c>
      <c r="G386" s="17" t="str">
        <f ca="1">IF(H386=0,"",COUNTIF($H$11:H386,"&gt;0"))</f>
        <v/>
      </c>
      <c r="H386" s="17">
        <f ca="1">IFERROR(SEARCH(INDIRECT(CELL("address")),DBRANEQ!H385),0)</f>
        <v>0</v>
      </c>
      <c r="J386" t="str">
        <f ca="1">IFERROR(INDEX(DBTXEQ!$H$10:$H$500,MATCH(ROW(I376),$K$11:$K$500,0)),"")</f>
        <v/>
      </c>
      <c r="K386" t="str">
        <f ca="1">IF(L386=0,"",COUNTIF($L$11:L386,"&gt;0"))</f>
        <v/>
      </c>
      <c r="L386">
        <f ca="1">IFERROR(SEARCH(INDIRECT(CELL("address")),DBTXEQ!H385),0)</f>
        <v>0</v>
      </c>
    </row>
    <row r="387" spans="6:12">
      <c r="F387" s="17" t="str">
        <f ca="1">IFERROR(INDEX(DBRANEQ!$H$10:$H$500,MATCH(ROW(E377),$G$11:$G$500,0)),"")</f>
        <v/>
      </c>
      <c r="G387" s="17" t="str">
        <f ca="1">IF(H387=0,"",COUNTIF($H$11:H387,"&gt;0"))</f>
        <v/>
      </c>
      <c r="H387" s="17">
        <f ca="1">IFERROR(SEARCH(INDIRECT(CELL("address")),DBRANEQ!H386),0)</f>
        <v>0</v>
      </c>
      <c r="J387" t="str">
        <f ca="1">IFERROR(INDEX(DBTXEQ!$H$10:$H$500,MATCH(ROW(I377),$K$11:$K$500,0)),"")</f>
        <v/>
      </c>
      <c r="K387" t="str">
        <f ca="1">IF(L387=0,"",COUNTIF($L$11:L387,"&gt;0"))</f>
        <v/>
      </c>
      <c r="L387">
        <f ca="1">IFERROR(SEARCH(INDIRECT(CELL("address")),DBTXEQ!H386),0)</f>
        <v>0</v>
      </c>
    </row>
    <row r="388" spans="6:12">
      <c r="F388" s="17" t="str">
        <f ca="1">IFERROR(INDEX(DBRANEQ!$H$10:$H$500,MATCH(ROW(E378),$G$11:$G$500,0)),"")</f>
        <v/>
      </c>
      <c r="G388" s="17" t="str">
        <f ca="1">IF(H388=0,"",COUNTIF($H$11:H388,"&gt;0"))</f>
        <v/>
      </c>
      <c r="H388" s="17">
        <f ca="1">IFERROR(SEARCH(INDIRECT(CELL("address")),DBRANEQ!H387),0)</f>
        <v>0</v>
      </c>
      <c r="J388" t="str">
        <f ca="1">IFERROR(INDEX(DBTXEQ!$H$10:$H$500,MATCH(ROW(I378),$K$11:$K$500,0)),"")</f>
        <v/>
      </c>
      <c r="K388" t="str">
        <f ca="1">IF(L388=0,"",COUNTIF($L$11:L388,"&gt;0"))</f>
        <v/>
      </c>
      <c r="L388">
        <f ca="1">IFERROR(SEARCH(INDIRECT(CELL("address")),DBTXEQ!H387),0)</f>
        <v>0</v>
      </c>
    </row>
    <row r="389" spans="6:12">
      <c r="F389" s="17" t="str">
        <f ca="1">IFERROR(INDEX(DBRANEQ!$H$10:$H$500,MATCH(ROW(E379),$G$11:$G$500,0)),"")</f>
        <v/>
      </c>
      <c r="G389" s="17" t="str">
        <f ca="1">IF(H389=0,"",COUNTIF($H$11:H389,"&gt;0"))</f>
        <v/>
      </c>
      <c r="H389" s="17">
        <f ca="1">IFERROR(SEARCH(INDIRECT(CELL("address")),DBRANEQ!H388),0)</f>
        <v>0</v>
      </c>
      <c r="J389" t="str">
        <f ca="1">IFERROR(INDEX(DBTXEQ!$H$10:$H$500,MATCH(ROW(I379),$K$11:$K$500,0)),"")</f>
        <v/>
      </c>
      <c r="K389" t="str">
        <f ca="1">IF(L389=0,"",COUNTIF($L$11:L389,"&gt;0"))</f>
        <v/>
      </c>
      <c r="L389">
        <f ca="1">IFERROR(SEARCH(INDIRECT(CELL("address")),DBTXEQ!H388),0)</f>
        <v>0</v>
      </c>
    </row>
    <row r="390" spans="6:12">
      <c r="F390" s="17" t="str">
        <f ca="1">IFERROR(INDEX(DBRANEQ!$H$10:$H$500,MATCH(ROW(E380),$G$11:$G$500,0)),"")</f>
        <v/>
      </c>
      <c r="G390" s="17" t="str">
        <f ca="1">IF(H390=0,"",COUNTIF($H$11:H390,"&gt;0"))</f>
        <v/>
      </c>
      <c r="H390" s="17">
        <f ca="1">IFERROR(SEARCH(INDIRECT(CELL("address")),DBRANEQ!H389),0)</f>
        <v>0</v>
      </c>
      <c r="J390" t="str">
        <f ca="1">IFERROR(INDEX(DBTXEQ!$H$10:$H$500,MATCH(ROW(I380),$K$11:$K$500,0)),"")</f>
        <v/>
      </c>
      <c r="K390" t="str">
        <f ca="1">IF(L390=0,"",COUNTIF($L$11:L390,"&gt;0"))</f>
        <v/>
      </c>
      <c r="L390">
        <f ca="1">IFERROR(SEARCH(INDIRECT(CELL("address")),DBTXEQ!H389),0)</f>
        <v>0</v>
      </c>
    </row>
    <row r="391" spans="6:12">
      <c r="F391" s="17" t="str">
        <f ca="1">IFERROR(INDEX(DBRANEQ!$H$10:$H$500,MATCH(ROW(E381),$G$11:$G$500,0)),"")</f>
        <v/>
      </c>
      <c r="G391" s="17" t="str">
        <f ca="1">IF(H391=0,"",COUNTIF($H$11:H391,"&gt;0"))</f>
        <v/>
      </c>
      <c r="H391" s="17">
        <f ca="1">IFERROR(SEARCH(INDIRECT(CELL("address")),DBRANEQ!H390),0)</f>
        <v>0</v>
      </c>
      <c r="J391" t="str">
        <f ca="1">IFERROR(INDEX(DBTXEQ!$H$10:$H$500,MATCH(ROW(I381),$K$11:$K$500,0)),"")</f>
        <v/>
      </c>
      <c r="K391" t="str">
        <f ca="1">IF(L391=0,"",COUNTIF($L$11:L391,"&gt;0"))</f>
        <v/>
      </c>
      <c r="L391">
        <f ca="1">IFERROR(SEARCH(INDIRECT(CELL("address")),DBTXEQ!H390),0)</f>
        <v>0</v>
      </c>
    </row>
    <row r="392" spans="6:12">
      <c r="F392" s="17" t="str">
        <f ca="1">IFERROR(INDEX(DBRANEQ!$H$10:$H$500,MATCH(ROW(E382),$G$11:$G$500,0)),"")</f>
        <v/>
      </c>
      <c r="G392" s="17" t="str">
        <f ca="1">IF(H392=0,"",COUNTIF($H$11:H392,"&gt;0"))</f>
        <v/>
      </c>
      <c r="H392" s="17">
        <f ca="1">IFERROR(SEARCH(INDIRECT(CELL("address")),DBRANEQ!H391),0)</f>
        <v>0</v>
      </c>
      <c r="J392" t="str">
        <f ca="1">IFERROR(INDEX(DBTXEQ!$H$10:$H$500,MATCH(ROW(I382),$K$11:$K$500,0)),"")</f>
        <v/>
      </c>
      <c r="K392" t="str">
        <f ca="1">IF(L392=0,"",COUNTIF($L$11:L392,"&gt;0"))</f>
        <v/>
      </c>
      <c r="L392">
        <f ca="1">IFERROR(SEARCH(INDIRECT(CELL("address")),DBTXEQ!H391),0)</f>
        <v>0</v>
      </c>
    </row>
    <row r="393" spans="6:12">
      <c r="F393" s="17" t="str">
        <f ca="1">IFERROR(INDEX(DBRANEQ!$H$10:$H$500,MATCH(ROW(E383),$G$11:$G$500,0)),"")</f>
        <v/>
      </c>
      <c r="G393" s="17" t="str">
        <f ca="1">IF(H393=0,"",COUNTIF($H$11:H393,"&gt;0"))</f>
        <v/>
      </c>
      <c r="H393" s="17">
        <f ca="1">IFERROR(SEARCH(INDIRECT(CELL("address")),DBRANEQ!H392),0)</f>
        <v>0</v>
      </c>
      <c r="J393" t="str">
        <f ca="1">IFERROR(INDEX(DBTXEQ!$H$10:$H$500,MATCH(ROW(I383),$K$11:$K$500,0)),"")</f>
        <v/>
      </c>
      <c r="K393" t="str">
        <f ca="1">IF(L393=0,"",COUNTIF($L$11:L393,"&gt;0"))</f>
        <v/>
      </c>
      <c r="L393">
        <f ca="1">IFERROR(SEARCH(INDIRECT(CELL("address")),DBTXEQ!H392),0)</f>
        <v>0</v>
      </c>
    </row>
    <row r="394" spans="6:12">
      <c r="F394" s="17" t="str">
        <f ca="1">IFERROR(INDEX(DBRANEQ!$H$10:$H$500,MATCH(ROW(E384),$G$11:$G$500,0)),"")</f>
        <v/>
      </c>
      <c r="G394" s="17" t="str">
        <f ca="1">IF(H394=0,"",COUNTIF($H$11:H394,"&gt;0"))</f>
        <v/>
      </c>
      <c r="H394" s="17">
        <f ca="1">IFERROR(SEARCH(INDIRECT(CELL("address")),DBRANEQ!H393),0)</f>
        <v>0</v>
      </c>
      <c r="J394" t="str">
        <f ca="1">IFERROR(INDEX(DBTXEQ!$H$10:$H$500,MATCH(ROW(I384),$K$11:$K$500,0)),"")</f>
        <v/>
      </c>
      <c r="K394" t="str">
        <f ca="1">IF(L394=0,"",COUNTIF($L$11:L394,"&gt;0"))</f>
        <v/>
      </c>
      <c r="L394">
        <f ca="1">IFERROR(SEARCH(INDIRECT(CELL("address")),DBTXEQ!H393),0)</f>
        <v>0</v>
      </c>
    </row>
    <row r="395" spans="6:12">
      <c r="F395" s="17" t="str">
        <f ca="1">IFERROR(INDEX(DBRANEQ!$H$10:$H$500,MATCH(ROW(E385),$G$11:$G$500,0)),"")</f>
        <v/>
      </c>
      <c r="G395" s="17" t="str">
        <f ca="1">IF(H395=0,"",COUNTIF($H$11:H395,"&gt;0"))</f>
        <v/>
      </c>
      <c r="H395" s="17">
        <f ca="1">IFERROR(SEARCH(INDIRECT(CELL("address")),DBRANEQ!H394),0)</f>
        <v>0</v>
      </c>
      <c r="J395" t="str">
        <f ca="1">IFERROR(INDEX(DBTXEQ!$H$10:$H$500,MATCH(ROW(I385),$K$11:$K$500,0)),"")</f>
        <v/>
      </c>
      <c r="K395" t="str">
        <f ca="1">IF(L395=0,"",COUNTIF($L$11:L395,"&gt;0"))</f>
        <v/>
      </c>
      <c r="L395">
        <f ca="1">IFERROR(SEARCH(INDIRECT(CELL("address")),DBTXEQ!H394),0)</f>
        <v>0</v>
      </c>
    </row>
    <row r="396" spans="6:12">
      <c r="F396" s="17" t="str">
        <f ca="1">IFERROR(INDEX(DBRANEQ!$H$10:$H$500,MATCH(ROW(E386),$G$11:$G$500,0)),"")</f>
        <v/>
      </c>
      <c r="G396" s="17" t="str">
        <f ca="1">IF(H396=0,"",COUNTIF($H$11:H396,"&gt;0"))</f>
        <v/>
      </c>
      <c r="H396" s="17">
        <f ca="1">IFERROR(SEARCH(INDIRECT(CELL("address")),DBRANEQ!H395),0)</f>
        <v>0</v>
      </c>
      <c r="J396" t="str">
        <f ca="1">IFERROR(INDEX(DBTXEQ!$H$10:$H$500,MATCH(ROW(I386),$K$11:$K$500,0)),"")</f>
        <v/>
      </c>
      <c r="K396" t="str">
        <f ca="1">IF(L396=0,"",COUNTIF($L$11:L396,"&gt;0"))</f>
        <v/>
      </c>
      <c r="L396">
        <f ca="1">IFERROR(SEARCH(INDIRECT(CELL("address")),DBTXEQ!H395),0)</f>
        <v>0</v>
      </c>
    </row>
    <row r="397" spans="6:12">
      <c r="F397" s="17" t="str">
        <f ca="1">IFERROR(INDEX(DBRANEQ!$H$10:$H$500,MATCH(ROW(E387),$G$11:$G$500,0)),"")</f>
        <v/>
      </c>
      <c r="G397" s="17" t="str">
        <f ca="1">IF(H397=0,"",COUNTIF($H$11:H397,"&gt;0"))</f>
        <v/>
      </c>
      <c r="H397" s="17">
        <f ca="1">IFERROR(SEARCH(INDIRECT(CELL("address")),DBRANEQ!H396),0)</f>
        <v>0</v>
      </c>
      <c r="J397" t="str">
        <f ca="1">IFERROR(INDEX(DBTXEQ!$H$10:$H$500,MATCH(ROW(I387),$K$11:$K$500,0)),"")</f>
        <v/>
      </c>
      <c r="K397" t="str">
        <f ca="1">IF(L397=0,"",COUNTIF($L$11:L397,"&gt;0"))</f>
        <v/>
      </c>
      <c r="L397">
        <f ca="1">IFERROR(SEARCH(INDIRECT(CELL("address")),DBTXEQ!H396),0)</f>
        <v>0</v>
      </c>
    </row>
    <row r="398" spans="6:12">
      <c r="F398" s="17" t="str">
        <f ca="1">IFERROR(INDEX(DBRANEQ!$H$10:$H$500,MATCH(ROW(E388),$G$11:$G$500,0)),"")</f>
        <v/>
      </c>
      <c r="G398" s="17" t="str">
        <f ca="1">IF(H398=0,"",COUNTIF($H$11:H398,"&gt;0"))</f>
        <v/>
      </c>
      <c r="H398" s="17">
        <f ca="1">IFERROR(SEARCH(INDIRECT(CELL("address")),DBRANEQ!H397),0)</f>
        <v>0</v>
      </c>
      <c r="J398" t="str">
        <f ca="1">IFERROR(INDEX(DBTXEQ!$H$10:$H$500,MATCH(ROW(I388),$K$11:$K$500,0)),"")</f>
        <v/>
      </c>
      <c r="K398" t="str">
        <f ca="1">IF(L398=0,"",COUNTIF($L$11:L398,"&gt;0"))</f>
        <v/>
      </c>
      <c r="L398">
        <f ca="1">IFERROR(SEARCH(INDIRECT(CELL("address")),DBTXEQ!H397),0)</f>
        <v>0</v>
      </c>
    </row>
    <row r="399" spans="6:12">
      <c r="F399" s="17" t="str">
        <f ca="1">IFERROR(INDEX(DBRANEQ!$H$10:$H$500,MATCH(ROW(E389),$G$11:$G$500,0)),"")</f>
        <v/>
      </c>
      <c r="G399" s="17" t="str">
        <f ca="1">IF(H399=0,"",COUNTIF($H$11:H399,"&gt;0"))</f>
        <v/>
      </c>
      <c r="H399" s="17">
        <f ca="1">IFERROR(SEARCH(INDIRECT(CELL("address")),DBRANEQ!H398),0)</f>
        <v>0</v>
      </c>
      <c r="J399" t="str">
        <f ca="1">IFERROR(INDEX(DBTXEQ!$H$10:$H$500,MATCH(ROW(I389),$K$11:$K$500,0)),"")</f>
        <v/>
      </c>
      <c r="K399" t="str">
        <f ca="1">IF(L399=0,"",COUNTIF($L$11:L399,"&gt;0"))</f>
        <v/>
      </c>
      <c r="L399">
        <f ca="1">IFERROR(SEARCH(INDIRECT(CELL("address")),DBTXEQ!H398),0)</f>
        <v>0</v>
      </c>
    </row>
    <row r="400" spans="6:12">
      <c r="F400" s="17" t="str">
        <f ca="1">IFERROR(INDEX(DBRANEQ!$H$10:$H$500,MATCH(ROW(E390),$G$11:$G$500,0)),"")</f>
        <v/>
      </c>
      <c r="G400" s="17" t="str">
        <f ca="1">IF(H400=0,"",COUNTIF($H$11:H400,"&gt;0"))</f>
        <v/>
      </c>
      <c r="H400" s="17">
        <f ca="1">IFERROR(SEARCH(INDIRECT(CELL("address")),DBRANEQ!H399),0)</f>
        <v>0</v>
      </c>
      <c r="J400" t="str">
        <f ca="1">IFERROR(INDEX(DBTXEQ!$H$10:$H$500,MATCH(ROW(I390),$K$11:$K$500,0)),"")</f>
        <v/>
      </c>
      <c r="K400" t="str">
        <f ca="1">IF(L400=0,"",COUNTIF($L$11:L400,"&gt;0"))</f>
        <v/>
      </c>
      <c r="L400">
        <f ca="1">IFERROR(SEARCH(INDIRECT(CELL("address")),DBTXEQ!H399),0)</f>
        <v>0</v>
      </c>
    </row>
    <row r="401" spans="6:12">
      <c r="F401" s="17" t="str">
        <f ca="1">IFERROR(INDEX(DBRANEQ!$H$10:$H$500,MATCH(ROW(E391),$G$11:$G$500,0)),"")</f>
        <v/>
      </c>
      <c r="G401" s="17" t="str">
        <f ca="1">IF(H401=0,"",COUNTIF($H$11:H401,"&gt;0"))</f>
        <v/>
      </c>
      <c r="H401" s="17">
        <f ca="1">IFERROR(SEARCH(INDIRECT(CELL("address")),DBRANEQ!H400),0)</f>
        <v>0</v>
      </c>
      <c r="J401" t="str">
        <f ca="1">IFERROR(INDEX(DBTXEQ!$H$10:$H$500,MATCH(ROW(I391),$K$11:$K$500,0)),"")</f>
        <v/>
      </c>
      <c r="K401" t="str">
        <f ca="1">IF(L401=0,"",COUNTIF($L$11:L401,"&gt;0"))</f>
        <v/>
      </c>
      <c r="L401">
        <f ca="1">IFERROR(SEARCH(INDIRECT(CELL("address")),DBTXEQ!H400),0)</f>
        <v>0</v>
      </c>
    </row>
    <row r="402" spans="6:12">
      <c r="F402" s="17" t="str">
        <f ca="1">IFERROR(INDEX(DBRANEQ!$H$10:$H$500,MATCH(ROW(E392),$G$11:$G$500,0)),"")</f>
        <v/>
      </c>
      <c r="G402" s="17" t="str">
        <f ca="1">IF(H402=0,"",COUNTIF($H$11:H402,"&gt;0"))</f>
        <v/>
      </c>
      <c r="H402" s="17">
        <f ca="1">IFERROR(SEARCH(INDIRECT(CELL("address")),DBRANEQ!H401),0)</f>
        <v>0</v>
      </c>
      <c r="J402" t="str">
        <f ca="1">IFERROR(INDEX(DBTXEQ!$H$10:$H$500,MATCH(ROW(I392),$K$11:$K$500,0)),"")</f>
        <v/>
      </c>
      <c r="K402" t="str">
        <f ca="1">IF(L402=0,"",COUNTIF($L$11:L402,"&gt;0"))</f>
        <v/>
      </c>
      <c r="L402">
        <f ca="1">IFERROR(SEARCH(INDIRECT(CELL("address")),DBTXEQ!H401),0)</f>
        <v>0</v>
      </c>
    </row>
    <row r="403" spans="6:12">
      <c r="F403" s="17" t="str">
        <f ca="1">IFERROR(INDEX(DBRANEQ!$H$10:$H$500,MATCH(ROW(E393),$G$11:$G$500,0)),"")</f>
        <v/>
      </c>
      <c r="G403" s="17" t="str">
        <f ca="1">IF(H403=0,"",COUNTIF($H$11:H403,"&gt;0"))</f>
        <v/>
      </c>
      <c r="H403" s="17">
        <f ca="1">IFERROR(SEARCH(INDIRECT(CELL("address")),DBRANEQ!H402),0)</f>
        <v>0</v>
      </c>
      <c r="J403" t="str">
        <f ca="1">IFERROR(INDEX(DBTXEQ!$H$10:$H$500,MATCH(ROW(I393),$K$11:$K$500,0)),"")</f>
        <v/>
      </c>
      <c r="K403" t="str">
        <f ca="1">IF(L403=0,"",COUNTIF($L$11:L403,"&gt;0"))</f>
        <v/>
      </c>
      <c r="L403">
        <f ca="1">IFERROR(SEARCH(INDIRECT(CELL("address")),DBTXEQ!H402),0)</f>
        <v>0</v>
      </c>
    </row>
    <row r="404" spans="6:12">
      <c r="F404" s="17" t="str">
        <f ca="1">IFERROR(INDEX(DBRANEQ!$H$10:$H$500,MATCH(ROW(E394),$G$11:$G$500,0)),"")</f>
        <v/>
      </c>
      <c r="G404" s="17" t="str">
        <f ca="1">IF(H404=0,"",COUNTIF($H$11:H404,"&gt;0"))</f>
        <v/>
      </c>
      <c r="H404" s="17">
        <f ca="1">IFERROR(SEARCH(INDIRECT(CELL("address")),DBRANEQ!H403),0)</f>
        <v>0</v>
      </c>
      <c r="J404" t="str">
        <f ca="1">IFERROR(INDEX(DBTXEQ!$H$10:$H$500,MATCH(ROW(I394),$K$11:$K$500,0)),"")</f>
        <v/>
      </c>
      <c r="K404" t="str">
        <f ca="1">IF(L404=0,"",COUNTIF($L$11:L404,"&gt;0"))</f>
        <v/>
      </c>
      <c r="L404">
        <f ca="1">IFERROR(SEARCH(INDIRECT(CELL("address")),DBTXEQ!H403),0)</f>
        <v>0</v>
      </c>
    </row>
    <row r="405" spans="6:12">
      <c r="F405" s="17" t="str">
        <f ca="1">IFERROR(INDEX(DBRANEQ!$H$10:$H$500,MATCH(ROW(E395),$G$11:$G$500,0)),"")</f>
        <v/>
      </c>
      <c r="G405" s="17" t="str">
        <f ca="1">IF(H405=0,"",COUNTIF($H$11:H405,"&gt;0"))</f>
        <v/>
      </c>
      <c r="H405" s="17">
        <f ca="1">IFERROR(SEARCH(INDIRECT(CELL("address")),DBRANEQ!H404),0)</f>
        <v>0</v>
      </c>
      <c r="J405" t="str">
        <f ca="1">IFERROR(INDEX(DBTXEQ!$H$10:$H$500,MATCH(ROW(I395),$K$11:$K$500,0)),"")</f>
        <v/>
      </c>
      <c r="K405" t="str">
        <f ca="1">IF(L405=0,"",COUNTIF($L$11:L405,"&gt;0"))</f>
        <v/>
      </c>
      <c r="L405">
        <f ca="1">IFERROR(SEARCH(INDIRECT(CELL("address")),DBTXEQ!H404),0)</f>
        <v>0</v>
      </c>
    </row>
    <row r="406" spans="6:12">
      <c r="F406" s="17" t="str">
        <f ca="1">IFERROR(INDEX(DBRANEQ!$H$10:$H$500,MATCH(ROW(E396),$G$11:$G$500,0)),"")</f>
        <v/>
      </c>
      <c r="G406" s="17" t="str">
        <f ca="1">IF(H406=0,"",COUNTIF($H$11:H406,"&gt;0"))</f>
        <v/>
      </c>
      <c r="H406" s="17">
        <f ca="1">IFERROR(SEARCH(INDIRECT(CELL("address")),DBRANEQ!H405),0)</f>
        <v>0</v>
      </c>
      <c r="J406" t="str">
        <f ca="1">IFERROR(INDEX(DBTXEQ!$H$10:$H$500,MATCH(ROW(I396),$K$11:$K$500,0)),"")</f>
        <v/>
      </c>
      <c r="K406" t="str">
        <f ca="1">IF(L406=0,"",COUNTIF($L$11:L406,"&gt;0"))</f>
        <v/>
      </c>
      <c r="L406">
        <f ca="1">IFERROR(SEARCH(INDIRECT(CELL("address")),DBTXEQ!H405),0)</f>
        <v>0</v>
      </c>
    </row>
    <row r="407" spans="6:12">
      <c r="F407" s="17" t="str">
        <f ca="1">IFERROR(INDEX(DBRANEQ!$H$10:$H$500,MATCH(ROW(E397),$G$11:$G$500,0)),"")</f>
        <v/>
      </c>
      <c r="G407" s="17" t="str">
        <f ca="1">IF(H407=0,"",COUNTIF($H$11:H407,"&gt;0"))</f>
        <v/>
      </c>
      <c r="H407" s="17">
        <f ca="1">IFERROR(SEARCH(INDIRECT(CELL("address")),DBRANEQ!H406),0)</f>
        <v>0</v>
      </c>
      <c r="J407" t="str">
        <f ca="1">IFERROR(INDEX(DBTXEQ!$H$10:$H$500,MATCH(ROW(I397),$K$11:$K$500,0)),"")</f>
        <v/>
      </c>
      <c r="K407" t="str">
        <f ca="1">IF(L407=0,"",COUNTIF($L$11:L407,"&gt;0"))</f>
        <v/>
      </c>
      <c r="L407">
        <f ca="1">IFERROR(SEARCH(INDIRECT(CELL("address")),DBTXEQ!H406),0)</f>
        <v>0</v>
      </c>
    </row>
    <row r="408" spans="6:12">
      <c r="F408" s="17" t="str">
        <f ca="1">IFERROR(INDEX(DBRANEQ!$H$10:$H$500,MATCH(ROW(E398),$G$11:$G$500,0)),"")</f>
        <v/>
      </c>
      <c r="G408" s="17" t="str">
        <f ca="1">IF(H408=0,"",COUNTIF($H$11:H408,"&gt;0"))</f>
        <v/>
      </c>
      <c r="H408" s="17">
        <f ca="1">IFERROR(SEARCH(INDIRECT(CELL("address")),DBRANEQ!H407),0)</f>
        <v>0</v>
      </c>
      <c r="J408" t="str">
        <f ca="1">IFERROR(INDEX(DBTXEQ!$H$10:$H$500,MATCH(ROW(I398),$K$11:$K$500,0)),"")</f>
        <v/>
      </c>
      <c r="K408" t="str">
        <f ca="1">IF(L408=0,"",COUNTIF($L$11:L408,"&gt;0"))</f>
        <v/>
      </c>
      <c r="L408">
        <f ca="1">IFERROR(SEARCH(INDIRECT(CELL("address")),DBTXEQ!H407),0)</f>
        <v>0</v>
      </c>
    </row>
    <row r="409" spans="6:12">
      <c r="F409" s="17" t="str">
        <f ca="1">IFERROR(INDEX(DBRANEQ!$H$10:$H$500,MATCH(ROW(E399),$G$11:$G$500,0)),"")</f>
        <v/>
      </c>
      <c r="G409" s="17" t="str">
        <f ca="1">IF(H409=0,"",COUNTIF($H$11:H409,"&gt;0"))</f>
        <v/>
      </c>
      <c r="H409" s="17">
        <f ca="1">IFERROR(SEARCH(INDIRECT(CELL("address")),DBRANEQ!H408),0)</f>
        <v>0</v>
      </c>
      <c r="J409" t="str">
        <f ca="1">IFERROR(INDEX(DBTXEQ!$H$10:$H$500,MATCH(ROW(I399),$K$11:$K$500,0)),"")</f>
        <v/>
      </c>
      <c r="K409" t="str">
        <f ca="1">IF(L409=0,"",COUNTIF($L$11:L409,"&gt;0"))</f>
        <v/>
      </c>
      <c r="L409">
        <f ca="1">IFERROR(SEARCH(INDIRECT(CELL("address")),DBTXEQ!H408),0)</f>
        <v>0</v>
      </c>
    </row>
    <row r="410" spans="6:12">
      <c r="F410" s="17" t="str">
        <f ca="1">IFERROR(INDEX(DBRANEQ!$H$10:$H$500,MATCH(ROW(E400),$G$11:$G$500,0)),"")</f>
        <v/>
      </c>
      <c r="G410" s="17" t="str">
        <f ca="1">IF(H410=0,"",COUNTIF($H$11:H410,"&gt;0"))</f>
        <v/>
      </c>
      <c r="H410" s="17">
        <f ca="1">IFERROR(SEARCH(INDIRECT(CELL("address")),DBRANEQ!H409),0)</f>
        <v>0</v>
      </c>
      <c r="J410" t="str">
        <f ca="1">IFERROR(INDEX(DBTXEQ!$H$10:$H$500,MATCH(ROW(I400),$K$11:$K$500,0)),"")</f>
        <v/>
      </c>
      <c r="K410" t="str">
        <f ca="1">IF(L410=0,"",COUNTIF($L$11:L410,"&gt;0"))</f>
        <v/>
      </c>
      <c r="L410">
        <f ca="1">IFERROR(SEARCH(INDIRECT(CELL("address")),DBTXEQ!H409),0)</f>
        <v>0</v>
      </c>
    </row>
    <row r="411" spans="6:12">
      <c r="F411" s="17" t="str">
        <f ca="1">IFERROR(INDEX(DBRANEQ!$H$10:$H$500,MATCH(ROW(E401),$G$11:$G$500,0)),"")</f>
        <v/>
      </c>
      <c r="G411" s="17" t="str">
        <f ca="1">IF(H411=0,"",COUNTIF($H$11:H411,"&gt;0"))</f>
        <v/>
      </c>
      <c r="H411" s="17">
        <f ca="1">IFERROR(SEARCH(INDIRECT(CELL("address")),DBRANEQ!H410),0)</f>
        <v>0</v>
      </c>
      <c r="J411" t="str">
        <f ca="1">IFERROR(INDEX(DBTXEQ!$H$10:$H$500,MATCH(ROW(I401),$K$11:$K$500,0)),"")</f>
        <v/>
      </c>
      <c r="K411" t="str">
        <f ca="1">IF(L411=0,"",COUNTIF($L$11:L411,"&gt;0"))</f>
        <v/>
      </c>
      <c r="L411">
        <f ca="1">IFERROR(SEARCH(INDIRECT(CELL("address")),DBTXEQ!H410),0)</f>
        <v>0</v>
      </c>
    </row>
    <row r="412" spans="6:12">
      <c r="F412" s="17" t="str">
        <f ca="1">IFERROR(INDEX(DBRANEQ!$H$10:$H$500,MATCH(ROW(E402),$G$11:$G$500,0)),"")</f>
        <v/>
      </c>
      <c r="G412" s="17" t="str">
        <f ca="1">IF(H412=0,"",COUNTIF($H$11:H412,"&gt;0"))</f>
        <v/>
      </c>
      <c r="H412" s="17">
        <f ca="1">IFERROR(SEARCH(INDIRECT(CELL("address")),DBRANEQ!H411),0)</f>
        <v>0</v>
      </c>
      <c r="J412" t="str">
        <f ca="1">IFERROR(INDEX(DBTXEQ!$H$10:$H$500,MATCH(ROW(I402),$K$11:$K$500,0)),"")</f>
        <v/>
      </c>
      <c r="K412" t="str">
        <f ca="1">IF(L412=0,"",COUNTIF($L$11:L412,"&gt;0"))</f>
        <v/>
      </c>
      <c r="L412">
        <f ca="1">IFERROR(SEARCH(INDIRECT(CELL("address")),DBTXEQ!H411),0)</f>
        <v>0</v>
      </c>
    </row>
    <row r="413" spans="6:12">
      <c r="F413" s="17" t="str">
        <f ca="1">IFERROR(INDEX(DBRANEQ!$H$10:$H$500,MATCH(ROW(E403),$G$11:$G$500,0)),"")</f>
        <v/>
      </c>
      <c r="G413" s="17" t="str">
        <f ca="1">IF(H413=0,"",COUNTIF($H$11:H413,"&gt;0"))</f>
        <v/>
      </c>
      <c r="H413" s="17">
        <f ca="1">IFERROR(SEARCH(INDIRECT(CELL("address")),DBRANEQ!H412),0)</f>
        <v>0</v>
      </c>
      <c r="J413" t="str">
        <f ca="1">IFERROR(INDEX(DBTXEQ!$H$10:$H$500,MATCH(ROW(I403),$K$11:$K$500,0)),"")</f>
        <v/>
      </c>
      <c r="K413" t="str">
        <f ca="1">IF(L413=0,"",COUNTIF($L$11:L413,"&gt;0"))</f>
        <v/>
      </c>
      <c r="L413">
        <f ca="1">IFERROR(SEARCH(INDIRECT(CELL("address")),DBTXEQ!H412),0)</f>
        <v>0</v>
      </c>
    </row>
    <row r="414" spans="6:12">
      <c r="F414" s="17" t="str">
        <f ca="1">IFERROR(INDEX(DBRANEQ!$H$10:$H$500,MATCH(ROW(E404),$G$11:$G$500,0)),"")</f>
        <v/>
      </c>
      <c r="G414" s="17" t="str">
        <f ca="1">IF(H414=0,"",COUNTIF($H$11:H414,"&gt;0"))</f>
        <v/>
      </c>
      <c r="H414" s="17">
        <f ca="1">IFERROR(SEARCH(INDIRECT(CELL("address")),DBRANEQ!H413),0)</f>
        <v>0</v>
      </c>
      <c r="J414" t="str">
        <f ca="1">IFERROR(INDEX(DBTXEQ!$H$10:$H$500,MATCH(ROW(I404),$K$11:$K$500,0)),"")</f>
        <v/>
      </c>
      <c r="K414" t="str">
        <f ca="1">IF(L414=0,"",COUNTIF($L$11:L414,"&gt;0"))</f>
        <v/>
      </c>
      <c r="L414">
        <f ca="1">IFERROR(SEARCH(INDIRECT(CELL("address")),DBTXEQ!H413),0)</f>
        <v>0</v>
      </c>
    </row>
    <row r="415" spans="6:12">
      <c r="F415" s="17" t="str">
        <f ca="1">IFERROR(INDEX(DBRANEQ!$H$10:$H$500,MATCH(ROW(E405),$G$11:$G$500,0)),"")</f>
        <v/>
      </c>
      <c r="G415" s="17" t="str">
        <f ca="1">IF(H415=0,"",COUNTIF($H$11:H415,"&gt;0"))</f>
        <v/>
      </c>
      <c r="H415" s="17">
        <f ca="1">IFERROR(SEARCH(INDIRECT(CELL("address")),DBRANEQ!H414),0)</f>
        <v>0</v>
      </c>
      <c r="J415" t="str">
        <f ca="1">IFERROR(INDEX(DBTXEQ!$H$10:$H$500,MATCH(ROW(I405),$K$11:$K$500,0)),"")</f>
        <v/>
      </c>
      <c r="K415" t="str">
        <f ca="1">IF(L415=0,"",COUNTIF($L$11:L415,"&gt;0"))</f>
        <v/>
      </c>
      <c r="L415">
        <f ca="1">IFERROR(SEARCH(INDIRECT(CELL("address")),DBTXEQ!H414),0)</f>
        <v>0</v>
      </c>
    </row>
    <row r="416" spans="6:12">
      <c r="F416" s="17" t="str">
        <f ca="1">IFERROR(INDEX(DBRANEQ!$H$10:$H$500,MATCH(ROW(E406),$G$11:$G$500,0)),"")</f>
        <v/>
      </c>
      <c r="G416" s="17" t="str">
        <f ca="1">IF(H416=0,"",COUNTIF($H$11:H416,"&gt;0"))</f>
        <v/>
      </c>
      <c r="H416" s="17">
        <f ca="1">IFERROR(SEARCH(INDIRECT(CELL("address")),DBRANEQ!H415),0)</f>
        <v>0</v>
      </c>
      <c r="J416" t="str">
        <f ca="1">IFERROR(INDEX(DBTXEQ!$H$10:$H$500,MATCH(ROW(I406),$K$11:$K$500,0)),"")</f>
        <v/>
      </c>
      <c r="K416" t="str">
        <f ca="1">IF(L416=0,"",COUNTIF($L$11:L416,"&gt;0"))</f>
        <v/>
      </c>
      <c r="L416">
        <f ca="1">IFERROR(SEARCH(INDIRECT(CELL("address")),DBTXEQ!H415),0)</f>
        <v>0</v>
      </c>
    </row>
    <row r="417" spans="6:12">
      <c r="F417" s="17" t="str">
        <f ca="1">IFERROR(INDEX(DBRANEQ!$H$10:$H$500,MATCH(ROW(E407),$G$11:$G$500,0)),"")</f>
        <v/>
      </c>
      <c r="G417" s="17" t="str">
        <f ca="1">IF(H417=0,"",COUNTIF($H$11:H417,"&gt;0"))</f>
        <v/>
      </c>
      <c r="H417" s="17">
        <f ca="1">IFERROR(SEARCH(INDIRECT(CELL("address")),DBRANEQ!H416),0)</f>
        <v>0</v>
      </c>
      <c r="J417" t="str">
        <f ca="1">IFERROR(INDEX(DBTXEQ!$H$10:$H$500,MATCH(ROW(I407),$K$11:$K$500,0)),"")</f>
        <v/>
      </c>
      <c r="K417" t="str">
        <f ca="1">IF(L417=0,"",COUNTIF($L$11:L417,"&gt;0"))</f>
        <v/>
      </c>
      <c r="L417">
        <f ca="1">IFERROR(SEARCH(INDIRECT(CELL("address")),DBTXEQ!H416),0)</f>
        <v>0</v>
      </c>
    </row>
    <row r="418" spans="6:12">
      <c r="F418" s="17" t="str">
        <f ca="1">IFERROR(INDEX(DBRANEQ!$H$10:$H$500,MATCH(ROW(E408),$G$11:$G$500,0)),"")</f>
        <v/>
      </c>
      <c r="G418" s="17" t="str">
        <f ca="1">IF(H418=0,"",COUNTIF($H$11:H418,"&gt;0"))</f>
        <v/>
      </c>
      <c r="H418" s="17">
        <f ca="1">IFERROR(SEARCH(INDIRECT(CELL("address")),DBRANEQ!H417),0)</f>
        <v>0</v>
      </c>
      <c r="J418" t="str">
        <f ca="1">IFERROR(INDEX(DBTXEQ!$H$10:$H$500,MATCH(ROW(I408),$K$11:$K$500,0)),"")</f>
        <v/>
      </c>
      <c r="K418" t="str">
        <f ca="1">IF(L418=0,"",COUNTIF($L$11:L418,"&gt;0"))</f>
        <v/>
      </c>
      <c r="L418">
        <f ca="1">IFERROR(SEARCH(INDIRECT(CELL("address")),DBTXEQ!H417),0)</f>
        <v>0</v>
      </c>
    </row>
    <row r="419" spans="6:12">
      <c r="F419" s="17" t="str">
        <f ca="1">IFERROR(INDEX(DBRANEQ!$H$10:$H$500,MATCH(ROW(E409),$G$11:$G$500,0)),"")</f>
        <v/>
      </c>
      <c r="G419" s="17" t="str">
        <f ca="1">IF(H419=0,"",COUNTIF($H$11:H419,"&gt;0"))</f>
        <v/>
      </c>
      <c r="H419" s="17">
        <f ca="1">IFERROR(SEARCH(INDIRECT(CELL("address")),DBRANEQ!H418),0)</f>
        <v>0</v>
      </c>
      <c r="J419" t="str">
        <f ca="1">IFERROR(INDEX(DBTXEQ!$H$10:$H$500,MATCH(ROW(I409),$K$11:$K$500,0)),"")</f>
        <v/>
      </c>
      <c r="K419" t="str">
        <f ca="1">IF(L419=0,"",COUNTIF($L$11:L419,"&gt;0"))</f>
        <v/>
      </c>
      <c r="L419">
        <f ca="1">IFERROR(SEARCH(INDIRECT(CELL("address")),DBTXEQ!H418),0)</f>
        <v>0</v>
      </c>
    </row>
    <row r="420" spans="6:12">
      <c r="F420" s="17" t="str">
        <f ca="1">IFERROR(INDEX(DBRANEQ!$H$10:$H$500,MATCH(ROW(E410),$G$11:$G$500,0)),"")</f>
        <v/>
      </c>
      <c r="G420" s="17" t="str">
        <f ca="1">IF(H420=0,"",COUNTIF($H$11:H420,"&gt;0"))</f>
        <v/>
      </c>
      <c r="H420" s="17">
        <f ca="1">IFERROR(SEARCH(INDIRECT(CELL("address")),DBRANEQ!H419),0)</f>
        <v>0</v>
      </c>
      <c r="J420" t="str">
        <f ca="1">IFERROR(INDEX(DBTXEQ!$H$10:$H$500,MATCH(ROW(I410),$K$11:$K$500,0)),"")</f>
        <v/>
      </c>
      <c r="K420" t="str">
        <f ca="1">IF(L420=0,"",COUNTIF($L$11:L420,"&gt;0"))</f>
        <v/>
      </c>
      <c r="L420">
        <f ca="1">IFERROR(SEARCH(INDIRECT(CELL("address")),DBTXEQ!H419),0)</f>
        <v>0</v>
      </c>
    </row>
    <row r="421" spans="6:12">
      <c r="F421" s="17" t="str">
        <f ca="1">IFERROR(INDEX(DBRANEQ!$H$10:$H$500,MATCH(ROW(E411),$G$11:$G$500,0)),"")</f>
        <v/>
      </c>
      <c r="G421" s="17" t="str">
        <f ca="1">IF(H421=0,"",COUNTIF($H$11:H421,"&gt;0"))</f>
        <v/>
      </c>
      <c r="H421" s="17">
        <f ca="1">IFERROR(SEARCH(INDIRECT(CELL("address")),DBRANEQ!H420),0)</f>
        <v>0</v>
      </c>
      <c r="J421" t="str">
        <f ca="1">IFERROR(INDEX(DBTXEQ!$H$10:$H$500,MATCH(ROW(I411),$K$11:$K$500,0)),"")</f>
        <v/>
      </c>
      <c r="K421" t="str">
        <f ca="1">IF(L421=0,"",COUNTIF($L$11:L421,"&gt;0"))</f>
        <v/>
      </c>
      <c r="L421">
        <f ca="1">IFERROR(SEARCH(INDIRECT(CELL("address")),DBTXEQ!H420),0)</f>
        <v>0</v>
      </c>
    </row>
    <row r="422" spans="6:12">
      <c r="F422" s="17" t="str">
        <f ca="1">IFERROR(INDEX(DBRANEQ!$H$10:$H$500,MATCH(ROW(E412),$G$11:$G$500,0)),"")</f>
        <v/>
      </c>
      <c r="G422" s="17" t="str">
        <f ca="1">IF(H422=0,"",COUNTIF($H$11:H422,"&gt;0"))</f>
        <v/>
      </c>
      <c r="H422" s="17">
        <f ca="1">IFERROR(SEARCH(INDIRECT(CELL("address")),DBRANEQ!H421),0)</f>
        <v>0</v>
      </c>
      <c r="J422" t="str">
        <f ca="1">IFERROR(INDEX(DBTXEQ!$H$10:$H$500,MATCH(ROW(I412),$K$11:$K$500,0)),"")</f>
        <v/>
      </c>
      <c r="K422" t="str">
        <f ca="1">IF(L422=0,"",COUNTIF($L$11:L422,"&gt;0"))</f>
        <v/>
      </c>
      <c r="L422">
        <f ca="1">IFERROR(SEARCH(INDIRECT(CELL("address")),DBTXEQ!H421),0)</f>
        <v>0</v>
      </c>
    </row>
    <row r="423" spans="6:12">
      <c r="F423" s="17" t="str">
        <f ca="1">IFERROR(INDEX(DBRANEQ!$H$10:$H$500,MATCH(ROW(E413),$G$11:$G$500,0)),"")</f>
        <v/>
      </c>
      <c r="G423" s="17" t="str">
        <f ca="1">IF(H423=0,"",COUNTIF($H$11:H423,"&gt;0"))</f>
        <v/>
      </c>
      <c r="H423" s="17">
        <f ca="1">IFERROR(SEARCH(INDIRECT(CELL("address")),DBRANEQ!H422),0)</f>
        <v>0</v>
      </c>
      <c r="J423" t="str">
        <f ca="1">IFERROR(INDEX(DBTXEQ!$H$10:$H$500,MATCH(ROW(I413),$K$11:$K$500,0)),"")</f>
        <v/>
      </c>
      <c r="K423" t="str">
        <f ca="1">IF(L423=0,"",COUNTIF($L$11:L423,"&gt;0"))</f>
        <v/>
      </c>
      <c r="L423">
        <f ca="1">IFERROR(SEARCH(INDIRECT(CELL("address")),DBTXEQ!H422),0)</f>
        <v>0</v>
      </c>
    </row>
    <row r="424" spans="6:12">
      <c r="F424" s="17" t="str">
        <f ca="1">IFERROR(INDEX(DBRANEQ!$H$10:$H$500,MATCH(ROW(E414),$G$11:$G$500,0)),"")</f>
        <v/>
      </c>
      <c r="G424" s="17" t="str">
        <f ca="1">IF(H424=0,"",COUNTIF($H$11:H424,"&gt;0"))</f>
        <v/>
      </c>
      <c r="H424" s="17">
        <f ca="1">IFERROR(SEARCH(INDIRECT(CELL("address")),DBRANEQ!H423),0)</f>
        <v>0</v>
      </c>
      <c r="J424" t="str">
        <f ca="1">IFERROR(INDEX(DBTXEQ!$H$10:$H$500,MATCH(ROW(I414),$K$11:$K$500,0)),"")</f>
        <v/>
      </c>
      <c r="K424" t="str">
        <f ca="1">IF(L424=0,"",COUNTIF($L$11:L424,"&gt;0"))</f>
        <v/>
      </c>
      <c r="L424">
        <f ca="1">IFERROR(SEARCH(INDIRECT(CELL("address")),DBTXEQ!H423),0)</f>
        <v>0</v>
      </c>
    </row>
    <row r="425" spans="6:12">
      <c r="F425" s="17" t="str">
        <f ca="1">IFERROR(INDEX(DBRANEQ!$H$10:$H$500,MATCH(ROW(E415),$G$11:$G$500,0)),"")</f>
        <v/>
      </c>
      <c r="G425" s="17" t="str">
        <f ca="1">IF(H425=0,"",COUNTIF($H$11:H425,"&gt;0"))</f>
        <v/>
      </c>
      <c r="H425" s="17">
        <f ca="1">IFERROR(SEARCH(INDIRECT(CELL("address")),DBRANEQ!H424),0)</f>
        <v>0</v>
      </c>
      <c r="J425" t="str">
        <f ca="1">IFERROR(INDEX(DBTXEQ!$H$10:$H$500,MATCH(ROW(I415),$K$11:$K$500,0)),"")</f>
        <v/>
      </c>
      <c r="K425" t="str">
        <f ca="1">IF(L425=0,"",COUNTIF($L$11:L425,"&gt;0"))</f>
        <v/>
      </c>
      <c r="L425">
        <f ca="1">IFERROR(SEARCH(INDIRECT(CELL("address")),DBTXEQ!H424),0)</f>
        <v>0</v>
      </c>
    </row>
    <row r="426" spans="6:12">
      <c r="F426" s="17" t="str">
        <f ca="1">IFERROR(INDEX(DBRANEQ!$H$10:$H$500,MATCH(ROW(E416),$G$11:$G$500,0)),"")</f>
        <v/>
      </c>
      <c r="G426" s="17" t="str">
        <f ca="1">IF(H426=0,"",COUNTIF($H$11:H426,"&gt;0"))</f>
        <v/>
      </c>
      <c r="H426" s="17">
        <f ca="1">IFERROR(SEARCH(INDIRECT(CELL("address")),DBRANEQ!H425),0)</f>
        <v>0</v>
      </c>
      <c r="J426" t="str">
        <f ca="1">IFERROR(INDEX(DBTXEQ!$H$10:$H$500,MATCH(ROW(I416),$K$11:$K$500,0)),"")</f>
        <v/>
      </c>
      <c r="K426" t="str">
        <f ca="1">IF(L426=0,"",COUNTIF($L$11:L426,"&gt;0"))</f>
        <v/>
      </c>
      <c r="L426">
        <f ca="1">IFERROR(SEARCH(INDIRECT(CELL("address")),DBTXEQ!H425),0)</f>
        <v>0</v>
      </c>
    </row>
    <row r="427" spans="6:12">
      <c r="F427" s="17" t="str">
        <f ca="1">IFERROR(INDEX(DBRANEQ!$H$10:$H$500,MATCH(ROW(E417),$G$11:$G$500,0)),"")</f>
        <v/>
      </c>
      <c r="G427" s="17" t="str">
        <f ca="1">IF(H427=0,"",COUNTIF($H$11:H427,"&gt;0"))</f>
        <v/>
      </c>
      <c r="H427" s="17">
        <f ca="1">IFERROR(SEARCH(INDIRECT(CELL("address")),DBRANEQ!H426),0)</f>
        <v>0</v>
      </c>
      <c r="J427" t="str">
        <f ca="1">IFERROR(INDEX(DBTXEQ!$H$10:$H$500,MATCH(ROW(I417),$K$11:$K$500,0)),"")</f>
        <v/>
      </c>
      <c r="K427" t="str">
        <f ca="1">IF(L427=0,"",COUNTIF($L$11:L427,"&gt;0"))</f>
        <v/>
      </c>
      <c r="L427">
        <f ca="1">IFERROR(SEARCH(INDIRECT(CELL("address")),DBTXEQ!H426),0)</f>
        <v>0</v>
      </c>
    </row>
    <row r="428" spans="6:12">
      <c r="F428" s="17" t="str">
        <f ca="1">IFERROR(INDEX(DBRANEQ!$H$10:$H$500,MATCH(ROW(E418),$G$11:$G$500,0)),"")</f>
        <v/>
      </c>
      <c r="G428" s="17" t="str">
        <f ca="1">IF(H428=0,"",COUNTIF($H$11:H428,"&gt;0"))</f>
        <v/>
      </c>
      <c r="H428" s="17">
        <f ca="1">IFERROR(SEARCH(INDIRECT(CELL("address")),DBRANEQ!H427),0)</f>
        <v>0</v>
      </c>
      <c r="J428" t="str">
        <f ca="1">IFERROR(INDEX(DBTXEQ!$H$10:$H$500,MATCH(ROW(I418),$K$11:$K$500,0)),"")</f>
        <v/>
      </c>
      <c r="K428" t="str">
        <f ca="1">IF(L428=0,"",COUNTIF($L$11:L428,"&gt;0"))</f>
        <v/>
      </c>
      <c r="L428">
        <f ca="1">IFERROR(SEARCH(INDIRECT(CELL("address")),DBTXEQ!H427),0)</f>
        <v>0</v>
      </c>
    </row>
    <row r="429" spans="6:12">
      <c r="F429" s="17" t="str">
        <f ca="1">IFERROR(INDEX(DBRANEQ!$H$10:$H$500,MATCH(ROW(E419),$G$11:$G$500,0)),"")</f>
        <v/>
      </c>
      <c r="G429" s="17" t="str">
        <f ca="1">IF(H429=0,"",COUNTIF($H$11:H429,"&gt;0"))</f>
        <v/>
      </c>
      <c r="H429" s="17">
        <f ca="1">IFERROR(SEARCH(INDIRECT(CELL("address")),DBRANEQ!H428),0)</f>
        <v>0</v>
      </c>
      <c r="J429" t="str">
        <f ca="1">IFERROR(INDEX(DBTXEQ!$H$10:$H$500,MATCH(ROW(I419),$K$11:$K$500,0)),"")</f>
        <v/>
      </c>
      <c r="K429" t="str">
        <f ca="1">IF(L429=0,"",COUNTIF($L$11:L429,"&gt;0"))</f>
        <v/>
      </c>
      <c r="L429">
        <f ca="1">IFERROR(SEARCH(INDIRECT(CELL("address")),DBTXEQ!H428),0)</f>
        <v>0</v>
      </c>
    </row>
    <row r="430" spans="6:12">
      <c r="F430" s="17" t="str">
        <f ca="1">IFERROR(INDEX(DBRANEQ!$H$10:$H$500,MATCH(ROW(E420),$G$11:$G$500,0)),"")</f>
        <v/>
      </c>
      <c r="G430" s="17" t="str">
        <f ca="1">IF(H430=0,"",COUNTIF($H$11:H430,"&gt;0"))</f>
        <v/>
      </c>
      <c r="H430" s="17">
        <f ca="1">IFERROR(SEARCH(INDIRECT(CELL("address")),DBRANEQ!H429),0)</f>
        <v>0</v>
      </c>
      <c r="J430" t="str">
        <f ca="1">IFERROR(INDEX(DBTXEQ!$H$10:$H$500,MATCH(ROW(I420),$K$11:$K$500,0)),"")</f>
        <v/>
      </c>
      <c r="K430" t="str">
        <f ca="1">IF(L430=0,"",COUNTIF($L$11:L430,"&gt;0"))</f>
        <v/>
      </c>
      <c r="L430">
        <f ca="1">IFERROR(SEARCH(INDIRECT(CELL("address")),DBTXEQ!H429),0)</f>
        <v>0</v>
      </c>
    </row>
    <row r="431" spans="6:12">
      <c r="F431" s="17" t="str">
        <f ca="1">IFERROR(INDEX(DBRANEQ!$H$10:$H$500,MATCH(ROW(E421),$G$11:$G$500,0)),"")</f>
        <v/>
      </c>
      <c r="G431" s="17" t="str">
        <f ca="1">IF(H431=0,"",COUNTIF($H$11:H431,"&gt;0"))</f>
        <v/>
      </c>
      <c r="H431" s="17">
        <f ca="1">IFERROR(SEARCH(INDIRECT(CELL("address")),DBRANEQ!H430),0)</f>
        <v>0</v>
      </c>
      <c r="J431" t="str">
        <f ca="1">IFERROR(INDEX(DBTXEQ!$H$10:$H$500,MATCH(ROW(I421),$K$11:$K$500,0)),"")</f>
        <v/>
      </c>
      <c r="K431" t="str">
        <f ca="1">IF(L431=0,"",COUNTIF($L$11:L431,"&gt;0"))</f>
        <v/>
      </c>
      <c r="L431">
        <f ca="1">IFERROR(SEARCH(INDIRECT(CELL("address")),DBTXEQ!H430),0)</f>
        <v>0</v>
      </c>
    </row>
    <row r="432" spans="6:12">
      <c r="F432" s="17" t="str">
        <f ca="1">IFERROR(INDEX(DBRANEQ!$H$10:$H$500,MATCH(ROW(E422),$G$11:$G$500,0)),"")</f>
        <v/>
      </c>
      <c r="G432" s="17" t="str">
        <f ca="1">IF(H432=0,"",COUNTIF($H$11:H432,"&gt;0"))</f>
        <v/>
      </c>
      <c r="H432" s="17">
        <f ca="1">IFERROR(SEARCH(INDIRECT(CELL("address")),DBRANEQ!H431),0)</f>
        <v>0</v>
      </c>
      <c r="J432" t="str">
        <f ca="1">IFERROR(INDEX(DBTXEQ!$H$10:$H$500,MATCH(ROW(I422),$K$11:$K$500,0)),"")</f>
        <v/>
      </c>
      <c r="K432" t="str">
        <f ca="1">IF(L432=0,"",COUNTIF($L$11:L432,"&gt;0"))</f>
        <v/>
      </c>
      <c r="L432">
        <f ca="1">IFERROR(SEARCH(INDIRECT(CELL("address")),DBTXEQ!H431),0)</f>
        <v>0</v>
      </c>
    </row>
    <row r="433" spans="6:12">
      <c r="F433" s="17" t="str">
        <f ca="1">IFERROR(INDEX(DBRANEQ!$H$10:$H$500,MATCH(ROW(E423),$G$11:$G$500,0)),"")</f>
        <v/>
      </c>
      <c r="G433" s="17" t="str">
        <f ca="1">IF(H433=0,"",COUNTIF($H$11:H433,"&gt;0"))</f>
        <v/>
      </c>
      <c r="H433" s="17">
        <f ca="1">IFERROR(SEARCH(INDIRECT(CELL("address")),DBRANEQ!H432),0)</f>
        <v>0</v>
      </c>
      <c r="J433" t="str">
        <f ca="1">IFERROR(INDEX(DBTXEQ!$H$10:$H$500,MATCH(ROW(I423),$K$11:$K$500,0)),"")</f>
        <v/>
      </c>
      <c r="K433" t="str">
        <f ca="1">IF(L433=0,"",COUNTIF($L$11:L433,"&gt;0"))</f>
        <v/>
      </c>
      <c r="L433">
        <f ca="1">IFERROR(SEARCH(INDIRECT(CELL("address")),DBTXEQ!H432),0)</f>
        <v>0</v>
      </c>
    </row>
    <row r="434" spans="6:12">
      <c r="F434" s="17" t="str">
        <f ca="1">IFERROR(INDEX(DBRANEQ!$H$10:$H$500,MATCH(ROW(E424),$G$11:$G$500,0)),"")</f>
        <v/>
      </c>
      <c r="G434" s="17" t="str">
        <f ca="1">IF(H434=0,"",COUNTIF($H$11:H434,"&gt;0"))</f>
        <v/>
      </c>
      <c r="H434" s="17">
        <f ca="1">IFERROR(SEARCH(INDIRECT(CELL("address")),DBRANEQ!H433),0)</f>
        <v>0</v>
      </c>
      <c r="J434" t="str">
        <f ca="1">IFERROR(INDEX(DBTXEQ!$H$10:$H$500,MATCH(ROW(I424),$K$11:$K$500,0)),"")</f>
        <v/>
      </c>
      <c r="K434" t="str">
        <f ca="1">IF(L434=0,"",COUNTIF($L$11:L434,"&gt;0"))</f>
        <v/>
      </c>
      <c r="L434">
        <f ca="1">IFERROR(SEARCH(INDIRECT(CELL("address")),DBTXEQ!H433),0)</f>
        <v>0</v>
      </c>
    </row>
    <row r="435" spans="6:12">
      <c r="F435" s="17" t="str">
        <f ca="1">IFERROR(INDEX(DBRANEQ!$H$10:$H$500,MATCH(ROW(E425),$G$11:$G$500,0)),"")</f>
        <v/>
      </c>
      <c r="G435" s="17" t="str">
        <f ca="1">IF(H435=0,"",COUNTIF($H$11:H435,"&gt;0"))</f>
        <v/>
      </c>
      <c r="H435" s="17">
        <f ca="1">IFERROR(SEARCH(INDIRECT(CELL("address")),DBRANEQ!H434),0)</f>
        <v>0</v>
      </c>
      <c r="J435" t="str">
        <f ca="1">IFERROR(INDEX(DBTXEQ!$H$10:$H$500,MATCH(ROW(I425),$K$11:$K$500,0)),"")</f>
        <v/>
      </c>
      <c r="K435" t="str">
        <f ca="1">IF(L435=0,"",COUNTIF($L$11:L435,"&gt;0"))</f>
        <v/>
      </c>
      <c r="L435">
        <f ca="1">IFERROR(SEARCH(INDIRECT(CELL("address")),DBTXEQ!H434),0)</f>
        <v>0</v>
      </c>
    </row>
    <row r="436" spans="6:12">
      <c r="F436" s="17" t="str">
        <f ca="1">IFERROR(INDEX(DBRANEQ!$H$10:$H$500,MATCH(ROW(E426),$G$11:$G$500,0)),"")</f>
        <v/>
      </c>
      <c r="G436" s="17" t="str">
        <f ca="1">IF(H436=0,"",COUNTIF($H$11:H436,"&gt;0"))</f>
        <v/>
      </c>
      <c r="H436" s="17">
        <f ca="1">IFERROR(SEARCH(INDIRECT(CELL("address")),DBRANEQ!H435),0)</f>
        <v>0</v>
      </c>
      <c r="J436" t="str">
        <f ca="1">IFERROR(INDEX(DBTXEQ!$H$10:$H$500,MATCH(ROW(I426),$K$11:$K$500,0)),"")</f>
        <v/>
      </c>
      <c r="K436" t="str">
        <f ca="1">IF(L436=0,"",COUNTIF($L$11:L436,"&gt;0"))</f>
        <v/>
      </c>
      <c r="L436">
        <f ca="1">IFERROR(SEARCH(INDIRECT(CELL("address")),DBTXEQ!H435),0)</f>
        <v>0</v>
      </c>
    </row>
    <row r="437" spans="6:12">
      <c r="F437" s="17" t="str">
        <f ca="1">IFERROR(INDEX(DBRANEQ!$H$10:$H$500,MATCH(ROW(E427),$G$11:$G$500,0)),"")</f>
        <v/>
      </c>
      <c r="G437" s="17" t="str">
        <f ca="1">IF(H437=0,"",COUNTIF($H$11:H437,"&gt;0"))</f>
        <v/>
      </c>
      <c r="H437" s="17">
        <f ca="1">IFERROR(SEARCH(INDIRECT(CELL("address")),DBRANEQ!H436),0)</f>
        <v>0</v>
      </c>
      <c r="J437" t="str">
        <f ca="1">IFERROR(INDEX(DBTXEQ!$H$10:$H$500,MATCH(ROW(I427),$K$11:$K$500,0)),"")</f>
        <v/>
      </c>
      <c r="K437" t="str">
        <f ca="1">IF(L437=0,"",COUNTIF($L$11:L437,"&gt;0"))</f>
        <v/>
      </c>
      <c r="L437">
        <f ca="1">IFERROR(SEARCH(INDIRECT(CELL("address")),DBTXEQ!H436),0)</f>
        <v>0</v>
      </c>
    </row>
    <row r="438" spans="6:12">
      <c r="F438" s="17" t="str">
        <f ca="1">IFERROR(INDEX(DBRANEQ!$H$10:$H$500,MATCH(ROW(E428),$G$11:$G$500,0)),"")</f>
        <v/>
      </c>
      <c r="G438" s="17" t="str">
        <f ca="1">IF(H438=0,"",COUNTIF($H$11:H438,"&gt;0"))</f>
        <v/>
      </c>
      <c r="H438" s="17">
        <f ca="1">IFERROR(SEARCH(INDIRECT(CELL("address")),DBRANEQ!H437),0)</f>
        <v>0</v>
      </c>
      <c r="J438" t="str">
        <f ca="1">IFERROR(INDEX(DBTXEQ!$H$10:$H$500,MATCH(ROW(I428),$K$11:$K$500,0)),"")</f>
        <v/>
      </c>
      <c r="K438" t="str">
        <f ca="1">IF(L438=0,"",COUNTIF($L$11:L438,"&gt;0"))</f>
        <v/>
      </c>
      <c r="L438">
        <f ca="1">IFERROR(SEARCH(INDIRECT(CELL("address")),DBTXEQ!H437),0)</f>
        <v>0</v>
      </c>
    </row>
    <row r="439" spans="6:12">
      <c r="F439" s="17" t="str">
        <f ca="1">IFERROR(INDEX(DBRANEQ!$H$10:$H$500,MATCH(ROW(E429),$G$11:$G$500,0)),"")</f>
        <v/>
      </c>
      <c r="G439" s="17" t="str">
        <f ca="1">IF(H439=0,"",COUNTIF($H$11:H439,"&gt;0"))</f>
        <v/>
      </c>
      <c r="H439" s="17">
        <f ca="1">IFERROR(SEARCH(INDIRECT(CELL("address")),DBRANEQ!H438),0)</f>
        <v>0</v>
      </c>
      <c r="J439" t="str">
        <f ca="1">IFERROR(INDEX(DBTXEQ!$H$10:$H$500,MATCH(ROW(I429),$K$11:$K$500,0)),"")</f>
        <v/>
      </c>
      <c r="K439" t="str">
        <f ca="1">IF(L439=0,"",COUNTIF($L$11:L439,"&gt;0"))</f>
        <v/>
      </c>
      <c r="L439">
        <f ca="1">IFERROR(SEARCH(INDIRECT(CELL("address")),DBTXEQ!H438),0)</f>
        <v>0</v>
      </c>
    </row>
    <row r="440" spans="6:12">
      <c r="F440" s="17" t="str">
        <f ca="1">IFERROR(INDEX(DBRANEQ!$H$10:$H$500,MATCH(ROW(E430),$G$11:$G$500,0)),"")</f>
        <v/>
      </c>
      <c r="G440" s="17" t="str">
        <f ca="1">IF(H440=0,"",COUNTIF($H$11:H440,"&gt;0"))</f>
        <v/>
      </c>
      <c r="H440" s="17">
        <f ca="1">IFERROR(SEARCH(INDIRECT(CELL("address")),DBRANEQ!H439),0)</f>
        <v>0</v>
      </c>
      <c r="J440" t="str">
        <f ca="1">IFERROR(INDEX(DBTXEQ!$H$10:$H$500,MATCH(ROW(I430),$K$11:$K$500,0)),"")</f>
        <v/>
      </c>
      <c r="K440" t="str">
        <f ca="1">IF(L440=0,"",COUNTIF($L$11:L440,"&gt;0"))</f>
        <v/>
      </c>
      <c r="L440">
        <f ca="1">IFERROR(SEARCH(INDIRECT(CELL("address")),DBTXEQ!H439),0)</f>
        <v>0</v>
      </c>
    </row>
    <row r="441" spans="6:12">
      <c r="F441" s="17" t="str">
        <f ca="1">IFERROR(INDEX(DBRANEQ!$H$10:$H$500,MATCH(ROW(E431),$G$11:$G$500,0)),"")</f>
        <v/>
      </c>
      <c r="G441" s="17" t="str">
        <f ca="1">IF(H441=0,"",COUNTIF($H$11:H441,"&gt;0"))</f>
        <v/>
      </c>
      <c r="H441" s="17">
        <f ca="1">IFERROR(SEARCH(INDIRECT(CELL("address")),DBRANEQ!H440),0)</f>
        <v>0</v>
      </c>
      <c r="J441" t="str">
        <f ca="1">IFERROR(INDEX(DBTXEQ!$H$10:$H$500,MATCH(ROW(I431),$K$11:$K$500,0)),"")</f>
        <v/>
      </c>
      <c r="K441" t="str">
        <f ca="1">IF(L441=0,"",COUNTIF($L$11:L441,"&gt;0"))</f>
        <v/>
      </c>
      <c r="L441">
        <f ca="1">IFERROR(SEARCH(INDIRECT(CELL("address")),DBTXEQ!H440),0)</f>
        <v>0</v>
      </c>
    </row>
    <row r="442" spans="6:12">
      <c r="F442" s="17" t="str">
        <f ca="1">IFERROR(INDEX(DBRANEQ!$H$10:$H$500,MATCH(ROW(E432),$G$11:$G$500,0)),"")</f>
        <v/>
      </c>
      <c r="G442" s="17" t="str">
        <f ca="1">IF(H442=0,"",COUNTIF($H$11:H442,"&gt;0"))</f>
        <v/>
      </c>
      <c r="H442" s="17">
        <f ca="1">IFERROR(SEARCH(INDIRECT(CELL("address")),DBRANEQ!H441),0)</f>
        <v>0</v>
      </c>
      <c r="J442" t="str">
        <f ca="1">IFERROR(INDEX(DBTXEQ!$H$10:$H$500,MATCH(ROW(I432),$K$11:$K$500,0)),"")</f>
        <v/>
      </c>
      <c r="K442" t="str">
        <f ca="1">IF(L442=0,"",COUNTIF($L$11:L442,"&gt;0"))</f>
        <v/>
      </c>
      <c r="L442">
        <f ca="1">IFERROR(SEARCH(INDIRECT(CELL("address")),DBTXEQ!H441),0)</f>
        <v>0</v>
      </c>
    </row>
    <row r="443" spans="6:12">
      <c r="F443" s="17" t="str">
        <f ca="1">IFERROR(INDEX(DBRANEQ!$H$10:$H$500,MATCH(ROW(E433),$G$11:$G$500,0)),"")</f>
        <v/>
      </c>
      <c r="G443" s="17" t="str">
        <f ca="1">IF(H443=0,"",COUNTIF($H$11:H443,"&gt;0"))</f>
        <v/>
      </c>
      <c r="H443" s="17">
        <f ca="1">IFERROR(SEARCH(INDIRECT(CELL("address")),DBRANEQ!H442),0)</f>
        <v>0</v>
      </c>
      <c r="J443" t="str">
        <f ca="1">IFERROR(INDEX(DBTXEQ!$H$10:$H$500,MATCH(ROW(I433),$K$11:$K$500,0)),"")</f>
        <v/>
      </c>
      <c r="K443" t="str">
        <f ca="1">IF(L443=0,"",COUNTIF($L$11:L443,"&gt;0"))</f>
        <v/>
      </c>
      <c r="L443">
        <f ca="1">IFERROR(SEARCH(INDIRECT(CELL("address")),DBTXEQ!H442),0)</f>
        <v>0</v>
      </c>
    </row>
    <row r="444" spans="6:12">
      <c r="F444" s="17" t="str">
        <f ca="1">IFERROR(INDEX(DBRANEQ!$H$10:$H$500,MATCH(ROW(E434),$G$11:$G$500,0)),"")</f>
        <v/>
      </c>
      <c r="G444" s="17" t="str">
        <f ca="1">IF(H444=0,"",COUNTIF($H$11:H444,"&gt;0"))</f>
        <v/>
      </c>
      <c r="H444" s="17">
        <f ca="1">IFERROR(SEARCH(INDIRECT(CELL("address")),DBRANEQ!H443),0)</f>
        <v>0</v>
      </c>
      <c r="J444" t="str">
        <f ca="1">IFERROR(INDEX(DBTXEQ!$H$10:$H$500,MATCH(ROW(I434),$K$11:$K$500,0)),"")</f>
        <v/>
      </c>
      <c r="K444" t="str">
        <f ca="1">IF(L444=0,"",COUNTIF($L$11:L444,"&gt;0"))</f>
        <v/>
      </c>
      <c r="L444">
        <f ca="1">IFERROR(SEARCH(INDIRECT(CELL("address")),DBTXEQ!H443),0)</f>
        <v>0</v>
      </c>
    </row>
    <row r="445" spans="6:12">
      <c r="F445" s="17" t="str">
        <f ca="1">IFERROR(INDEX(DBRANEQ!$H$10:$H$500,MATCH(ROW(E435),$G$11:$G$500,0)),"")</f>
        <v/>
      </c>
      <c r="G445" s="17" t="str">
        <f ca="1">IF(H445=0,"",COUNTIF($H$11:H445,"&gt;0"))</f>
        <v/>
      </c>
      <c r="H445" s="17">
        <f ca="1">IFERROR(SEARCH(INDIRECT(CELL("address")),DBRANEQ!H444),0)</f>
        <v>0</v>
      </c>
      <c r="J445" t="str">
        <f ca="1">IFERROR(INDEX(DBTXEQ!$H$10:$H$500,MATCH(ROW(I435),$K$11:$K$500,0)),"")</f>
        <v/>
      </c>
      <c r="K445" t="str">
        <f ca="1">IF(L445=0,"",COUNTIF($L$11:L445,"&gt;0"))</f>
        <v/>
      </c>
      <c r="L445">
        <f ca="1">IFERROR(SEARCH(INDIRECT(CELL("address")),DBTXEQ!H444),0)</f>
        <v>0</v>
      </c>
    </row>
    <row r="446" spans="6:12">
      <c r="F446" s="17" t="str">
        <f ca="1">IFERROR(INDEX(DBRANEQ!$H$10:$H$500,MATCH(ROW(E436),$G$11:$G$500,0)),"")</f>
        <v/>
      </c>
      <c r="G446" s="17" t="str">
        <f ca="1">IF(H446=0,"",COUNTIF($H$11:H446,"&gt;0"))</f>
        <v/>
      </c>
      <c r="H446" s="17">
        <f ca="1">IFERROR(SEARCH(INDIRECT(CELL("address")),DBRANEQ!H445),0)</f>
        <v>0</v>
      </c>
      <c r="J446" t="str">
        <f ca="1">IFERROR(INDEX(DBTXEQ!$H$10:$H$500,MATCH(ROW(I436),$K$11:$K$500,0)),"")</f>
        <v/>
      </c>
      <c r="K446" t="str">
        <f ca="1">IF(L446=0,"",COUNTIF($L$11:L446,"&gt;0"))</f>
        <v/>
      </c>
      <c r="L446">
        <f ca="1">IFERROR(SEARCH(INDIRECT(CELL("address")),DBTXEQ!H445),0)</f>
        <v>0</v>
      </c>
    </row>
    <row r="447" spans="6:12">
      <c r="F447" s="17" t="str">
        <f ca="1">IFERROR(INDEX(DBRANEQ!$H$10:$H$500,MATCH(ROW(E437),$G$11:$G$500,0)),"")</f>
        <v/>
      </c>
      <c r="G447" s="17" t="str">
        <f ca="1">IF(H447=0,"",COUNTIF($H$11:H447,"&gt;0"))</f>
        <v/>
      </c>
      <c r="H447" s="17">
        <f ca="1">IFERROR(SEARCH(INDIRECT(CELL("address")),DBRANEQ!H446),0)</f>
        <v>0</v>
      </c>
      <c r="J447" t="str">
        <f ca="1">IFERROR(INDEX(DBTXEQ!$H$10:$H$500,MATCH(ROW(I437),$K$11:$K$500,0)),"")</f>
        <v/>
      </c>
      <c r="K447" t="str">
        <f ca="1">IF(L447=0,"",COUNTIF($L$11:L447,"&gt;0"))</f>
        <v/>
      </c>
      <c r="L447">
        <f ca="1">IFERROR(SEARCH(INDIRECT(CELL("address")),DBTXEQ!H446),0)</f>
        <v>0</v>
      </c>
    </row>
    <row r="448" spans="6:12">
      <c r="F448" s="17" t="str">
        <f ca="1">IFERROR(INDEX(DBRANEQ!$H$10:$H$500,MATCH(ROW(E438),$G$11:$G$500,0)),"")</f>
        <v/>
      </c>
      <c r="G448" s="17" t="str">
        <f ca="1">IF(H448=0,"",COUNTIF($H$11:H448,"&gt;0"))</f>
        <v/>
      </c>
      <c r="H448" s="17">
        <f ca="1">IFERROR(SEARCH(INDIRECT(CELL("address")),DBRANEQ!H447),0)</f>
        <v>0</v>
      </c>
      <c r="J448" t="str">
        <f ca="1">IFERROR(INDEX(DBTXEQ!$H$10:$H$500,MATCH(ROW(I438),$K$11:$K$500,0)),"")</f>
        <v/>
      </c>
      <c r="K448" t="str">
        <f ca="1">IF(L448=0,"",COUNTIF($L$11:L448,"&gt;0"))</f>
        <v/>
      </c>
      <c r="L448">
        <f ca="1">IFERROR(SEARCH(INDIRECT(CELL("address")),DBTXEQ!H447),0)</f>
        <v>0</v>
      </c>
    </row>
    <row r="449" spans="6:12">
      <c r="F449" s="17" t="str">
        <f ca="1">IFERROR(INDEX(DBRANEQ!$H$10:$H$500,MATCH(ROW(E439),$G$11:$G$500,0)),"")</f>
        <v/>
      </c>
      <c r="G449" s="17" t="str">
        <f ca="1">IF(H449=0,"",COUNTIF($H$11:H449,"&gt;0"))</f>
        <v/>
      </c>
      <c r="H449" s="17">
        <f ca="1">IFERROR(SEARCH(INDIRECT(CELL("address")),DBRANEQ!H448),0)</f>
        <v>0</v>
      </c>
      <c r="J449" t="str">
        <f ca="1">IFERROR(INDEX(DBTXEQ!$H$10:$H$500,MATCH(ROW(I439),$K$11:$K$500,0)),"")</f>
        <v/>
      </c>
      <c r="K449" t="str">
        <f ca="1">IF(L449=0,"",COUNTIF($L$11:L449,"&gt;0"))</f>
        <v/>
      </c>
      <c r="L449">
        <f ca="1">IFERROR(SEARCH(INDIRECT(CELL("address")),DBTXEQ!H448),0)</f>
        <v>0</v>
      </c>
    </row>
    <row r="450" spans="6:12">
      <c r="F450" s="17" t="str">
        <f ca="1">IFERROR(INDEX(DBRANEQ!$H$10:$H$500,MATCH(ROW(E440),$G$11:$G$500,0)),"")</f>
        <v/>
      </c>
      <c r="G450" s="17" t="str">
        <f ca="1">IF(H450=0,"",COUNTIF($H$11:H450,"&gt;0"))</f>
        <v/>
      </c>
      <c r="H450" s="17">
        <f ca="1">IFERROR(SEARCH(INDIRECT(CELL("address")),DBRANEQ!H449),0)</f>
        <v>0</v>
      </c>
      <c r="J450" t="str">
        <f ca="1">IFERROR(INDEX(DBTXEQ!$H$10:$H$500,MATCH(ROW(I440),$K$11:$K$500,0)),"")</f>
        <v/>
      </c>
      <c r="K450" t="str">
        <f ca="1">IF(L450=0,"",COUNTIF($L$11:L450,"&gt;0"))</f>
        <v/>
      </c>
      <c r="L450">
        <f ca="1">IFERROR(SEARCH(INDIRECT(CELL("address")),DBTXEQ!H449),0)</f>
        <v>0</v>
      </c>
    </row>
    <row r="451" spans="6:12">
      <c r="F451" s="17" t="str">
        <f ca="1">IFERROR(INDEX(DBRANEQ!$H$10:$H$500,MATCH(ROW(E441),$G$11:$G$500,0)),"")</f>
        <v/>
      </c>
      <c r="G451" s="17" t="str">
        <f ca="1">IF(H451=0,"",COUNTIF($H$11:H451,"&gt;0"))</f>
        <v/>
      </c>
      <c r="H451" s="17">
        <f ca="1">IFERROR(SEARCH(INDIRECT(CELL("address")),DBRANEQ!H450),0)</f>
        <v>0</v>
      </c>
      <c r="J451" t="str">
        <f ca="1">IFERROR(INDEX(DBTXEQ!$H$10:$H$500,MATCH(ROW(I441),$K$11:$K$500,0)),"")</f>
        <v/>
      </c>
      <c r="K451" t="str">
        <f ca="1">IF(L451=0,"",COUNTIF($L$11:L451,"&gt;0"))</f>
        <v/>
      </c>
      <c r="L451">
        <f ca="1">IFERROR(SEARCH(INDIRECT(CELL("address")),DBTXEQ!H450),0)</f>
        <v>0</v>
      </c>
    </row>
    <row r="452" spans="6:12">
      <c r="F452" s="17" t="str">
        <f ca="1">IFERROR(INDEX(DBRANEQ!$H$10:$H$500,MATCH(ROW(E442),$G$11:$G$500,0)),"")</f>
        <v/>
      </c>
      <c r="G452" s="17" t="str">
        <f ca="1">IF(H452=0,"",COUNTIF($H$11:H452,"&gt;0"))</f>
        <v/>
      </c>
      <c r="H452" s="17">
        <f ca="1">IFERROR(SEARCH(INDIRECT(CELL("address")),DBRANEQ!H451),0)</f>
        <v>0</v>
      </c>
      <c r="J452" t="str">
        <f ca="1">IFERROR(INDEX(DBTXEQ!$H$10:$H$500,MATCH(ROW(I442),$K$11:$K$500,0)),"")</f>
        <v/>
      </c>
      <c r="K452" t="str">
        <f ca="1">IF(L452=0,"",COUNTIF($L$11:L452,"&gt;0"))</f>
        <v/>
      </c>
      <c r="L452">
        <f ca="1">IFERROR(SEARCH(INDIRECT(CELL("address")),DBTXEQ!H451),0)</f>
        <v>0</v>
      </c>
    </row>
    <row r="453" spans="6:12">
      <c r="F453" s="17" t="str">
        <f ca="1">IFERROR(INDEX(DBRANEQ!$H$10:$H$500,MATCH(ROW(E443),$G$11:$G$500,0)),"")</f>
        <v/>
      </c>
      <c r="G453" s="17" t="str">
        <f ca="1">IF(H453=0,"",COUNTIF($H$11:H453,"&gt;0"))</f>
        <v/>
      </c>
      <c r="H453" s="17">
        <f ca="1">IFERROR(SEARCH(INDIRECT(CELL("address")),DBRANEQ!H452),0)</f>
        <v>0</v>
      </c>
      <c r="J453" t="str">
        <f ca="1">IFERROR(INDEX(DBTXEQ!$H$10:$H$500,MATCH(ROW(I443),$K$11:$K$500,0)),"")</f>
        <v/>
      </c>
      <c r="K453" t="str">
        <f ca="1">IF(L453=0,"",COUNTIF($L$11:L453,"&gt;0"))</f>
        <v/>
      </c>
      <c r="L453">
        <f ca="1">IFERROR(SEARCH(INDIRECT(CELL("address")),DBTXEQ!H452),0)</f>
        <v>0</v>
      </c>
    </row>
    <row r="454" spans="6:12">
      <c r="F454" s="17" t="str">
        <f ca="1">IFERROR(INDEX(DBRANEQ!$H$10:$H$500,MATCH(ROW(E444),$G$11:$G$500,0)),"")</f>
        <v/>
      </c>
      <c r="G454" s="17" t="str">
        <f ca="1">IF(H454=0,"",COUNTIF($H$11:H454,"&gt;0"))</f>
        <v/>
      </c>
      <c r="H454" s="17">
        <f ca="1">IFERROR(SEARCH(INDIRECT(CELL("address")),DBRANEQ!H453),0)</f>
        <v>0</v>
      </c>
      <c r="J454" t="str">
        <f ca="1">IFERROR(INDEX(DBTXEQ!$H$10:$H$500,MATCH(ROW(I444),$K$11:$K$500,0)),"")</f>
        <v/>
      </c>
      <c r="K454" t="str">
        <f ca="1">IF(L454=0,"",COUNTIF($L$11:L454,"&gt;0"))</f>
        <v/>
      </c>
      <c r="L454">
        <f ca="1">IFERROR(SEARCH(INDIRECT(CELL("address")),DBTXEQ!H453),0)</f>
        <v>0</v>
      </c>
    </row>
    <row r="455" spans="6:12">
      <c r="F455" s="17" t="str">
        <f ca="1">IFERROR(INDEX(DBRANEQ!$H$10:$H$500,MATCH(ROW(E445),$G$11:$G$500,0)),"")</f>
        <v/>
      </c>
      <c r="G455" s="17" t="str">
        <f ca="1">IF(H455=0,"",COUNTIF($H$11:H455,"&gt;0"))</f>
        <v/>
      </c>
      <c r="H455" s="17">
        <f ca="1">IFERROR(SEARCH(INDIRECT(CELL("address")),DBRANEQ!H454),0)</f>
        <v>0</v>
      </c>
      <c r="J455" t="str">
        <f ca="1">IFERROR(INDEX(DBTXEQ!$H$10:$H$500,MATCH(ROW(I445),$K$11:$K$500,0)),"")</f>
        <v/>
      </c>
      <c r="K455" t="str">
        <f ca="1">IF(L455=0,"",COUNTIF($L$11:L455,"&gt;0"))</f>
        <v/>
      </c>
      <c r="L455">
        <f ca="1">IFERROR(SEARCH(INDIRECT(CELL("address")),DBTXEQ!H454),0)</f>
        <v>0</v>
      </c>
    </row>
    <row r="456" spans="6:12">
      <c r="F456" s="17" t="str">
        <f ca="1">IFERROR(INDEX(DBRANEQ!$H$10:$H$500,MATCH(ROW(E446),$G$11:$G$500,0)),"")</f>
        <v/>
      </c>
      <c r="G456" s="17" t="str">
        <f ca="1">IF(H456=0,"",COUNTIF($H$11:H456,"&gt;0"))</f>
        <v/>
      </c>
      <c r="H456" s="17">
        <f ca="1">IFERROR(SEARCH(INDIRECT(CELL("address")),DBRANEQ!H455),0)</f>
        <v>0</v>
      </c>
      <c r="J456" t="str">
        <f ca="1">IFERROR(INDEX(DBTXEQ!$H$10:$H$500,MATCH(ROW(I446),$K$11:$K$500,0)),"")</f>
        <v/>
      </c>
      <c r="K456" t="str">
        <f ca="1">IF(L456=0,"",COUNTIF($L$11:L456,"&gt;0"))</f>
        <v/>
      </c>
      <c r="L456">
        <f ca="1">IFERROR(SEARCH(INDIRECT(CELL("address")),DBTXEQ!H455),0)</f>
        <v>0</v>
      </c>
    </row>
    <row r="457" spans="6:12">
      <c r="F457" s="17" t="str">
        <f ca="1">IFERROR(INDEX(DBRANEQ!$H$10:$H$500,MATCH(ROW(E447),$G$11:$G$500,0)),"")</f>
        <v/>
      </c>
      <c r="G457" s="17" t="str">
        <f ca="1">IF(H457=0,"",COUNTIF($H$11:H457,"&gt;0"))</f>
        <v/>
      </c>
      <c r="H457" s="17">
        <f ca="1">IFERROR(SEARCH(INDIRECT(CELL("address")),DBRANEQ!H456),0)</f>
        <v>0</v>
      </c>
      <c r="J457" t="str">
        <f ca="1">IFERROR(INDEX(DBTXEQ!$H$10:$H$500,MATCH(ROW(I447),$K$11:$K$500,0)),"")</f>
        <v/>
      </c>
      <c r="K457" t="str">
        <f ca="1">IF(L457=0,"",COUNTIF($L$11:L457,"&gt;0"))</f>
        <v/>
      </c>
      <c r="L457">
        <f ca="1">IFERROR(SEARCH(INDIRECT(CELL("address")),DBTXEQ!H456),0)</f>
        <v>0</v>
      </c>
    </row>
    <row r="458" spans="6:12">
      <c r="F458" s="17" t="str">
        <f ca="1">IFERROR(INDEX(DBRANEQ!$H$10:$H$500,MATCH(ROW(E448),$G$11:$G$500,0)),"")</f>
        <v/>
      </c>
      <c r="G458" s="17" t="str">
        <f ca="1">IF(H458=0,"",COUNTIF($H$11:H458,"&gt;0"))</f>
        <v/>
      </c>
      <c r="H458" s="17">
        <f ca="1">IFERROR(SEARCH(INDIRECT(CELL("address")),DBRANEQ!H457),0)</f>
        <v>0</v>
      </c>
      <c r="J458" t="str">
        <f ca="1">IFERROR(INDEX(DBTXEQ!$H$10:$H$500,MATCH(ROW(I448),$K$11:$K$500,0)),"")</f>
        <v/>
      </c>
      <c r="K458" t="str">
        <f ca="1">IF(L458=0,"",COUNTIF($L$11:L458,"&gt;0"))</f>
        <v/>
      </c>
      <c r="L458">
        <f ca="1">IFERROR(SEARCH(INDIRECT(CELL("address")),DBTXEQ!H457),0)</f>
        <v>0</v>
      </c>
    </row>
    <row r="459" spans="6:12">
      <c r="F459" s="17" t="str">
        <f ca="1">IFERROR(INDEX(DBRANEQ!$H$10:$H$500,MATCH(ROW(E449),$G$11:$G$500,0)),"")</f>
        <v/>
      </c>
      <c r="G459" s="17" t="str">
        <f ca="1">IF(H459=0,"",COUNTIF($H$11:H459,"&gt;0"))</f>
        <v/>
      </c>
      <c r="H459" s="17">
        <f ca="1">IFERROR(SEARCH(INDIRECT(CELL("address")),DBRANEQ!H458),0)</f>
        <v>0</v>
      </c>
      <c r="J459" t="str">
        <f ca="1">IFERROR(INDEX(DBTXEQ!$H$10:$H$500,MATCH(ROW(I449),$K$11:$K$500,0)),"")</f>
        <v/>
      </c>
      <c r="K459" t="str">
        <f ca="1">IF(L459=0,"",COUNTIF($L$11:L459,"&gt;0"))</f>
        <v/>
      </c>
      <c r="L459">
        <f ca="1">IFERROR(SEARCH(INDIRECT(CELL("address")),DBTXEQ!H458),0)</f>
        <v>0</v>
      </c>
    </row>
    <row r="460" spans="6:12">
      <c r="F460" s="17" t="str">
        <f ca="1">IFERROR(INDEX(DBRANEQ!$H$10:$H$500,MATCH(ROW(E450),$G$11:$G$500,0)),"")</f>
        <v/>
      </c>
      <c r="G460" s="17" t="str">
        <f ca="1">IF(H460=0,"",COUNTIF($H$11:H460,"&gt;0"))</f>
        <v/>
      </c>
      <c r="H460" s="17">
        <f ca="1">IFERROR(SEARCH(INDIRECT(CELL("address")),DBRANEQ!H459),0)</f>
        <v>0</v>
      </c>
      <c r="J460" t="str">
        <f ca="1">IFERROR(INDEX(DBTXEQ!$H$10:$H$500,MATCH(ROW(I450),$K$11:$K$500,0)),"")</f>
        <v/>
      </c>
      <c r="K460" t="str">
        <f ca="1">IF(L460=0,"",COUNTIF($L$11:L460,"&gt;0"))</f>
        <v/>
      </c>
      <c r="L460">
        <f ca="1">IFERROR(SEARCH(INDIRECT(CELL("address")),DBTXEQ!H459),0)</f>
        <v>0</v>
      </c>
    </row>
    <row r="461" spans="6:12">
      <c r="F461" s="17" t="str">
        <f ca="1">IFERROR(INDEX(DBRANEQ!$H$10:$H$500,MATCH(ROW(E451),$G$11:$G$500,0)),"")</f>
        <v/>
      </c>
      <c r="G461" s="17" t="str">
        <f ca="1">IF(H461=0,"",COUNTIF($H$11:H461,"&gt;0"))</f>
        <v/>
      </c>
      <c r="H461" s="17">
        <f ca="1">IFERROR(SEARCH(INDIRECT(CELL("address")),DBRANEQ!H460),0)</f>
        <v>0</v>
      </c>
      <c r="J461" t="str">
        <f ca="1">IFERROR(INDEX(DBTXEQ!$H$10:$H$500,MATCH(ROW(I451),$K$11:$K$500,0)),"")</f>
        <v/>
      </c>
      <c r="K461" t="str">
        <f ca="1">IF(L461=0,"",COUNTIF($L$11:L461,"&gt;0"))</f>
        <v/>
      </c>
      <c r="L461">
        <f ca="1">IFERROR(SEARCH(INDIRECT(CELL("address")),DBTXEQ!H460),0)</f>
        <v>0</v>
      </c>
    </row>
    <row r="462" spans="6:12">
      <c r="F462" s="17" t="str">
        <f ca="1">IFERROR(INDEX(DBRANEQ!$H$10:$H$500,MATCH(ROW(E452),$G$11:$G$500,0)),"")</f>
        <v/>
      </c>
      <c r="G462" s="17" t="str">
        <f ca="1">IF(H462=0,"",COUNTIF($H$11:H462,"&gt;0"))</f>
        <v/>
      </c>
      <c r="H462" s="17">
        <f ca="1">IFERROR(SEARCH(INDIRECT(CELL("address")),DBRANEQ!H461),0)</f>
        <v>0</v>
      </c>
      <c r="J462" t="str">
        <f ca="1">IFERROR(INDEX(DBTXEQ!$H$10:$H$500,MATCH(ROW(I452),$K$11:$K$500,0)),"")</f>
        <v/>
      </c>
      <c r="K462" t="str">
        <f ca="1">IF(L462=0,"",COUNTIF($L$11:L462,"&gt;0"))</f>
        <v/>
      </c>
      <c r="L462">
        <f ca="1">IFERROR(SEARCH(INDIRECT(CELL("address")),DBTXEQ!H461),0)</f>
        <v>0</v>
      </c>
    </row>
    <row r="463" spans="6:12">
      <c r="F463" s="17" t="str">
        <f ca="1">IFERROR(INDEX(DBRANEQ!$H$10:$H$500,MATCH(ROW(E453),$G$11:$G$500,0)),"")</f>
        <v/>
      </c>
      <c r="G463" s="17" t="str">
        <f ca="1">IF(H463=0,"",COUNTIF($H$11:H463,"&gt;0"))</f>
        <v/>
      </c>
      <c r="H463" s="17">
        <f ca="1">IFERROR(SEARCH(INDIRECT(CELL("address")),DBRANEQ!H462),0)</f>
        <v>0</v>
      </c>
      <c r="J463" t="str">
        <f ca="1">IFERROR(INDEX(DBTXEQ!$H$10:$H$500,MATCH(ROW(I453),$K$11:$K$500,0)),"")</f>
        <v/>
      </c>
      <c r="K463" t="str">
        <f ca="1">IF(L463=0,"",COUNTIF($L$11:L463,"&gt;0"))</f>
        <v/>
      </c>
      <c r="L463">
        <f ca="1">IFERROR(SEARCH(INDIRECT(CELL("address")),DBTXEQ!H462),0)</f>
        <v>0</v>
      </c>
    </row>
    <row r="464" spans="6:12">
      <c r="F464" s="17" t="str">
        <f ca="1">IFERROR(INDEX(DBRANEQ!$H$10:$H$500,MATCH(ROW(E454),$G$11:$G$500,0)),"")</f>
        <v/>
      </c>
      <c r="G464" s="17" t="str">
        <f ca="1">IF(H464=0,"",COUNTIF($H$11:H464,"&gt;0"))</f>
        <v/>
      </c>
      <c r="H464" s="17">
        <f ca="1">IFERROR(SEARCH(INDIRECT(CELL("address")),DBRANEQ!H463),0)</f>
        <v>0</v>
      </c>
      <c r="J464" t="str">
        <f ca="1">IFERROR(INDEX(DBTXEQ!$H$10:$H$500,MATCH(ROW(I454),$K$11:$K$500,0)),"")</f>
        <v/>
      </c>
      <c r="K464" t="str">
        <f ca="1">IF(L464=0,"",COUNTIF($L$11:L464,"&gt;0"))</f>
        <v/>
      </c>
      <c r="L464">
        <f ca="1">IFERROR(SEARCH(INDIRECT(CELL("address")),DBTXEQ!H463),0)</f>
        <v>0</v>
      </c>
    </row>
    <row r="465" spans="6:12">
      <c r="F465" s="17" t="str">
        <f ca="1">IFERROR(INDEX(DBRANEQ!$H$10:$H$500,MATCH(ROW(E455),$G$11:$G$500,0)),"")</f>
        <v/>
      </c>
      <c r="G465" s="17" t="str">
        <f ca="1">IF(H465=0,"",COUNTIF($H$11:H465,"&gt;0"))</f>
        <v/>
      </c>
      <c r="H465" s="17">
        <f ca="1">IFERROR(SEARCH(INDIRECT(CELL("address")),DBRANEQ!H464),0)</f>
        <v>0</v>
      </c>
      <c r="J465" t="str">
        <f ca="1">IFERROR(INDEX(DBTXEQ!$H$10:$H$500,MATCH(ROW(I455),$K$11:$K$500,0)),"")</f>
        <v/>
      </c>
      <c r="K465" t="str">
        <f ca="1">IF(L465=0,"",COUNTIF($L$11:L465,"&gt;0"))</f>
        <v/>
      </c>
      <c r="L465">
        <f ca="1">IFERROR(SEARCH(INDIRECT(CELL("address")),DBTXEQ!H464),0)</f>
        <v>0</v>
      </c>
    </row>
    <row r="466" spans="6:12">
      <c r="F466" s="17" t="str">
        <f ca="1">IFERROR(INDEX(DBRANEQ!$H$10:$H$500,MATCH(ROW(E456),$G$11:$G$500,0)),"")</f>
        <v/>
      </c>
      <c r="G466" s="17" t="str">
        <f ca="1">IF(H466=0,"",COUNTIF($H$11:H466,"&gt;0"))</f>
        <v/>
      </c>
      <c r="H466" s="17">
        <f ca="1">IFERROR(SEARCH(INDIRECT(CELL("address")),DBRANEQ!H465),0)</f>
        <v>0</v>
      </c>
      <c r="J466" t="str">
        <f ca="1">IFERROR(INDEX(DBTXEQ!$H$10:$H$500,MATCH(ROW(I456),$K$11:$K$500,0)),"")</f>
        <v/>
      </c>
      <c r="K466" t="str">
        <f ca="1">IF(L466=0,"",COUNTIF($L$11:L466,"&gt;0"))</f>
        <v/>
      </c>
      <c r="L466">
        <f ca="1">IFERROR(SEARCH(INDIRECT(CELL("address")),DBTXEQ!H465),0)</f>
        <v>0</v>
      </c>
    </row>
    <row r="467" spans="6:12">
      <c r="F467" s="17" t="str">
        <f ca="1">IFERROR(INDEX(DBRANEQ!$H$10:$H$500,MATCH(ROW(E457),$G$11:$G$500,0)),"")</f>
        <v/>
      </c>
      <c r="G467" s="17" t="str">
        <f ca="1">IF(H467=0,"",COUNTIF($H$11:H467,"&gt;0"))</f>
        <v/>
      </c>
      <c r="H467" s="17">
        <f ca="1">IFERROR(SEARCH(INDIRECT(CELL("address")),DBRANEQ!H466),0)</f>
        <v>0</v>
      </c>
      <c r="J467" t="str">
        <f ca="1">IFERROR(INDEX(DBTXEQ!$H$10:$H$500,MATCH(ROW(I457),$K$11:$K$500,0)),"")</f>
        <v/>
      </c>
      <c r="K467" t="str">
        <f ca="1">IF(L467=0,"",COUNTIF($L$11:L467,"&gt;0"))</f>
        <v/>
      </c>
      <c r="L467">
        <f ca="1">IFERROR(SEARCH(INDIRECT(CELL("address")),DBTXEQ!H466),0)</f>
        <v>0</v>
      </c>
    </row>
    <row r="468" spans="6:12">
      <c r="F468" s="17" t="str">
        <f ca="1">IFERROR(INDEX(DBRANEQ!$H$10:$H$500,MATCH(ROW(E458),$G$11:$G$500,0)),"")</f>
        <v/>
      </c>
      <c r="G468" s="17" t="str">
        <f ca="1">IF(H468=0,"",COUNTIF($H$11:H468,"&gt;0"))</f>
        <v/>
      </c>
      <c r="H468" s="17">
        <f ca="1">IFERROR(SEARCH(INDIRECT(CELL("address")),DBRANEQ!H467),0)</f>
        <v>0</v>
      </c>
      <c r="J468" t="str">
        <f ca="1">IFERROR(INDEX(DBTXEQ!$H$10:$H$500,MATCH(ROW(I458),$K$11:$K$500,0)),"")</f>
        <v/>
      </c>
      <c r="K468" t="str">
        <f ca="1">IF(L468=0,"",COUNTIF($L$11:L468,"&gt;0"))</f>
        <v/>
      </c>
      <c r="L468">
        <f ca="1">IFERROR(SEARCH(INDIRECT(CELL("address")),DBTXEQ!H467),0)</f>
        <v>0</v>
      </c>
    </row>
    <row r="469" spans="6:12">
      <c r="F469" s="17" t="str">
        <f ca="1">IFERROR(INDEX(DBRANEQ!$H$10:$H$500,MATCH(ROW(E459),$G$11:$G$500,0)),"")</f>
        <v/>
      </c>
      <c r="G469" s="17" t="str">
        <f ca="1">IF(H469=0,"",COUNTIF($H$11:H469,"&gt;0"))</f>
        <v/>
      </c>
      <c r="H469" s="17">
        <f ca="1">IFERROR(SEARCH(INDIRECT(CELL("address")),DBRANEQ!H468),0)</f>
        <v>0</v>
      </c>
      <c r="J469" t="str">
        <f ca="1">IFERROR(INDEX(DBTXEQ!$H$10:$H$500,MATCH(ROW(I459),$K$11:$K$500,0)),"")</f>
        <v/>
      </c>
      <c r="K469" t="str">
        <f ca="1">IF(L469=0,"",COUNTIF($L$11:L469,"&gt;0"))</f>
        <v/>
      </c>
      <c r="L469">
        <f ca="1">IFERROR(SEARCH(INDIRECT(CELL("address")),DBTXEQ!H468),0)</f>
        <v>0</v>
      </c>
    </row>
    <row r="470" spans="6:12">
      <c r="F470" s="17" t="str">
        <f ca="1">IFERROR(INDEX(DBRANEQ!$H$10:$H$500,MATCH(ROW(E460),$G$11:$G$500,0)),"")</f>
        <v/>
      </c>
      <c r="G470" s="17" t="str">
        <f ca="1">IF(H470=0,"",COUNTIF($H$11:H470,"&gt;0"))</f>
        <v/>
      </c>
      <c r="H470" s="17">
        <f ca="1">IFERROR(SEARCH(INDIRECT(CELL("address")),DBRANEQ!H469),0)</f>
        <v>0</v>
      </c>
      <c r="J470" t="str">
        <f ca="1">IFERROR(INDEX(DBTXEQ!$H$10:$H$500,MATCH(ROW(I460),$K$11:$K$500,0)),"")</f>
        <v/>
      </c>
      <c r="K470" t="str">
        <f ca="1">IF(L470=0,"",COUNTIF($L$11:L470,"&gt;0"))</f>
        <v/>
      </c>
      <c r="L470">
        <f ca="1">IFERROR(SEARCH(INDIRECT(CELL("address")),DBTXEQ!H469),0)</f>
        <v>0</v>
      </c>
    </row>
    <row r="471" spans="6:12">
      <c r="F471" s="17" t="str">
        <f ca="1">IFERROR(INDEX(DBRANEQ!$H$10:$H$500,MATCH(ROW(E461),$G$11:$G$500,0)),"")</f>
        <v/>
      </c>
      <c r="G471" s="17" t="str">
        <f ca="1">IF(H471=0,"",COUNTIF($H$11:H471,"&gt;0"))</f>
        <v/>
      </c>
      <c r="H471" s="17">
        <f ca="1">IFERROR(SEARCH(INDIRECT(CELL("address")),DBRANEQ!H470),0)</f>
        <v>0</v>
      </c>
      <c r="J471" t="str">
        <f ca="1">IFERROR(INDEX(DBTXEQ!$H$10:$H$500,MATCH(ROW(I461),$K$11:$K$500,0)),"")</f>
        <v/>
      </c>
      <c r="K471" t="str">
        <f ca="1">IF(L471=0,"",COUNTIF($L$11:L471,"&gt;0"))</f>
        <v/>
      </c>
      <c r="L471">
        <f ca="1">IFERROR(SEARCH(INDIRECT(CELL("address")),DBTXEQ!H470),0)</f>
        <v>0</v>
      </c>
    </row>
    <row r="472" spans="6:12">
      <c r="F472" s="17" t="str">
        <f ca="1">IFERROR(INDEX(DBRANEQ!$H$10:$H$500,MATCH(ROW(E462),$G$11:$G$500,0)),"")</f>
        <v/>
      </c>
      <c r="G472" s="17" t="str">
        <f ca="1">IF(H472=0,"",COUNTIF($H$11:H472,"&gt;0"))</f>
        <v/>
      </c>
      <c r="H472" s="17">
        <f ca="1">IFERROR(SEARCH(INDIRECT(CELL("address")),DBRANEQ!H471),0)</f>
        <v>0</v>
      </c>
      <c r="J472" t="str">
        <f ca="1">IFERROR(INDEX(DBTXEQ!$H$10:$H$500,MATCH(ROW(I462),$K$11:$K$500,0)),"")</f>
        <v/>
      </c>
      <c r="K472" t="str">
        <f ca="1">IF(L472=0,"",COUNTIF($L$11:L472,"&gt;0"))</f>
        <v/>
      </c>
      <c r="L472">
        <f ca="1">IFERROR(SEARCH(INDIRECT(CELL("address")),DBTXEQ!H471),0)</f>
        <v>0</v>
      </c>
    </row>
    <row r="473" spans="6:12">
      <c r="F473" s="17" t="str">
        <f ca="1">IFERROR(INDEX(DBRANEQ!$H$10:$H$500,MATCH(ROW(E463),$G$11:$G$500,0)),"")</f>
        <v/>
      </c>
      <c r="G473" s="17" t="str">
        <f ca="1">IF(H473=0,"",COUNTIF($H$11:H473,"&gt;0"))</f>
        <v/>
      </c>
      <c r="H473" s="17">
        <f ca="1">IFERROR(SEARCH(INDIRECT(CELL("address")),DBRANEQ!H472),0)</f>
        <v>0</v>
      </c>
      <c r="J473" t="str">
        <f ca="1">IFERROR(INDEX(DBTXEQ!$H$10:$H$500,MATCH(ROW(I463),$K$11:$K$500,0)),"")</f>
        <v/>
      </c>
      <c r="K473" t="str">
        <f ca="1">IF(L473=0,"",COUNTIF($L$11:L473,"&gt;0"))</f>
        <v/>
      </c>
      <c r="L473">
        <f ca="1">IFERROR(SEARCH(INDIRECT(CELL("address")),DBTXEQ!H472),0)</f>
        <v>0</v>
      </c>
    </row>
    <row r="474" spans="6:12">
      <c r="F474" s="17" t="str">
        <f ca="1">IFERROR(INDEX(DBRANEQ!$H$10:$H$500,MATCH(ROW(E464),$G$11:$G$500,0)),"")</f>
        <v/>
      </c>
      <c r="G474" s="17" t="str">
        <f ca="1">IF(H474=0,"",COUNTIF($H$11:H474,"&gt;0"))</f>
        <v/>
      </c>
      <c r="H474" s="17">
        <f ca="1">IFERROR(SEARCH(INDIRECT(CELL("address")),DBRANEQ!H473),0)</f>
        <v>0</v>
      </c>
      <c r="J474" t="str">
        <f ca="1">IFERROR(INDEX(DBTXEQ!$H$10:$H$500,MATCH(ROW(I464),$K$11:$K$500,0)),"")</f>
        <v/>
      </c>
      <c r="K474" t="str">
        <f ca="1">IF(L474=0,"",COUNTIF($L$11:L474,"&gt;0"))</f>
        <v/>
      </c>
      <c r="L474">
        <f ca="1">IFERROR(SEARCH(INDIRECT(CELL("address")),DBTXEQ!H473),0)</f>
        <v>0</v>
      </c>
    </row>
    <row r="475" spans="6:12">
      <c r="F475" s="17" t="str">
        <f ca="1">IFERROR(INDEX(DBRANEQ!$H$10:$H$500,MATCH(ROW(E465),$G$11:$G$500,0)),"")</f>
        <v/>
      </c>
      <c r="G475" s="17" t="str">
        <f ca="1">IF(H475=0,"",COUNTIF($H$11:H475,"&gt;0"))</f>
        <v/>
      </c>
      <c r="H475" s="17">
        <f ca="1">IFERROR(SEARCH(INDIRECT(CELL("address")),DBRANEQ!H474),0)</f>
        <v>0</v>
      </c>
      <c r="J475" t="str">
        <f ca="1">IFERROR(INDEX(DBTXEQ!$H$10:$H$500,MATCH(ROW(I465),$K$11:$K$500,0)),"")</f>
        <v/>
      </c>
      <c r="K475" t="str">
        <f ca="1">IF(L475=0,"",COUNTIF($L$11:L475,"&gt;0"))</f>
        <v/>
      </c>
      <c r="L475">
        <f ca="1">IFERROR(SEARCH(INDIRECT(CELL("address")),DBTXEQ!H474),0)</f>
        <v>0</v>
      </c>
    </row>
    <row r="476" spans="6:12">
      <c r="F476" s="17" t="str">
        <f ca="1">IFERROR(INDEX(DBRANEQ!$H$10:$H$500,MATCH(ROW(E466),$G$11:$G$500,0)),"")</f>
        <v/>
      </c>
      <c r="G476" s="17" t="str">
        <f ca="1">IF(H476=0,"",COUNTIF($H$11:H476,"&gt;0"))</f>
        <v/>
      </c>
      <c r="H476" s="17">
        <f ca="1">IFERROR(SEARCH(INDIRECT(CELL("address")),DBRANEQ!H475),0)</f>
        <v>0</v>
      </c>
      <c r="J476" t="str">
        <f ca="1">IFERROR(INDEX(DBTXEQ!$H$10:$H$500,MATCH(ROW(I466),$K$11:$K$500,0)),"")</f>
        <v/>
      </c>
      <c r="K476" t="str">
        <f ca="1">IF(L476=0,"",COUNTIF($L$11:L476,"&gt;0"))</f>
        <v/>
      </c>
      <c r="L476">
        <f ca="1">IFERROR(SEARCH(INDIRECT(CELL("address")),DBTXEQ!H475),0)</f>
        <v>0</v>
      </c>
    </row>
    <row r="477" spans="6:12">
      <c r="F477" s="17" t="str">
        <f ca="1">IFERROR(INDEX(DBRANEQ!$H$10:$H$500,MATCH(ROW(E467),$G$11:$G$500,0)),"")</f>
        <v/>
      </c>
      <c r="G477" s="17" t="str">
        <f ca="1">IF(H477=0,"",COUNTIF($H$11:H477,"&gt;0"))</f>
        <v/>
      </c>
      <c r="H477" s="17">
        <f ca="1">IFERROR(SEARCH(INDIRECT(CELL("address")),DBRANEQ!H476),0)</f>
        <v>0</v>
      </c>
      <c r="J477" t="str">
        <f ca="1">IFERROR(INDEX(DBTXEQ!$H$10:$H$500,MATCH(ROW(I467),$K$11:$K$500,0)),"")</f>
        <v/>
      </c>
      <c r="K477" t="str">
        <f ca="1">IF(L477=0,"",COUNTIF($L$11:L477,"&gt;0"))</f>
        <v/>
      </c>
      <c r="L477">
        <f ca="1">IFERROR(SEARCH(INDIRECT(CELL("address")),DBTXEQ!H476),0)</f>
        <v>0</v>
      </c>
    </row>
    <row r="478" spans="6:12">
      <c r="F478" s="17" t="str">
        <f ca="1">IFERROR(INDEX(DBRANEQ!$H$10:$H$500,MATCH(ROW(E468),$G$11:$G$500,0)),"")</f>
        <v/>
      </c>
      <c r="G478" s="17" t="str">
        <f ca="1">IF(H478=0,"",COUNTIF($H$11:H478,"&gt;0"))</f>
        <v/>
      </c>
      <c r="H478" s="17">
        <f ca="1">IFERROR(SEARCH(INDIRECT(CELL("address")),DBRANEQ!H477),0)</f>
        <v>0</v>
      </c>
      <c r="J478" t="str">
        <f ca="1">IFERROR(INDEX(DBTXEQ!$H$10:$H$500,MATCH(ROW(I468),$K$11:$K$500,0)),"")</f>
        <v/>
      </c>
      <c r="K478" t="str">
        <f ca="1">IF(L478=0,"",COUNTIF($L$11:L478,"&gt;0"))</f>
        <v/>
      </c>
      <c r="L478">
        <f ca="1">IFERROR(SEARCH(INDIRECT(CELL("address")),DBTXEQ!H477),0)</f>
        <v>0</v>
      </c>
    </row>
    <row r="479" spans="6:12">
      <c r="F479" s="17" t="str">
        <f ca="1">IFERROR(INDEX(DBRANEQ!$H$10:$H$500,MATCH(ROW(E469),$G$11:$G$500,0)),"")</f>
        <v/>
      </c>
      <c r="G479" s="17" t="str">
        <f ca="1">IF(H479=0,"",COUNTIF($H$11:H479,"&gt;0"))</f>
        <v/>
      </c>
      <c r="H479" s="17">
        <f ca="1">IFERROR(SEARCH(INDIRECT(CELL("address")),DBRANEQ!H478),0)</f>
        <v>0</v>
      </c>
      <c r="J479" t="str">
        <f ca="1">IFERROR(INDEX(DBTXEQ!$H$10:$H$500,MATCH(ROW(I469),$K$11:$K$500,0)),"")</f>
        <v/>
      </c>
      <c r="K479" t="str">
        <f ca="1">IF(L479=0,"",COUNTIF($L$11:L479,"&gt;0"))</f>
        <v/>
      </c>
      <c r="L479">
        <f ca="1">IFERROR(SEARCH(INDIRECT(CELL("address")),DBTXEQ!H478),0)</f>
        <v>0</v>
      </c>
    </row>
    <row r="480" spans="6:12">
      <c r="F480" s="17" t="str">
        <f ca="1">IFERROR(INDEX(DBRANEQ!$H$10:$H$500,MATCH(ROW(E470),$G$11:$G$500,0)),"")</f>
        <v/>
      </c>
      <c r="G480" s="17" t="str">
        <f ca="1">IF(H480=0,"",COUNTIF($H$11:H480,"&gt;0"))</f>
        <v/>
      </c>
      <c r="H480" s="17">
        <f ca="1">IFERROR(SEARCH(INDIRECT(CELL("address")),DBRANEQ!H479),0)</f>
        <v>0</v>
      </c>
      <c r="J480" t="str">
        <f ca="1">IFERROR(INDEX(DBTXEQ!$H$10:$H$500,MATCH(ROW(I470),$K$11:$K$500,0)),"")</f>
        <v/>
      </c>
      <c r="K480" t="str">
        <f ca="1">IF(L480=0,"",COUNTIF($L$11:L480,"&gt;0"))</f>
        <v/>
      </c>
      <c r="L480">
        <f ca="1">IFERROR(SEARCH(INDIRECT(CELL("address")),DBTXEQ!H479),0)</f>
        <v>0</v>
      </c>
    </row>
    <row r="481" spans="6:12">
      <c r="F481" s="17" t="str">
        <f ca="1">IFERROR(INDEX(DBRANEQ!$H$10:$H$500,MATCH(ROW(E471),$G$11:$G$500,0)),"")</f>
        <v/>
      </c>
      <c r="G481" s="17" t="str">
        <f ca="1">IF(H481=0,"",COUNTIF($H$11:H481,"&gt;0"))</f>
        <v/>
      </c>
      <c r="H481" s="17">
        <f ca="1">IFERROR(SEARCH(INDIRECT(CELL("address")),DBRANEQ!H480),0)</f>
        <v>0</v>
      </c>
      <c r="J481" t="str">
        <f ca="1">IFERROR(INDEX(DBTXEQ!$H$10:$H$500,MATCH(ROW(I471),$K$11:$K$500,0)),"")</f>
        <v/>
      </c>
      <c r="K481" t="str">
        <f ca="1">IF(L481=0,"",COUNTIF($L$11:L481,"&gt;0"))</f>
        <v/>
      </c>
      <c r="L481">
        <f ca="1">IFERROR(SEARCH(INDIRECT(CELL("address")),DBTXEQ!H480),0)</f>
        <v>0</v>
      </c>
    </row>
    <row r="482" spans="6:12">
      <c r="F482" s="17" t="str">
        <f ca="1">IFERROR(INDEX(DBRANEQ!$H$10:$H$500,MATCH(ROW(E472),$G$11:$G$500,0)),"")</f>
        <v/>
      </c>
      <c r="G482" s="17" t="str">
        <f ca="1">IF(H482=0,"",COUNTIF($H$11:H482,"&gt;0"))</f>
        <v/>
      </c>
      <c r="H482" s="17">
        <f ca="1">IFERROR(SEARCH(INDIRECT(CELL("address")),DBRANEQ!H481),0)</f>
        <v>0</v>
      </c>
      <c r="J482" t="str">
        <f ca="1">IFERROR(INDEX(DBTXEQ!$H$10:$H$500,MATCH(ROW(I472),$K$11:$K$500,0)),"")</f>
        <v/>
      </c>
      <c r="K482" t="str">
        <f ca="1">IF(L482=0,"",COUNTIF($L$11:L482,"&gt;0"))</f>
        <v/>
      </c>
      <c r="L482">
        <f ca="1">IFERROR(SEARCH(INDIRECT(CELL("address")),DBTXEQ!H481),0)</f>
        <v>0</v>
      </c>
    </row>
    <row r="483" spans="6:12">
      <c r="F483" s="17" t="str">
        <f ca="1">IFERROR(INDEX(DBRANEQ!$H$10:$H$500,MATCH(ROW(E473),$G$11:$G$500,0)),"")</f>
        <v/>
      </c>
      <c r="G483" s="17" t="str">
        <f ca="1">IF(H483=0,"",COUNTIF($H$11:H483,"&gt;0"))</f>
        <v/>
      </c>
      <c r="H483" s="17">
        <f ca="1">IFERROR(SEARCH(INDIRECT(CELL("address")),DBRANEQ!H482),0)</f>
        <v>0</v>
      </c>
      <c r="J483" t="str">
        <f ca="1">IFERROR(INDEX(DBTXEQ!$H$10:$H$500,MATCH(ROW(I473),$K$11:$K$500,0)),"")</f>
        <v/>
      </c>
      <c r="K483" t="str">
        <f ca="1">IF(L483=0,"",COUNTIF($L$11:L483,"&gt;0"))</f>
        <v/>
      </c>
      <c r="L483">
        <f ca="1">IFERROR(SEARCH(INDIRECT(CELL("address")),DBTXEQ!H482),0)</f>
        <v>0</v>
      </c>
    </row>
    <row r="484" spans="6:12">
      <c r="F484" s="17" t="str">
        <f ca="1">IFERROR(INDEX(DBRANEQ!$H$10:$H$500,MATCH(ROW(E474),$G$11:$G$500,0)),"")</f>
        <v/>
      </c>
      <c r="G484" s="17" t="str">
        <f ca="1">IF(H484=0,"",COUNTIF($H$11:H484,"&gt;0"))</f>
        <v/>
      </c>
      <c r="H484" s="17">
        <f ca="1">IFERROR(SEARCH(INDIRECT(CELL("address")),DBRANEQ!H483),0)</f>
        <v>0</v>
      </c>
      <c r="J484" t="str">
        <f ca="1">IFERROR(INDEX(DBTXEQ!$H$10:$H$500,MATCH(ROW(I474),$K$11:$K$500,0)),"")</f>
        <v/>
      </c>
      <c r="K484" t="str">
        <f ca="1">IF(L484=0,"",COUNTIF($L$11:L484,"&gt;0"))</f>
        <v/>
      </c>
      <c r="L484">
        <f ca="1">IFERROR(SEARCH(INDIRECT(CELL("address")),DBTXEQ!H483),0)</f>
        <v>0</v>
      </c>
    </row>
    <row r="485" spans="6:12">
      <c r="F485" s="17" t="str">
        <f ca="1">IFERROR(INDEX(DBRANEQ!$H$10:$H$500,MATCH(ROW(E475),$G$11:$G$500,0)),"")</f>
        <v/>
      </c>
      <c r="G485" s="17" t="str">
        <f ca="1">IF(H485=0,"",COUNTIF($H$11:H485,"&gt;0"))</f>
        <v/>
      </c>
      <c r="H485" s="17">
        <f ca="1">IFERROR(SEARCH(INDIRECT(CELL("address")),DBRANEQ!H484),0)</f>
        <v>0</v>
      </c>
      <c r="J485" t="str">
        <f ca="1">IFERROR(INDEX(DBTXEQ!$H$10:$H$500,MATCH(ROW(I475),$K$11:$K$500,0)),"")</f>
        <v/>
      </c>
      <c r="K485" t="str">
        <f ca="1">IF(L485=0,"",COUNTIF($L$11:L485,"&gt;0"))</f>
        <v/>
      </c>
      <c r="L485">
        <f ca="1">IFERROR(SEARCH(INDIRECT(CELL("address")),DBTXEQ!H484),0)</f>
        <v>0</v>
      </c>
    </row>
    <row r="486" spans="6:12">
      <c r="F486" s="17" t="str">
        <f ca="1">IFERROR(INDEX(DBRANEQ!$H$10:$H$500,MATCH(ROW(E476),$G$11:$G$500,0)),"")</f>
        <v/>
      </c>
      <c r="G486" s="17" t="str">
        <f ca="1">IF(H486=0,"",COUNTIF($H$11:H486,"&gt;0"))</f>
        <v/>
      </c>
      <c r="H486" s="17">
        <f ca="1">IFERROR(SEARCH(INDIRECT(CELL("address")),DBRANEQ!H485),0)</f>
        <v>0</v>
      </c>
      <c r="J486" t="str">
        <f ca="1">IFERROR(INDEX(DBTXEQ!$H$10:$H$500,MATCH(ROW(I476),$K$11:$K$500,0)),"")</f>
        <v/>
      </c>
      <c r="K486" t="str">
        <f ca="1">IF(L486=0,"",COUNTIF($L$11:L486,"&gt;0"))</f>
        <v/>
      </c>
      <c r="L486">
        <f ca="1">IFERROR(SEARCH(INDIRECT(CELL("address")),DBTXEQ!H485),0)</f>
        <v>0</v>
      </c>
    </row>
    <row r="487" spans="6:12">
      <c r="F487" s="17" t="str">
        <f ca="1">IFERROR(INDEX(DBRANEQ!$H$10:$H$500,MATCH(ROW(E477),$G$11:$G$500,0)),"")</f>
        <v/>
      </c>
      <c r="G487" s="17" t="str">
        <f ca="1">IF(H487=0,"",COUNTIF($H$11:H487,"&gt;0"))</f>
        <v/>
      </c>
      <c r="H487" s="17">
        <f ca="1">IFERROR(SEARCH(INDIRECT(CELL("address")),DBRANEQ!H486),0)</f>
        <v>0</v>
      </c>
      <c r="J487" t="str">
        <f ca="1">IFERROR(INDEX(DBTXEQ!$H$10:$H$500,MATCH(ROW(I477),$K$11:$K$500,0)),"")</f>
        <v/>
      </c>
      <c r="K487" t="str">
        <f ca="1">IF(L487=0,"",COUNTIF($L$11:L487,"&gt;0"))</f>
        <v/>
      </c>
      <c r="L487">
        <f ca="1">IFERROR(SEARCH(INDIRECT(CELL("address")),DBTXEQ!H486),0)</f>
        <v>0</v>
      </c>
    </row>
    <row r="488" spans="6:12">
      <c r="F488" s="17" t="str">
        <f ca="1">IFERROR(INDEX(DBRANEQ!$H$10:$H$500,MATCH(ROW(E478),$G$11:$G$500,0)),"")</f>
        <v/>
      </c>
      <c r="G488" s="17" t="str">
        <f ca="1">IF(H488=0,"",COUNTIF($H$11:H488,"&gt;0"))</f>
        <v/>
      </c>
      <c r="H488" s="17">
        <f ca="1">IFERROR(SEARCH(INDIRECT(CELL("address")),DBRANEQ!H487),0)</f>
        <v>0</v>
      </c>
      <c r="J488" t="str">
        <f ca="1">IFERROR(INDEX(DBTXEQ!$H$10:$H$500,MATCH(ROW(I478),$K$11:$K$500,0)),"")</f>
        <v/>
      </c>
      <c r="K488" t="str">
        <f ca="1">IF(L488=0,"",COUNTIF($L$11:L488,"&gt;0"))</f>
        <v/>
      </c>
      <c r="L488">
        <f ca="1">IFERROR(SEARCH(INDIRECT(CELL("address")),DBTXEQ!H487),0)</f>
        <v>0</v>
      </c>
    </row>
    <row r="489" spans="6:12">
      <c r="F489" s="17" t="str">
        <f ca="1">IFERROR(INDEX(DBRANEQ!$H$10:$H$500,MATCH(ROW(E479),$G$11:$G$500,0)),"")</f>
        <v/>
      </c>
      <c r="G489" s="17" t="str">
        <f ca="1">IF(H489=0,"",COUNTIF($H$11:H489,"&gt;0"))</f>
        <v/>
      </c>
      <c r="H489" s="17">
        <f ca="1">IFERROR(SEARCH(INDIRECT(CELL("address")),DBRANEQ!H488),0)</f>
        <v>0</v>
      </c>
      <c r="J489" t="str">
        <f ca="1">IFERROR(INDEX(DBTXEQ!$H$10:$H$500,MATCH(ROW(I479),$K$11:$K$500,0)),"")</f>
        <v/>
      </c>
      <c r="K489" t="str">
        <f ca="1">IF(L489=0,"",COUNTIF($L$11:L489,"&gt;0"))</f>
        <v/>
      </c>
      <c r="L489">
        <f ca="1">IFERROR(SEARCH(INDIRECT(CELL("address")),DBTXEQ!H488),0)</f>
        <v>0</v>
      </c>
    </row>
    <row r="490" spans="6:12">
      <c r="F490" s="17" t="str">
        <f ca="1">IFERROR(INDEX(DBRANEQ!$H$10:$H$500,MATCH(ROW(E480),$G$11:$G$500,0)),"")</f>
        <v/>
      </c>
      <c r="G490" s="17" t="str">
        <f ca="1">IF(H490=0,"",COUNTIF($H$11:H490,"&gt;0"))</f>
        <v/>
      </c>
      <c r="H490" s="17">
        <f ca="1">IFERROR(SEARCH(INDIRECT(CELL("address")),DBRANEQ!H489),0)</f>
        <v>0</v>
      </c>
      <c r="J490" t="str">
        <f ca="1">IFERROR(INDEX(DBTXEQ!$H$10:$H$500,MATCH(ROW(I480),$K$11:$K$500,0)),"")</f>
        <v/>
      </c>
      <c r="K490" t="str">
        <f ca="1">IF(L490=0,"",COUNTIF($L$11:L490,"&gt;0"))</f>
        <v/>
      </c>
      <c r="L490">
        <f ca="1">IFERROR(SEARCH(INDIRECT(CELL("address")),DBTXEQ!H489),0)</f>
        <v>0</v>
      </c>
    </row>
    <row r="491" spans="6:12">
      <c r="F491" s="17" t="str">
        <f ca="1">IFERROR(INDEX(DBRANEQ!$H$10:$H$500,MATCH(ROW(E481),$G$11:$G$500,0)),"")</f>
        <v/>
      </c>
      <c r="G491" s="17" t="str">
        <f ca="1">IF(H491=0,"",COUNTIF($H$11:H491,"&gt;0"))</f>
        <v/>
      </c>
      <c r="H491" s="17">
        <f ca="1">IFERROR(SEARCH(INDIRECT(CELL("address")),DBRANEQ!H490),0)</f>
        <v>0</v>
      </c>
      <c r="J491" t="str">
        <f ca="1">IFERROR(INDEX(DBTXEQ!$H$10:$H$500,MATCH(ROW(I481),$K$11:$K$500,0)),"")</f>
        <v/>
      </c>
      <c r="K491" t="str">
        <f ca="1">IF(L491=0,"",COUNTIF($L$11:L491,"&gt;0"))</f>
        <v/>
      </c>
      <c r="L491">
        <f ca="1">IFERROR(SEARCH(INDIRECT(CELL("address")),DBTXEQ!H490),0)</f>
        <v>0</v>
      </c>
    </row>
    <row r="492" spans="6:12">
      <c r="F492" s="17" t="str">
        <f ca="1">IFERROR(INDEX(DBRANEQ!$H$10:$H$500,MATCH(ROW(E482),$G$11:$G$500,0)),"")</f>
        <v/>
      </c>
      <c r="G492" s="17" t="str">
        <f ca="1">IF(H492=0,"",COUNTIF($H$11:H492,"&gt;0"))</f>
        <v/>
      </c>
      <c r="H492" s="17">
        <f ca="1">IFERROR(SEARCH(INDIRECT(CELL("address")),DBRANEQ!H491),0)</f>
        <v>0</v>
      </c>
      <c r="J492" t="str">
        <f ca="1">IFERROR(INDEX(DBTXEQ!$H$10:$H$500,MATCH(ROW(I482),$K$11:$K$500,0)),"")</f>
        <v/>
      </c>
      <c r="K492" t="str">
        <f ca="1">IF(L492=0,"",COUNTIF($L$11:L492,"&gt;0"))</f>
        <v/>
      </c>
      <c r="L492">
        <f ca="1">IFERROR(SEARCH(INDIRECT(CELL("address")),DBTXEQ!H491),0)</f>
        <v>0</v>
      </c>
    </row>
    <row r="493" spans="6:12">
      <c r="F493" s="17" t="str">
        <f ca="1">IFERROR(INDEX(DBRANEQ!$H$10:$H$500,MATCH(ROW(E483),$G$11:$G$500,0)),"")</f>
        <v/>
      </c>
      <c r="G493" s="17" t="str">
        <f ca="1">IF(H493=0,"",COUNTIF($H$11:H493,"&gt;0"))</f>
        <v/>
      </c>
      <c r="H493" s="17">
        <f ca="1">IFERROR(SEARCH(INDIRECT(CELL("address")),DBRANEQ!H492),0)</f>
        <v>0</v>
      </c>
      <c r="J493" t="str">
        <f ca="1">IFERROR(INDEX(DBTXEQ!$H$10:$H$500,MATCH(ROW(I483),$K$11:$K$500,0)),"")</f>
        <v/>
      </c>
      <c r="K493" t="str">
        <f ca="1">IF(L493=0,"",COUNTIF($L$11:L493,"&gt;0"))</f>
        <v/>
      </c>
      <c r="L493">
        <f ca="1">IFERROR(SEARCH(INDIRECT(CELL("address")),DBTXEQ!H492),0)</f>
        <v>0</v>
      </c>
    </row>
    <row r="494" spans="6:12">
      <c r="F494" s="17" t="str">
        <f ca="1">IFERROR(INDEX(DBRANEQ!$H$10:$H$500,MATCH(ROW(E484),$G$11:$G$500,0)),"")</f>
        <v/>
      </c>
      <c r="G494" s="17" t="str">
        <f ca="1">IF(H494=0,"",COUNTIF($H$11:H494,"&gt;0"))</f>
        <v/>
      </c>
      <c r="H494" s="17">
        <f ca="1">IFERROR(SEARCH(INDIRECT(CELL("address")),DBRANEQ!H493),0)</f>
        <v>0</v>
      </c>
      <c r="J494" t="str">
        <f ca="1">IFERROR(INDEX(DBTXEQ!$H$10:$H$500,MATCH(ROW(I484),$K$11:$K$500,0)),"")</f>
        <v/>
      </c>
      <c r="K494" t="str">
        <f ca="1">IF(L494=0,"",COUNTIF($L$11:L494,"&gt;0"))</f>
        <v/>
      </c>
      <c r="L494">
        <f ca="1">IFERROR(SEARCH(INDIRECT(CELL("address")),DBTXEQ!H493),0)</f>
        <v>0</v>
      </c>
    </row>
    <row r="495" spans="6:12">
      <c r="F495" s="17" t="str">
        <f ca="1">IFERROR(INDEX(DBRANEQ!$H$10:$H$500,MATCH(ROW(E485),$G$11:$G$500,0)),"")</f>
        <v/>
      </c>
      <c r="G495" s="17" t="str">
        <f ca="1">IF(H495=0,"",COUNTIF($H$11:H495,"&gt;0"))</f>
        <v/>
      </c>
      <c r="H495" s="17">
        <f ca="1">IFERROR(SEARCH(INDIRECT(CELL("address")),DBRANEQ!H494),0)</f>
        <v>0</v>
      </c>
      <c r="J495" t="str">
        <f ca="1">IFERROR(INDEX(DBTXEQ!$H$10:$H$500,MATCH(ROW(I485),$K$11:$K$500,0)),"")</f>
        <v/>
      </c>
      <c r="K495" t="str">
        <f ca="1">IF(L495=0,"",COUNTIF($L$11:L495,"&gt;0"))</f>
        <v/>
      </c>
      <c r="L495">
        <f ca="1">IFERROR(SEARCH(INDIRECT(CELL("address")),DBTXEQ!H494),0)</f>
        <v>0</v>
      </c>
    </row>
    <row r="496" spans="6:12">
      <c r="F496" s="17" t="str">
        <f ca="1">IFERROR(INDEX(DBRANEQ!$H$10:$H$500,MATCH(ROW(E486),$G$11:$G$500,0)),"")</f>
        <v/>
      </c>
      <c r="G496" s="17" t="str">
        <f ca="1">IF(H496=0,"",COUNTIF($H$11:H496,"&gt;0"))</f>
        <v/>
      </c>
      <c r="H496" s="17">
        <f ca="1">IFERROR(SEARCH(INDIRECT(CELL("address")),DBRANEQ!H495),0)</f>
        <v>0</v>
      </c>
      <c r="J496" t="str">
        <f ca="1">IFERROR(INDEX(DBTXEQ!$H$10:$H$500,MATCH(ROW(I486),$K$11:$K$500,0)),"")</f>
        <v/>
      </c>
      <c r="K496" t="str">
        <f ca="1">IF(L496=0,"",COUNTIF($L$11:L496,"&gt;0"))</f>
        <v/>
      </c>
      <c r="L496">
        <f ca="1">IFERROR(SEARCH(INDIRECT(CELL("address")),DBTXEQ!H495),0)</f>
        <v>0</v>
      </c>
    </row>
    <row r="497" spans="6:12">
      <c r="F497" s="17" t="str">
        <f ca="1">IFERROR(INDEX(DBRANEQ!$H$10:$H$500,MATCH(ROW(E487),$G$11:$G$500,0)),"")</f>
        <v/>
      </c>
      <c r="G497" s="17" t="str">
        <f ca="1">IF(H497=0,"",COUNTIF($H$11:H497,"&gt;0"))</f>
        <v/>
      </c>
      <c r="H497" s="17">
        <f ca="1">IFERROR(SEARCH(INDIRECT(CELL("address")),DBRANEQ!H496),0)</f>
        <v>0</v>
      </c>
      <c r="J497" t="str">
        <f ca="1">IFERROR(INDEX(DBTXEQ!$H$10:$H$500,MATCH(ROW(I487),$K$11:$K$500,0)),"")</f>
        <v/>
      </c>
      <c r="K497" t="str">
        <f ca="1">IF(L497=0,"",COUNTIF($L$11:L497,"&gt;0"))</f>
        <v/>
      </c>
      <c r="L497">
        <f ca="1">IFERROR(SEARCH(INDIRECT(CELL("address")),DBTXEQ!H496),0)</f>
        <v>0</v>
      </c>
    </row>
    <row r="498" spans="6:12">
      <c r="F498" s="17" t="str">
        <f ca="1">IFERROR(INDEX(DBRANEQ!$H$10:$H$500,MATCH(ROW(E488),$G$11:$G$500,0)),"")</f>
        <v/>
      </c>
      <c r="G498" s="17" t="str">
        <f ca="1">IF(H498=0,"",COUNTIF($H$11:H498,"&gt;0"))</f>
        <v/>
      </c>
      <c r="H498" s="17">
        <f ca="1">IFERROR(SEARCH(INDIRECT(CELL("address")),DBRANEQ!H497),0)</f>
        <v>0</v>
      </c>
      <c r="J498" t="str">
        <f ca="1">IFERROR(INDEX(DBTXEQ!$H$10:$H$500,MATCH(ROW(I488),$K$11:$K$500,0)),"")</f>
        <v/>
      </c>
      <c r="K498" t="str">
        <f ca="1">IF(L498=0,"",COUNTIF($L$11:L498,"&gt;0"))</f>
        <v/>
      </c>
      <c r="L498">
        <f ca="1">IFERROR(SEARCH(INDIRECT(CELL("address")),DBTXEQ!H497),0)</f>
        <v>0</v>
      </c>
    </row>
    <row r="499" spans="6:12">
      <c r="F499" s="17" t="str">
        <f ca="1">IFERROR(INDEX(DBRANEQ!$H$10:$H$500,MATCH(ROW(E489),$G$11:$G$500,0)),"")</f>
        <v/>
      </c>
      <c r="G499" s="17" t="str">
        <f ca="1">IF(H499=0,"",COUNTIF($H$11:H499,"&gt;0"))</f>
        <v/>
      </c>
      <c r="H499" s="17">
        <f ca="1">IFERROR(SEARCH(INDIRECT(CELL("address")),DBRANEQ!H498),0)</f>
        <v>0</v>
      </c>
      <c r="J499" t="str">
        <f ca="1">IFERROR(INDEX(DBTXEQ!$H$10:$H$500,MATCH(ROW(I489),$K$11:$K$500,0)),"")</f>
        <v/>
      </c>
      <c r="K499" t="str">
        <f ca="1">IF(L499=0,"",COUNTIF($L$11:L499,"&gt;0"))</f>
        <v/>
      </c>
      <c r="L499">
        <f ca="1">IFERROR(SEARCH(INDIRECT(CELL("address")),DBTXEQ!H498),0)</f>
        <v>0</v>
      </c>
    </row>
    <row r="500" spans="6:12">
      <c r="F500" s="17" t="str">
        <f ca="1">IFERROR(INDEX(DBRANEQ!$H$10:$H$500,MATCH(ROW(E490),$G$11:$G$500,0)),"")</f>
        <v/>
      </c>
      <c r="G500" s="17" t="str">
        <f ca="1">IF(H500=0,"",COUNTIF($H$11:H500,"&gt;0"))</f>
        <v/>
      </c>
      <c r="H500" s="17">
        <f ca="1">IFERROR(SEARCH(INDIRECT(CELL("address")),DBRANEQ!H499),0)</f>
        <v>0</v>
      </c>
      <c r="J500" t="str">
        <f ca="1">IFERROR(INDEX(DBTXEQ!$H$10:$H$500,MATCH(ROW(I490),$K$11:$K$500,0)),"")</f>
        <v/>
      </c>
      <c r="K500" t="str">
        <f ca="1">IF(L500=0,"",COUNTIF($L$11:L500,"&gt;0"))</f>
        <v/>
      </c>
      <c r="L500">
        <f ca="1">IFERROR(SEARCH(INDIRECT(CELL("address")),DBTXEQ!H499),0)</f>
        <v>0</v>
      </c>
    </row>
  </sheetData>
  <mergeCells count="24">
    <mergeCell ref="F2:L4"/>
    <mergeCell ref="B48:D48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36:D36"/>
    <mergeCell ref="B26:D26"/>
    <mergeCell ref="B27:D27"/>
    <mergeCell ref="B33:D33"/>
    <mergeCell ref="B34:D34"/>
    <mergeCell ref="B35:D35"/>
    <mergeCell ref="B28:D28"/>
    <mergeCell ref="B29:D29"/>
    <mergeCell ref="B30:D30"/>
    <mergeCell ref="B31:D31"/>
    <mergeCell ref="B32:D32"/>
  </mergeCells>
  <hyperlinks>
    <hyperlink ref="B10" location="'DASH'!A1" display="DASHBOARD" xr:uid="{2683DAC7-58D5-4B0B-B803-6CA3DBAA25AB}"/>
    <hyperlink ref="B11" location="'DES-GL'!A1" display="DESIGN GUIDELINES" xr:uid="{3FABC415-3224-4917-8812-8D1682888F97}"/>
    <hyperlink ref="B13" location="'EXT-MAINS-DT'!A1" display="EXISTING POWER DESIGN" xr:uid="{C2E8FDBE-BD4F-490F-8BB2-C481D9E3CD01}"/>
    <hyperlink ref="B14" location="'EXT-CALC'!A1" display="EXISTING DEMAND" xr:uid="{CB749486-0D4B-43EE-AFED-FD66290B95C2}"/>
    <hyperlink ref="B16" location="'CALC'!A1" display="POWER CALCULATOR" xr:uid="{F5E049E5-FCC3-420F-9030-BDB5404D0435}"/>
    <hyperlink ref="B17" location="'PLBC-CALC'!A1" display="PLBC CALCULATOR" xr:uid="{1CC4B1EE-EBE7-494D-8739-9462D2E1F013}"/>
    <hyperlink ref="B18" location="'VDC'!A1" display="VD CALCULATOR" xr:uid="{6B848561-6238-406B-A3DD-73706321FB61}"/>
    <hyperlink ref="B20" location="'PRP-SOL'!A1" display="PROPOSED POWER DESIGN" xr:uid="{7764B953-DF40-419A-AF9C-9F62C978D312}"/>
    <hyperlink ref="B25" location="'DC'!A1" display="DOCUMENT CONTROL" xr:uid="{B3D5792E-357B-4118-922D-99295E9BDBCD}"/>
  </hyperlinks>
  <pageMargins left="0.7" right="0.7" top="0.75" bottom="0.75" header="0.3" footer="0.3"/>
  <pageSetup paperSize="9" orientation="portrait" r:id="rId1"/>
  <headerFooter>
    <oddHeader>&amp;C&amp;"Calibri"&amp;10&amp;K000000 [Confidential]&amp;1#_x000D_</oddHeader>
  </headerFooter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A7926-4687-458F-855A-244B5EB0B5F0}">
  <sheetPr codeName="Sheet28"/>
  <dimension ref="B1:N48"/>
  <sheetViews>
    <sheetView showGridLines="0" topLeftCell="B2" workbookViewId="0">
      <selection activeCell="G43" sqref="G43:P45"/>
    </sheetView>
  </sheetViews>
  <sheetFormatPr defaultRowHeight="14.45"/>
  <cols>
    <col min="1" max="1" width="0" hidden="1" customWidth="1"/>
    <col min="2" max="4" width="9.28515625" style="1"/>
    <col min="6" max="6" width="17.7109375" bestFit="1" customWidth="1"/>
    <col min="7" max="7" width="19" bestFit="1" customWidth="1"/>
    <col min="8" max="8" width="8.28515625" customWidth="1"/>
    <col min="9" max="9" width="26" bestFit="1" customWidth="1"/>
    <col min="10" max="10" width="7.42578125" bestFit="1" customWidth="1"/>
    <col min="11" max="11" width="9" customWidth="1"/>
    <col min="12" max="12" width="28.5703125" bestFit="1" customWidth="1"/>
    <col min="13" max="13" width="11.85546875" bestFit="1" customWidth="1"/>
    <col min="14" max="20" width="9" customWidth="1"/>
    <col min="21" max="21" width="12.7109375" customWidth="1"/>
    <col min="22" max="22" width="13" customWidth="1"/>
    <col min="23" max="23" width="3" customWidth="1"/>
    <col min="24" max="24" width="38.7109375" customWidth="1"/>
  </cols>
  <sheetData>
    <row r="1" spans="2:14" ht="15" hidden="1" customHeight="1"/>
    <row r="2" spans="2:14" ht="15" customHeight="1">
      <c r="F2" s="287" t="s">
        <v>590</v>
      </c>
      <c r="G2" s="287"/>
      <c r="H2" s="287"/>
      <c r="I2" s="287"/>
      <c r="J2" s="287"/>
      <c r="K2" s="287"/>
      <c r="L2" s="287"/>
      <c r="M2" s="287"/>
      <c r="N2" s="287"/>
    </row>
    <row r="3" spans="2:14" ht="15" customHeight="1">
      <c r="F3" s="287"/>
      <c r="G3" s="287"/>
      <c r="H3" s="287"/>
      <c r="I3" s="287"/>
      <c r="J3" s="287"/>
      <c r="K3" s="287"/>
      <c r="L3" s="287"/>
      <c r="M3" s="287"/>
      <c r="N3" s="287"/>
    </row>
    <row r="4" spans="2:14" ht="15" customHeight="1">
      <c r="F4" s="288"/>
      <c r="G4" s="288"/>
      <c r="H4" s="288"/>
      <c r="I4" s="288"/>
      <c r="J4" s="288"/>
      <c r="K4" s="288"/>
      <c r="L4" s="288"/>
      <c r="M4" s="288"/>
      <c r="N4" s="288"/>
    </row>
    <row r="5" spans="2:14">
      <c r="F5" s="88" t="s">
        <v>591</v>
      </c>
      <c r="G5" t="s">
        <v>922</v>
      </c>
      <c r="L5" s="88" t="s">
        <v>591</v>
      </c>
      <c r="M5" t="s">
        <v>922</v>
      </c>
    </row>
    <row r="6" spans="2:14">
      <c r="F6" s="88" t="s">
        <v>1377</v>
      </c>
      <c r="G6" t="s">
        <v>1391</v>
      </c>
      <c r="I6" s="88" t="s">
        <v>591</v>
      </c>
      <c r="J6" t="s">
        <v>1384</v>
      </c>
      <c r="L6" s="88" t="s">
        <v>1377</v>
      </c>
      <c r="M6" t="s">
        <v>1385</v>
      </c>
    </row>
    <row r="7" spans="2:14">
      <c r="C7" s="2" t="s">
        <v>152</v>
      </c>
      <c r="D7" s="12">
        <f>DCVer</f>
        <v>12.7</v>
      </c>
    </row>
    <row r="8" spans="2:14" ht="15" customHeight="1">
      <c r="F8" s="88" t="s">
        <v>1719</v>
      </c>
      <c r="I8" s="88" t="s">
        <v>1720</v>
      </c>
      <c r="L8" s="88" t="s">
        <v>1721</v>
      </c>
    </row>
    <row r="9" spans="2:14">
      <c r="B9" s="18"/>
      <c r="C9" s="18"/>
      <c r="D9" s="18"/>
      <c r="I9" s="89" t="s">
        <v>1409</v>
      </c>
      <c r="L9" s="89" t="s">
        <v>1412</v>
      </c>
    </row>
    <row r="10" spans="2:14">
      <c r="B10" s="18" t="s">
        <v>151</v>
      </c>
      <c r="C10" s="18"/>
      <c r="D10" s="18"/>
      <c r="I10" s="89" t="s">
        <v>1388</v>
      </c>
      <c r="L10" s="89" t="s">
        <v>1411</v>
      </c>
    </row>
    <row r="11" spans="2:14">
      <c r="B11" s="18" t="s">
        <v>155</v>
      </c>
      <c r="C11" s="18"/>
      <c r="D11" s="18"/>
      <c r="I11" s="89" t="s">
        <v>1387</v>
      </c>
      <c r="L11" s="89" t="s">
        <v>1410</v>
      </c>
    </row>
    <row r="12" spans="2:14">
      <c r="B12" s="18"/>
      <c r="C12" s="18"/>
      <c r="D12" s="18"/>
      <c r="I12" s="89" t="s">
        <v>1394</v>
      </c>
    </row>
    <row r="13" spans="2:14">
      <c r="B13" s="18" t="s">
        <v>159</v>
      </c>
      <c r="C13" s="18"/>
      <c r="D13" s="18"/>
      <c r="I13" s="89" t="s">
        <v>1395</v>
      </c>
    </row>
    <row r="14" spans="2:14">
      <c r="B14" s="18" t="s">
        <v>162</v>
      </c>
      <c r="C14" s="18"/>
      <c r="D14" s="18"/>
      <c r="I14" s="89" t="s">
        <v>1397</v>
      </c>
    </row>
    <row r="15" spans="2:14">
      <c r="B15" s="18"/>
      <c r="C15" s="18"/>
      <c r="D15" s="18"/>
      <c r="I15" s="89" t="s">
        <v>1405</v>
      </c>
    </row>
    <row r="16" spans="2:14">
      <c r="B16" s="18" t="s">
        <v>167</v>
      </c>
      <c r="C16" s="18"/>
      <c r="D16" s="18"/>
      <c r="I16" s="89" t="s">
        <v>1403</v>
      </c>
    </row>
    <row r="17" spans="2:9">
      <c r="B17" s="18" t="s">
        <v>170</v>
      </c>
      <c r="C17" s="18"/>
      <c r="D17" s="18"/>
      <c r="I17" s="89" t="s">
        <v>1406</v>
      </c>
    </row>
    <row r="18" spans="2:9">
      <c r="B18" s="18" t="s">
        <v>173</v>
      </c>
      <c r="C18" s="18"/>
      <c r="D18" s="18"/>
      <c r="I18" s="89" t="s">
        <v>1399</v>
      </c>
    </row>
    <row r="19" spans="2:9">
      <c r="B19" s="18"/>
      <c r="C19" s="18"/>
      <c r="D19" s="18"/>
      <c r="I19" s="89" t="s">
        <v>1383</v>
      </c>
    </row>
    <row r="20" spans="2:9">
      <c r="B20" s="18" t="s">
        <v>176</v>
      </c>
      <c r="C20" s="18"/>
      <c r="D20" s="18"/>
      <c r="I20" s="89" t="s">
        <v>1390</v>
      </c>
    </row>
    <row r="21" spans="2:9">
      <c r="B21" s="18"/>
      <c r="C21" s="18"/>
      <c r="D21" s="18"/>
      <c r="I21" s="89" t="s">
        <v>1392</v>
      </c>
    </row>
    <row r="22" spans="2:9">
      <c r="B22" s="18"/>
      <c r="C22" s="18"/>
      <c r="D22" s="18"/>
      <c r="I22" s="89" t="s">
        <v>1393</v>
      </c>
    </row>
    <row r="23" spans="2:9">
      <c r="B23" s="18"/>
      <c r="C23" s="18"/>
      <c r="D23" s="18"/>
      <c r="I23" s="89" t="s">
        <v>1401</v>
      </c>
    </row>
    <row r="24" spans="2:9">
      <c r="B24" s="18"/>
      <c r="C24" s="18"/>
      <c r="D24" s="18"/>
      <c r="I24" s="89" t="s">
        <v>1416</v>
      </c>
    </row>
    <row r="25" spans="2:9">
      <c r="B25" s="18" t="s">
        <v>182</v>
      </c>
      <c r="C25" s="18"/>
      <c r="D25" s="18"/>
      <c r="I25" s="89" t="s">
        <v>1417</v>
      </c>
    </row>
    <row r="26" spans="2:9" ht="15" customHeight="1">
      <c r="B26" s="285"/>
      <c r="C26" s="285"/>
      <c r="D26" s="285"/>
      <c r="I26" s="89" t="s">
        <v>1419</v>
      </c>
    </row>
    <row r="27" spans="2:9" ht="15" customHeight="1">
      <c r="B27" s="285"/>
      <c r="C27" s="285"/>
      <c r="D27" s="285"/>
    </row>
    <row r="28" spans="2:9" ht="15" customHeight="1">
      <c r="B28" s="293"/>
      <c r="C28" s="293"/>
      <c r="D28" s="293"/>
    </row>
    <row r="29" spans="2:9">
      <c r="B29" s="293"/>
      <c r="C29" s="293"/>
      <c r="D29" s="293"/>
    </row>
    <row r="30" spans="2:9">
      <c r="B30" s="293"/>
      <c r="C30" s="293"/>
      <c r="D30" s="293"/>
    </row>
    <row r="31" spans="2:9">
      <c r="B31" s="293"/>
      <c r="C31" s="293"/>
      <c r="D31" s="293"/>
    </row>
    <row r="32" spans="2:9">
      <c r="B32" s="289"/>
      <c r="C32" s="289"/>
      <c r="D32" s="289"/>
    </row>
    <row r="33" spans="2:4">
      <c r="B33" s="289"/>
      <c r="C33" s="289"/>
      <c r="D33" s="289"/>
    </row>
    <row r="34" spans="2:4">
      <c r="B34" s="289"/>
      <c r="C34" s="289"/>
      <c r="D34" s="289"/>
    </row>
    <row r="35" spans="2:4">
      <c r="B35" s="289"/>
      <c r="C35" s="289"/>
      <c r="D35" s="289"/>
    </row>
    <row r="36" spans="2:4">
      <c r="B36" s="289"/>
      <c r="C36" s="289"/>
      <c r="D36" s="289"/>
    </row>
    <row r="37" spans="2:4">
      <c r="B37" s="289"/>
      <c r="C37" s="289"/>
      <c r="D37" s="289"/>
    </row>
    <row r="38" spans="2:4">
      <c r="B38" s="289"/>
      <c r="C38" s="289"/>
      <c r="D38" s="289"/>
    </row>
    <row r="39" spans="2:4">
      <c r="B39" s="289"/>
      <c r="C39" s="289"/>
      <c r="D39" s="289"/>
    </row>
    <row r="40" spans="2:4">
      <c r="B40" s="289"/>
      <c r="C40" s="289"/>
      <c r="D40" s="289"/>
    </row>
    <row r="41" spans="2:4">
      <c r="B41" s="289"/>
      <c r="C41" s="289"/>
      <c r="D41" s="289"/>
    </row>
    <row r="42" spans="2:4">
      <c r="B42" s="289"/>
      <c r="C42" s="289"/>
      <c r="D42" s="289"/>
    </row>
    <row r="43" spans="2:4">
      <c r="B43" s="289"/>
      <c r="C43" s="289"/>
      <c r="D43" s="289"/>
    </row>
    <row r="44" spans="2:4">
      <c r="B44" s="289"/>
      <c r="C44" s="289"/>
      <c r="D44" s="289"/>
    </row>
    <row r="45" spans="2:4">
      <c r="B45" s="289"/>
      <c r="C45" s="289"/>
      <c r="D45" s="289"/>
    </row>
    <row r="46" spans="2:4">
      <c r="B46" s="289"/>
      <c r="C46" s="289"/>
      <c r="D46" s="289"/>
    </row>
    <row r="47" spans="2:4">
      <c r="B47" s="289"/>
      <c r="C47" s="289"/>
      <c r="D47" s="289"/>
    </row>
    <row r="48" spans="2:4">
      <c r="B48" s="289"/>
      <c r="C48" s="289"/>
      <c r="D48" s="289"/>
    </row>
  </sheetData>
  <mergeCells count="24">
    <mergeCell ref="B26:D26"/>
    <mergeCell ref="B27:D27"/>
    <mergeCell ref="B28:D28"/>
    <mergeCell ref="B29:D29"/>
    <mergeCell ref="F2:N4"/>
    <mergeCell ref="B41:D41"/>
    <mergeCell ref="B30:D30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B48:D48"/>
    <mergeCell ref="B42:D42"/>
    <mergeCell ref="B43:D43"/>
    <mergeCell ref="B44:D44"/>
    <mergeCell ref="B45:D45"/>
    <mergeCell ref="B46:D46"/>
    <mergeCell ref="B47:D47"/>
  </mergeCells>
  <hyperlinks>
    <hyperlink ref="B10" location="'DASH'!A1" display="DASHBOARD" xr:uid="{7802E8A5-C205-4AD8-A26E-7F4B8DFCFABA}"/>
    <hyperlink ref="B11" location="'DES-GL'!A1" display="DESIGN GUIDELINES" xr:uid="{22AD156D-4AC0-4D2F-B2BA-F9606FD108D9}"/>
    <hyperlink ref="B13" location="'EXT-MAINS-DT'!A1" display="EXISTING POWER DESIGN" xr:uid="{EAD945C8-619B-4049-81CA-6E39B47CE94C}"/>
    <hyperlink ref="B14" location="'EXT-CALC'!A1" display="EXISTING DEMAND" xr:uid="{CAB02108-B94B-4647-8A3F-21670D47A78E}"/>
    <hyperlink ref="B16" location="'CALC'!A1" display="POWER CALCULATOR" xr:uid="{BFE29E6D-67E6-4077-81BD-7E3BD616E183}"/>
    <hyperlink ref="B17" location="'PLBC-CALC'!A1" display="PLBC CALCULATOR" xr:uid="{685183EC-6951-42A1-A723-1D25EC9DD3E1}"/>
    <hyperlink ref="B18" location="'VDC'!A1" display="VD CALCULATOR" xr:uid="{140EC244-DFB8-45CC-A274-559391277C16}"/>
    <hyperlink ref="B20" location="'PRP-SOL'!A1" display="PROPOSED POWER DESIGN" xr:uid="{9EA25EC5-FB5B-4B1F-9B3D-F3C072B0CA0D}"/>
    <hyperlink ref="B25" location="'DC'!A1" display="DOCUMENT CONTROL" xr:uid="{D2CC5BF6-E7F5-4495-A3B0-48D1E84956D7}"/>
  </hyperlinks>
  <pageMargins left="0.7" right="0.7" top="0.75" bottom="0.75" header="0.3" footer="0.3"/>
  <pageSetup paperSize="9" orientation="portrait" r:id="rId4"/>
  <headerFooter>
    <oddHeader>&amp;C&amp;"Calibri"&amp;10&amp;K000000 [Confidential]&amp;1#_x000D_</oddHeader>
  </headerFooter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FE6133C4422D4EAC3C2A42EAF4D3BB" ma:contentTypeVersion="24" ma:contentTypeDescription="Create a new document." ma:contentTypeScope="" ma:versionID="dcb8c6ac6d3477c4505fb3070b83385f">
  <xsd:schema xmlns:xsd="http://www.w3.org/2001/XMLSchema" xmlns:xs="http://www.w3.org/2001/XMLSchema" xmlns:p="http://schemas.microsoft.com/office/2006/metadata/properties" xmlns:ns2="7c0bab84-bcaf-469a-bf7d-f1864e8b3222" xmlns:ns3="01324fff-970f-4301-a613-b1a739888667" targetNamespace="http://schemas.microsoft.com/office/2006/metadata/properties" ma:root="true" ma:fieldsID="60e9b02717c80dcdd54c19cbb89cf8df" ns2:_="" ns3:_="">
    <xsd:import namespace="7c0bab84-bcaf-469a-bf7d-f1864e8b3222"/>
    <xsd:import namespace="01324fff-970f-4301-a613-b1a7398886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Path" minOccurs="0"/>
                <xsd:element ref="ns2:XMPTitle" minOccurs="0"/>
                <xsd:element ref="ns2:WFFinalFileDocumentReferenceNo" minOccurs="0"/>
                <xsd:element ref="ns2:RecordID" minOccurs="0"/>
                <xsd:element ref="ns2:Status" minOccurs="0"/>
                <xsd:element ref="ns2:_ApprovalAssignedTo" minOccurs="0"/>
                <xsd:element ref="ns2:_ApprovalRespondedBy" minOccurs="0"/>
                <xsd:element ref="ns2:_ApprovalSentBy" minOccurs="0"/>
                <xsd:element ref="ns2:_ApprovalStatus" minOccurs="0"/>
                <xsd:element ref="ns2:Brand" minOccurs="0"/>
                <xsd:element ref="ns2:SharepointID" minOccurs="0"/>
                <xsd:element ref="ns2:WFFolderName" minOccurs="0"/>
                <xsd:element ref="ns2:AssetIdentifi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0bab84-bcaf-469a-bf7d-f1864e8b32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3de54599-11b9-466d-a4e0-caaaefe820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Path" ma:index="19" nillable="true" ma:displayName="Path" ma:format="Dropdown" ma:internalName="Path">
      <xsd:simpleType>
        <xsd:restriction base="dms:Text">
          <xsd:maxLength value="255"/>
        </xsd:restriction>
      </xsd:simpleType>
    </xsd:element>
    <xsd:element name="XMPTitle" ma:index="20" nillable="true" ma:displayName="XMP Title" ma:format="Dropdown" ma:internalName="XMPTitle">
      <xsd:simpleType>
        <xsd:restriction base="dms:Text">
          <xsd:maxLength value="255"/>
        </xsd:restriction>
      </xsd:simpleType>
    </xsd:element>
    <xsd:element name="WFFinalFileDocumentReferenceNo" ma:index="21" nillable="true" ma:displayName="WF Asset Version Unique Code (AVUCG)" ma:format="Dropdown" ma:internalName="WFFinalFileDocumentReferenceNo">
      <xsd:simpleType>
        <xsd:restriction base="dms:Text">
          <xsd:maxLength value="255"/>
        </xsd:restriction>
      </xsd:simpleType>
    </xsd:element>
    <xsd:element name="RecordID" ma:index="22" nillable="true" ma:displayName="Document ID" ma:format="Dropdown" ma:internalName="RecordID">
      <xsd:simpleType>
        <xsd:restriction base="dms:Text">
          <xsd:maxLength value="255"/>
        </xsd:restriction>
      </xsd:simpleType>
    </xsd:element>
    <xsd:element name="Status" ma:index="23" nillable="true" ma:displayName="Status" ma:format="Dropdown" ma:internalName="Status">
      <xsd:simpleType>
        <xsd:restriction base="dms:Choice">
          <xsd:enumeration value="Approved"/>
          <xsd:enumeration value="Rejected"/>
          <xsd:enumeration value="Choice 3"/>
        </xsd:restriction>
      </xsd:simpleType>
    </xsd:element>
    <xsd:element name="_ApprovalAssignedTo" ma:index="24" nillable="true" ma:displayName="Approvers" ma:list="UserInfo" ma:internalName="_ApprovalAssignedTo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RespondedBy" ma:index="25" nillable="true" ma:displayName="Responses" ma:list="UserInfo" ma:internalName="_ApprovalRespondedBy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entBy" ma:index="26" nillable="true" ma:displayName="Approval Creator" ma:list="UserInfo" ma:internalName="_ApprovalSent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tatus" ma:index="27" nillable="true" ma:displayName="Approval status" ma:internalName="_ApprovalStatus" ma:readOnly="true">
      <xsd:simpleType>
        <xsd:restriction base="dms:Unknown"/>
      </xsd:simpleType>
    </xsd:element>
    <xsd:element name="Brand" ma:index="28" nillable="true" ma:displayName="Brand" ma:format="Dropdown" ma:internalName="Brand">
      <xsd:simpleType>
        <xsd:restriction base="dms:Choice">
          <xsd:enumeration value="TMB"/>
          <xsd:enumeration value="FMB"/>
          <xsd:enumeration value="UMB"/>
        </xsd:restriction>
      </xsd:simpleType>
    </xsd:element>
    <xsd:element name="SharepointID" ma:index="29" nillable="true" ma:displayName="SharepointID" ma:format="Dropdown" ma:internalName="SharepointID">
      <xsd:simpleType>
        <xsd:restriction base="dms:Text">
          <xsd:maxLength value="255"/>
        </xsd:restriction>
      </xsd:simpleType>
    </xsd:element>
    <xsd:element name="WFFolderName" ma:index="30" nillable="true" ma:displayName="WF Folder Name" ma:format="Dropdown" ma:internalName="WFFolderName">
      <xsd:simpleType>
        <xsd:restriction base="dms:Text">
          <xsd:maxLength value="255"/>
        </xsd:restriction>
      </xsd:simpleType>
    </xsd:element>
    <xsd:element name="AssetIdentifier" ma:index="31" nillable="true" ma:displayName="Asset Identifier" ma:format="Dropdown" ma:internalName="AssetIdentifier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324fff-970f-4301-a613-b1a73988866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7a5e5f6-4ec8-4be2-973b-317e0f1d26a4}" ma:internalName="TaxCatchAll" ma:showField="CatchAllData" ma:web="01324fff-970f-4301-a613-b1a73988866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1324fff-970f-4301-a613-b1a739888667" xsi:nil="true"/>
    <lcf76f155ced4ddcb4097134ff3c332f xmlns="7c0bab84-bcaf-469a-bf7d-f1864e8b3222">
      <Terms xmlns="http://schemas.microsoft.com/office/infopath/2007/PartnerControls"/>
    </lcf76f155ced4ddcb4097134ff3c332f>
    <RecordID xmlns="7c0bab84-bcaf-469a-bf7d-f1864e8b3222" xsi:nil="true"/>
    <Status xmlns="7c0bab84-bcaf-469a-bf7d-f1864e8b3222" xsi:nil="true"/>
    <Brand xmlns="7c0bab84-bcaf-469a-bf7d-f1864e8b3222" xsi:nil="true"/>
    <WFFolderName xmlns="7c0bab84-bcaf-469a-bf7d-f1864e8b3222" xsi:nil="true"/>
    <Path xmlns="7c0bab84-bcaf-469a-bf7d-f1864e8b3222" xsi:nil="true"/>
    <WFFinalFileDocumentReferenceNo xmlns="7c0bab84-bcaf-469a-bf7d-f1864e8b3222" xsi:nil="true"/>
    <AssetIdentifier xmlns="7c0bab84-bcaf-469a-bf7d-f1864e8b3222" xsi:nil="true"/>
    <SharepointID xmlns="7c0bab84-bcaf-469a-bf7d-f1864e8b3222" xsi:nil="true"/>
    <XMPTitle xmlns="7c0bab84-bcaf-469a-bf7d-f1864e8b3222" xsi:nil="true"/>
    <_ApprovalAssignedTo xmlns="7c0bab84-bcaf-469a-bf7d-f1864e8b3222">
      <UserInfo>
        <DisplayName/>
        <AccountId xsi:nil="true"/>
        <AccountType/>
      </UserInfo>
    </_ApprovalAssignedTo>
    <_ApprovalStatus xmlns="7c0bab84-bcaf-469a-bf7d-f1864e8b3222">0</_ApprovalStatus>
    <_ApprovalRespondedBy xmlns="7c0bab84-bcaf-469a-bf7d-f1864e8b3222">
      <UserInfo>
        <DisplayName/>
        <AccountId xsi:nil="true"/>
        <AccountType/>
      </UserInfo>
    </_ApprovalRespondedBy>
  </documentManagement>
</p:properties>
</file>

<file path=customXml/itemProps1.xml><?xml version="1.0" encoding="utf-8"?>
<ds:datastoreItem xmlns:ds="http://schemas.openxmlformats.org/officeDocument/2006/customXml" ds:itemID="{5545D564-6E23-48F2-AF2D-D72F47EEB36D}"/>
</file>

<file path=customXml/itemProps2.xml><?xml version="1.0" encoding="utf-8"?>
<ds:datastoreItem xmlns:ds="http://schemas.openxmlformats.org/officeDocument/2006/customXml" ds:itemID="{8FC67123-F2DD-479D-A7D7-25F6454B4DF4}"/>
</file>

<file path=customXml/itemProps3.xml><?xml version="1.0" encoding="utf-8"?>
<ds:datastoreItem xmlns:ds="http://schemas.openxmlformats.org/officeDocument/2006/customXml" ds:itemID="{8150F269-5049-41E9-B732-B9982A647C47}"/>
</file>

<file path=docMetadata/LabelInfo.xml><?xml version="1.0" encoding="utf-8"?>
<clbl:labelList xmlns:clbl="http://schemas.microsoft.com/office/2020/mipLabelMetadata">
  <clbl:label id="{56ee34bf-ccdb-4d31-bfa7-d70a8087cdcc}" enabled="1" method="Standard" siteId="{17928398-834f-4756-9d9b-525628a13a4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>Michael.Van.der.Lit@optus.com.au</Manager>
  <Company>Optus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Power Design Tool</dc:subject>
  <dc:creator>Sok Bin</dc:creator>
  <cp:keywords/>
  <dc:description/>
  <cp:lastModifiedBy>Guest User</cp:lastModifiedBy>
  <cp:revision/>
  <dcterms:created xsi:type="dcterms:W3CDTF">2021-08-09T00:03:30Z</dcterms:created>
  <dcterms:modified xsi:type="dcterms:W3CDTF">2026-03-18T11:43:48Z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0x01010010FE6133C4422D4EAC3C2A42EAF4D3BB</vt:lpwstr>
  </property>
  <property fmtid="{D5CDD505-2E9C-101B-9397-08002B2CF9AE}" pid="3" name="MediaServiceImageTags">
    <vt:lpwstr/>
  </property>
</Properties>
</file>